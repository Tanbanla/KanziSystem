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pbivnap12\Share\Project_Document\Cost management\01_Clearifycation\2025-PUR-PUR_Quoctaion_Request\gộp GA\"/>
    </mc:Choice>
  </mc:AlternateContent>
  <xr:revisionPtr revIDLastSave="0" documentId="13_ncr:1_{C5EA1B46-F615-4A68-BAAB-5EF675265F9F}" xr6:coauthVersionLast="47" xr6:coauthVersionMax="47" xr10:uidLastSave="{00000000-0000-0000-0000-000000000000}"/>
  <bookViews>
    <workbookView xWindow="-108" yWindow="-108" windowWidth="23256" windowHeight="12456" activeTab="3" xr2:uid="{1D440215-F19D-4927-BFC9-FB57362056BA}"/>
  </bookViews>
  <sheets>
    <sheet name="Format" sheetId="1" r:id="rId1"/>
    <sheet name="giải thích form" sheetId="2" r:id="rId2"/>
    <sheet name="Dòng chảy link vào master giá" sheetId="3" r:id="rId3"/>
    <sheet name="Format (EA)" sheetId="4" r:id="rId4"/>
  </sheets>
  <definedNames>
    <definedName name="_xlnm._FilterDatabase" localSheetId="3" hidden="1">'Format (EA)'!$A$2:$AI$803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I3" i="4" l="1"/>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I503" i="4"/>
  <c r="AI504" i="4"/>
  <c r="AI505" i="4"/>
  <c r="AI506" i="4"/>
  <c r="AI507" i="4"/>
  <c r="AI508" i="4"/>
  <c r="AI509" i="4"/>
  <c r="AI510" i="4"/>
  <c r="AI511" i="4"/>
  <c r="AI512" i="4"/>
  <c r="AI513" i="4"/>
  <c r="AI514" i="4"/>
  <c r="AI515" i="4"/>
  <c r="AI516" i="4"/>
  <c r="AI517" i="4"/>
  <c r="AI518" i="4"/>
  <c r="AI519" i="4"/>
  <c r="AI520" i="4"/>
  <c r="AI521" i="4"/>
  <c r="AI522" i="4"/>
  <c r="AI523" i="4"/>
  <c r="AI524" i="4"/>
  <c r="AI525" i="4"/>
  <c r="AI526" i="4"/>
  <c r="AI527" i="4"/>
  <c r="AI528" i="4"/>
  <c r="AI529" i="4"/>
  <c r="AI530" i="4"/>
  <c r="AI531" i="4"/>
  <c r="AI532" i="4"/>
  <c r="AI533" i="4"/>
  <c r="AI534" i="4"/>
  <c r="AI535" i="4"/>
  <c r="AI536" i="4"/>
  <c r="AI537" i="4"/>
  <c r="AI538" i="4"/>
  <c r="AI539" i="4"/>
  <c r="AI540" i="4"/>
  <c r="AI541" i="4"/>
  <c r="AI542" i="4"/>
  <c r="AI543" i="4"/>
  <c r="AI544" i="4"/>
  <c r="AI545" i="4"/>
  <c r="AI546" i="4"/>
  <c r="AI547" i="4"/>
  <c r="AI548" i="4"/>
  <c r="AI549" i="4"/>
  <c r="AI550" i="4"/>
  <c r="AI551" i="4"/>
  <c r="AI552" i="4"/>
  <c r="AI553" i="4"/>
  <c r="AI554" i="4"/>
  <c r="AI555" i="4"/>
  <c r="AI556" i="4"/>
  <c r="AI557" i="4"/>
  <c r="AI558" i="4"/>
  <c r="AI559" i="4"/>
  <c r="AI560" i="4"/>
  <c r="AI561" i="4"/>
  <c r="AI562" i="4"/>
  <c r="AI563" i="4"/>
  <c r="AI564" i="4"/>
  <c r="AI565" i="4"/>
  <c r="AI566" i="4"/>
  <c r="AI567" i="4"/>
  <c r="AI568" i="4"/>
  <c r="AI569" i="4"/>
  <c r="AI570" i="4"/>
  <c r="AI571" i="4"/>
  <c r="AI572" i="4"/>
  <c r="AI573" i="4"/>
  <c r="AI574" i="4"/>
  <c r="AI575" i="4"/>
  <c r="AI576" i="4"/>
  <c r="AI577" i="4"/>
  <c r="AI578" i="4"/>
  <c r="AI579" i="4"/>
  <c r="AI580" i="4"/>
  <c r="AI581" i="4"/>
  <c r="AI582" i="4"/>
  <c r="AI583" i="4"/>
  <c r="AI584" i="4"/>
  <c r="AI585" i="4"/>
  <c r="AI586" i="4"/>
  <c r="AI587" i="4"/>
  <c r="AI588" i="4"/>
  <c r="AI589" i="4"/>
  <c r="AI590" i="4"/>
  <c r="AI591" i="4"/>
  <c r="AI592" i="4"/>
  <c r="AI593" i="4"/>
  <c r="AI594" i="4"/>
  <c r="AI595" i="4"/>
  <c r="AI596" i="4"/>
  <c r="AI597" i="4"/>
  <c r="AI598" i="4"/>
  <c r="AI599" i="4"/>
  <c r="AI600" i="4"/>
  <c r="AI601" i="4"/>
  <c r="AI602" i="4"/>
  <c r="AI603" i="4"/>
  <c r="AI604" i="4"/>
  <c r="AI605" i="4"/>
  <c r="AI606" i="4"/>
  <c r="AI607" i="4"/>
  <c r="AI608" i="4"/>
  <c r="AI609" i="4"/>
  <c r="AI610" i="4"/>
  <c r="AI611" i="4"/>
  <c r="AI612" i="4"/>
  <c r="AI613" i="4"/>
  <c r="AI614" i="4"/>
  <c r="AI615" i="4"/>
  <c r="AI616" i="4"/>
  <c r="AI617" i="4"/>
  <c r="AI618" i="4"/>
  <c r="AI619" i="4"/>
  <c r="AI620" i="4"/>
  <c r="AI621" i="4"/>
  <c r="AI622" i="4"/>
  <c r="AI623" i="4"/>
  <c r="AI624" i="4"/>
  <c r="AI625" i="4"/>
  <c r="AI626" i="4"/>
  <c r="AI627" i="4"/>
  <c r="AI628" i="4"/>
  <c r="AI629" i="4"/>
  <c r="AI630" i="4"/>
  <c r="AI631" i="4"/>
  <c r="AI632" i="4"/>
  <c r="AI633" i="4"/>
  <c r="AI634" i="4"/>
  <c r="AI635" i="4"/>
  <c r="AI636" i="4"/>
  <c r="AI637" i="4"/>
  <c r="AI638" i="4"/>
  <c r="AI639" i="4"/>
  <c r="AI640" i="4"/>
  <c r="AI641" i="4"/>
  <c r="AI642" i="4"/>
  <c r="AI643" i="4"/>
  <c r="AI644" i="4"/>
  <c r="AI645" i="4"/>
  <c r="AI646" i="4"/>
  <c r="AI647" i="4"/>
  <c r="AI648" i="4"/>
  <c r="AI649" i="4"/>
  <c r="AI650" i="4"/>
  <c r="AI651" i="4"/>
  <c r="AI652" i="4"/>
  <c r="AI653" i="4"/>
  <c r="AI654" i="4"/>
  <c r="AI655" i="4"/>
  <c r="AI656" i="4"/>
  <c r="AI657" i="4"/>
  <c r="AI658" i="4"/>
  <c r="AI659" i="4"/>
  <c r="AI660" i="4"/>
  <c r="AI661" i="4"/>
  <c r="AI662" i="4"/>
  <c r="AI663" i="4"/>
  <c r="AI664" i="4"/>
  <c r="AI665" i="4"/>
  <c r="AI666" i="4"/>
  <c r="AI667" i="4"/>
  <c r="AI668" i="4"/>
  <c r="AI669" i="4"/>
  <c r="AI670" i="4"/>
  <c r="AI671" i="4"/>
  <c r="AI672" i="4"/>
  <c r="AI673" i="4"/>
  <c r="AI674" i="4"/>
  <c r="AI675" i="4"/>
  <c r="AI676" i="4"/>
  <c r="AI677" i="4"/>
  <c r="AI678" i="4"/>
  <c r="AI679" i="4"/>
  <c r="AI680" i="4"/>
  <c r="AI681" i="4"/>
  <c r="AI682" i="4"/>
  <c r="AI683" i="4"/>
  <c r="AI684" i="4"/>
  <c r="AI685" i="4"/>
  <c r="AI686" i="4"/>
  <c r="AI687" i="4"/>
  <c r="AI688" i="4"/>
  <c r="AI689" i="4"/>
  <c r="AI690" i="4"/>
  <c r="AI691" i="4"/>
  <c r="AI692" i="4"/>
  <c r="AI693" i="4"/>
  <c r="AI694" i="4"/>
  <c r="AI695" i="4"/>
  <c r="AI696" i="4"/>
  <c r="AI697" i="4"/>
  <c r="AI698" i="4"/>
  <c r="AI699" i="4"/>
  <c r="AI700" i="4"/>
  <c r="AI701" i="4"/>
  <c r="AI702" i="4"/>
  <c r="AI703" i="4"/>
  <c r="AI704" i="4"/>
  <c r="AI705" i="4"/>
  <c r="AI706" i="4"/>
  <c r="AI707" i="4"/>
  <c r="AI708" i="4"/>
  <c r="AI709" i="4"/>
  <c r="AI710" i="4"/>
  <c r="AI711" i="4"/>
  <c r="AI712" i="4"/>
  <c r="AI713" i="4"/>
  <c r="AI714" i="4"/>
  <c r="AI715" i="4"/>
  <c r="AI716" i="4"/>
  <c r="AI717" i="4"/>
  <c r="AI718" i="4"/>
  <c r="AI719" i="4"/>
  <c r="AI720" i="4"/>
  <c r="AI721" i="4"/>
  <c r="AI722" i="4"/>
  <c r="AI723" i="4"/>
  <c r="AI724" i="4"/>
  <c r="AI725" i="4"/>
  <c r="AI726" i="4"/>
  <c r="AI727" i="4"/>
  <c r="AI728" i="4"/>
  <c r="AI729" i="4"/>
  <c r="AI730" i="4"/>
  <c r="AI731" i="4"/>
  <c r="AI732" i="4"/>
  <c r="AI733" i="4"/>
  <c r="AI734" i="4"/>
  <c r="AI735" i="4"/>
  <c r="AI736" i="4"/>
  <c r="AI737" i="4"/>
  <c r="AI738" i="4"/>
  <c r="AI739" i="4"/>
  <c r="AI740" i="4"/>
  <c r="AI741" i="4"/>
  <c r="AI742" i="4"/>
  <c r="AI743" i="4"/>
  <c r="AI744" i="4"/>
  <c r="AI745" i="4"/>
  <c r="AI746" i="4"/>
  <c r="AI747" i="4"/>
  <c r="AI748" i="4"/>
  <c r="AI749" i="4"/>
  <c r="AI750" i="4"/>
  <c r="AI751" i="4"/>
  <c r="AI752" i="4"/>
  <c r="AI753" i="4"/>
  <c r="AI754" i="4"/>
  <c r="AI755" i="4"/>
  <c r="AI756" i="4"/>
  <c r="AI757" i="4"/>
  <c r="AI758" i="4"/>
  <c r="AI759" i="4"/>
  <c r="AI760" i="4"/>
  <c r="AI761" i="4"/>
  <c r="AI762" i="4"/>
  <c r="AI763" i="4"/>
  <c r="AI764" i="4"/>
  <c r="AI765" i="4"/>
  <c r="AI766" i="4"/>
  <c r="AI767" i="4"/>
  <c r="AI768" i="4"/>
  <c r="AI769" i="4"/>
  <c r="AI770" i="4"/>
  <c r="AI771" i="4"/>
  <c r="AI772" i="4"/>
  <c r="AI773" i="4"/>
  <c r="AI774" i="4"/>
  <c r="AI775" i="4"/>
  <c r="AI776" i="4"/>
  <c r="AI777" i="4"/>
  <c r="AI778" i="4"/>
  <c r="AI779" i="4"/>
  <c r="AI780" i="4"/>
  <c r="AI781" i="4"/>
  <c r="AI782" i="4"/>
  <c r="AI783" i="4"/>
  <c r="AI784" i="4"/>
  <c r="AI785" i="4"/>
  <c r="AI786" i="4"/>
  <c r="AI787" i="4"/>
  <c r="AI788" i="4"/>
  <c r="AI789" i="4"/>
  <c r="AI790" i="4"/>
  <c r="AI791" i="4"/>
  <c r="AI792" i="4"/>
  <c r="AI793" i="4"/>
  <c r="AI794" i="4"/>
  <c r="AI795" i="4"/>
  <c r="AI796" i="4"/>
  <c r="AI797" i="4"/>
  <c r="AI798" i="4"/>
  <c r="AI799" i="4"/>
  <c r="AI800" i="4"/>
  <c r="AI801" i="4"/>
  <c r="AI802" i="4"/>
  <c r="AI803" i="4"/>
  <c r="Q33" i="4" a="1"/>
  <c r="Q33" i="4" s="1"/>
  <c r="Q32" i="4" a="1"/>
  <c r="Q32" i="4" s="1"/>
  <c r="Q31" i="4" a="1"/>
  <c r="Q31" i="4" s="1"/>
  <c r="Q20" i="4" a="1"/>
  <c r="Q20" i="4" s="1"/>
  <c r="Q30" i="4" a="1"/>
  <c r="Q30" i="4" s="1"/>
  <c r="Q29" i="4" a="1"/>
  <c r="Q29" i="4" s="1"/>
  <c r="Q28" i="4" a="1"/>
  <c r="Q28" i="4" s="1"/>
  <c r="Q233" i="4" a="1"/>
  <c r="Q233" i="4" s="1"/>
  <c r="Q236" i="4" a="1"/>
  <c r="Q236" i="4" s="1"/>
  <c r="Q235" i="4" a="1"/>
  <c r="Q235" i="4" s="1"/>
  <c r="Q112" i="4" l="1" a="1"/>
  <c r="Q112" i="4" s="1"/>
  <c r="Q131" i="4" a="1"/>
  <c r="Q131" i="4" s="1"/>
  <c r="Q234" i="4" l="1" a="1"/>
  <c r="Q234" i="4" s="1"/>
  <c r="Q3" i="4" l="1" a="1"/>
  <c r="Q3" i="4" s="1"/>
  <c r="Q5" i="4" a="1"/>
  <c r="Q5" i="4" s="1"/>
  <c r="Q6" i="4" a="1"/>
  <c r="Q6" i="4" s="1"/>
  <c r="Q7" i="4" a="1"/>
  <c r="Q7" i="4" s="1"/>
  <c r="Q8" i="4" a="1"/>
  <c r="Q8" i="4" s="1"/>
  <c r="Q9" i="4" a="1"/>
  <c r="Q9" i="4" s="1"/>
  <c r="Q10" i="4" a="1"/>
  <c r="Q10" i="4" s="1"/>
  <c r="Q11" i="4" a="1"/>
  <c r="Q11" i="4" s="1"/>
  <c r="Q12" i="4" a="1"/>
  <c r="Q12" i="4" s="1"/>
  <c r="Q13" i="4" a="1"/>
  <c r="Q13" i="4" s="1"/>
  <c r="Q14" i="4" a="1"/>
  <c r="Q14" i="4" s="1"/>
  <c r="Q15" i="4" a="1"/>
  <c r="Q15" i="4" s="1"/>
  <c r="Q16" i="4" a="1"/>
  <c r="Q16" i="4" s="1"/>
  <c r="Q17" i="4" a="1"/>
  <c r="Q17" i="4" s="1"/>
  <c r="Q18" i="4" a="1"/>
  <c r="Q18" i="4" s="1"/>
  <c r="Q19" i="4" a="1"/>
  <c r="Q19" i="4" s="1"/>
  <c r="Q21" i="4" a="1"/>
  <c r="Q21" i="4" s="1"/>
  <c r="Q22" i="4" a="1"/>
  <c r="Q22" i="4" s="1"/>
  <c r="Q23" i="4" a="1"/>
  <c r="Q23" i="4" s="1"/>
  <c r="Q24" i="4" a="1"/>
  <c r="Q24" i="4" s="1"/>
  <c r="Q25" i="4" a="1"/>
  <c r="Q25" i="4" s="1"/>
  <c r="Q26" i="4" a="1"/>
  <c r="Q26" i="4" s="1"/>
  <c r="Q27" i="4" a="1"/>
  <c r="Q27" i="4" s="1"/>
  <c r="Q34" i="4" a="1"/>
  <c r="Q34" i="4" s="1"/>
  <c r="Q35" i="4" a="1"/>
  <c r="Q35" i="4" s="1"/>
  <c r="Q36" i="4" a="1"/>
  <c r="Q36" i="4" s="1"/>
  <c r="Q37" i="4" a="1"/>
  <c r="Q37" i="4" s="1"/>
  <c r="Q38" i="4" a="1"/>
  <c r="Q38" i="4" s="1"/>
  <c r="Q39" i="4" a="1"/>
  <c r="Q39" i="4" s="1"/>
  <c r="Q40" i="4" a="1"/>
  <c r="Q40" i="4" s="1"/>
  <c r="Q41" i="4" a="1"/>
  <c r="Q41" i="4" s="1"/>
  <c r="Q42" i="4" a="1"/>
  <c r="Q42" i="4" s="1"/>
  <c r="Q43" i="4" a="1"/>
  <c r="Q43" i="4" s="1"/>
  <c r="Q44" i="4" a="1"/>
  <c r="Q44" i="4" s="1"/>
  <c r="Q45" i="4" a="1"/>
  <c r="Q45" i="4" s="1"/>
  <c r="Q46" i="4" a="1"/>
  <c r="Q46" i="4" s="1"/>
  <c r="Q47" i="4" a="1"/>
  <c r="Q47" i="4" s="1"/>
  <c r="Q48" i="4" a="1"/>
  <c r="Q48" i="4" s="1"/>
  <c r="Q49" i="4" a="1"/>
  <c r="Q49" i="4" s="1"/>
  <c r="Q50" i="4" a="1"/>
  <c r="Q50" i="4" s="1"/>
  <c r="Q51" i="4" a="1"/>
  <c r="Q51" i="4" s="1"/>
  <c r="Q52" i="4" a="1"/>
  <c r="Q52" i="4" s="1"/>
  <c r="Q53" i="4" a="1"/>
  <c r="Q53" i="4" s="1"/>
  <c r="Q54" i="4" a="1"/>
  <c r="Q54" i="4" s="1"/>
  <c r="Q55" i="4" a="1"/>
  <c r="Q55" i="4" s="1"/>
  <c r="Q56" i="4" a="1"/>
  <c r="Q56" i="4" s="1"/>
  <c r="Q57" i="4" a="1"/>
  <c r="Q57" i="4" s="1"/>
  <c r="Q58" i="4" a="1"/>
  <c r="Q58" i="4" s="1"/>
  <c r="Q59" i="4" a="1"/>
  <c r="Q59" i="4" s="1"/>
  <c r="Q60" i="4" a="1"/>
  <c r="Q60" i="4" s="1"/>
  <c r="Q61" i="4" a="1"/>
  <c r="Q61" i="4" s="1"/>
  <c r="Q62" i="4" a="1"/>
  <c r="Q62" i="4" s="1"/>
  <c r="Q63" i="4" a="1"/>
  <c r="Q63" i="4" s="1"/>
  <c r="Q64" i="4" a="1"/>
  <c r="Q64" i="4" s="1"/>
  <c r="Q65" i="4" a="1"/>
  <c r="Q65" i="4" s="1"/>
  <c r="Q66" i="4" a="1"/>
  <c r="Q66" i="4" s="1"/>
  <c r="Q67" i="4" a="1"/>
  <c r="Q67" i="4" s="1"/>
  <c r="Q68" i="4" a="1"/>
  <c r="Q68" i="4" s="1"/>
  <c r="Q69" i="4" a="1"/>
  <c r="Q69" i="4" s="1"/>
  <c r="Q70" i="4" a="1"/>
  <c r="Q70" i="4" s="1"/>
  <c r="Q71" i="4" a="1"/>
  <c r="Q71" i="4" s="1"/>
  <c r="Q72" i="4" a="1"/>
  <c r="Q72" i="4" s="1"/>
  <c r="Q73" i="4" a="1"/>
  <c r="Q73" i="4" s="1"/>
  <c r="Q74" i="4" a="1"/>
  <c r="Q74" i="4" s="1"/>
  <c r="Q75" i="4" a="1"/>
  <c r="Q75" i="4" s="1"/>
  <c r="Q76" i="4" a="1"/>
  <c r="Q76" i="4" s="1"/>
  <c r="Q77" i="4" a="1"/>
  <c r="Q77" i="4" s="1"/>
  <c r="Q78" i="4" a="1"/>
  <c r="Q78" i="4" s="1"/>
  <c r="Q79" i="4" a="1"/>
  <c r="Q79" i="4" s="1"/>
  <c r="Q80" i="4" a="1"/>
  <c r="Q80" i="4" s="1"/>
  <c r="Q81" i="4" a="1"/>
  <c r="Q81" i="4" s="1"/>
  <c r="Q82" i="4" a="1"/>
  <c r="Q82" i="4" s="1"/>
  <c r="Q83" i="4" a="1"/>
  <c r="Q83" i="4" s="1"/>
  <c r="Q84" i="4" a="1"/>
  <c r="Q84" i="4" s="1"/>
  <c r="Q85" i="4" a="1"/>
  <c r="Q85" i="4" s="1"/>
  <c r="Q86" i="4" a="1"/>
  <c r="Q86" i="4" s="1"/>
  <c r="Q87" i="4" a="1"/>
  <c r="Q87" i="4" s="1"/>
  <c r="Q88" i="4" a="1"/>
  <c r="Q88" i="4" s="1"/>
  <c r="Q89" i="4" a="1"/>
  <c r="Q89" i="4" s="1"/>
  <c r="Q90" i="4" a="1"/>
  <c r="Q90" i="4" s="1"/>
  <c r="Q91" i="4" a="1"/>
  <c r="Q91" i="4" s="1"/>
  <c r="Q92" i="4" a="1"/>
  <c r="Q92" i="4" s="1"/>
  <c r="Q93" i="4" a="1"/>
  <c r="Q93" i="4" s="1"/>
  <c r="Q94" i="4" a="1"/>
  <c r="Q94" i="4" s="1"/>
  <c r="Q95" i="4" a="1"/>
  <c r="Q95" i="4" s="1"/>
  <c r="Q96" i="4" a="1"/>
  <c r="Q96" i="4" s="1"/>
  <c r="Q97" i="4" a="1"/>
  <c r="Q97" i="4" s="1"/>
  <c r="Q98" i="4" a="1"/>
  <c r="Q98" i="4" s="1"/>
  <c r="Q99" i="4" a="1"/>
  <c r="Q99" i="4" s="1"/>
  <c r="Q100" i="4" a="1"/>
  <c r="Q100" i="4" s="1"/>
  <c r="Q101" i="4" a="1"/>
  <c r="Q101" i="4" s="1"/>
  <c r="Q102" i="4" a="1"/>
  <c r="Q102" i="4" s="1"/>
  <c r="Q103" i="4" a="1"/>
  <c r="Q103" i="4" s="1"/>
  <c r="Q104" i="4" a="1"/>
  <c r="Q104" i="4" s="1"/>
  <c r="Q105" i="4" a="1"/>
  <c r="Q105" i="4" s="1"/>
  <c r="Q106" i="4" a="1"/>
  <c r="Q106" i="4" s="1"/>
  <c r="Q107" i="4" a="1"/>
  <c r="Q107" i="4" s="1"/>
  <c r="Q108" i="4" a="1"/>
  <c r="Q108" i="4" s="1"/>
  <c r="Q109" i="4" a="1"/>
  <c r="Q109" i="4" s="1"/>
  <c r="Q110" i="4" a="1"/>
  <c r="Q110" i="4" s="1"/>
  <c r="Q111" i="4" a="1"/>
  <c r="Q111" i="4" s="1"/>
  <c r="Q113" i="4" a="1"/>
  <c r="Q113" i="4" s="1"/>
  <c r="Q114" i="4" a="1"/>
  <c r="Q114" i="4" s="1"/>
  <c r="Q115" i="4" a="1"/>
  <c r="Q115" i="4" s="1"/>
  <c r="Q116" i="4" a="1"/>
  <c r="Q116" i="4" s="1"/>
  <c r="Q117" i="4" a="1"/>
  <c r="Q117" i="4" s="1"/>
  <c r="Q118" i="4" a="1"/>
  <c r="Q118" i="4" s="1"/>
  <c r="Q119" i="4" a="1"/>
  <c r="Q119" i="4" s="1"/>
  <c r="Q120" i="4" a="1"/>
  <c r="Q120" i="4" s="1"/>
  <c r="Q121" i="4" a="1"/>
  <c r="Q121" i="4" s="1"/>
  <c r="Q122" i="4" a="1"/>
  <c r="Q122" i="4" s="1"/>
  <c r="Q123" i="4" a="1"/>
  <c r="Q123" i="4" s="1"/>
  <c r="Q124" i="4" a="1"/>
  <c r="Q124" i="4" s="1"/>
  <c r="Q125" i="4" a="1"/>
  <c r="Q125" i="4" s="1"/>
  <c r="Q126" i="4" a="1"/>
  <c r="Q126" i="4" s="1"/>
  <c r="Q127" i="4" a="1"/>
  <c r="Q127" i="4" s="1"/>
  <c r="Q128" i="4" a="1"/>
  <c r="Q128" i="4" s="1"/>
  <c r="Q129" i="4" a="1"/>
  <c r="Q129" i="4" s="1"/>
  <c r="Q130" i="4" a="1"/>
  <c r="Q130" i="4" s="1"/>
  <c r="Q132" i="4" a="1"/>
  <c r="Q132" i="4" s="1"/>
  <c r="Q133" i="4" a="1"/>
  <c r="Q133" i="4" s="1"/>
  <c r="Q134" i="4" a="1"/>
  <c r="Q134" i="4" s="1"/>
  <c r="Q135" i="4" a="1"/>
  <c r="Q135" i="4" s="1"/>
  <c r="Q136" i="4" a="1"/>
  <c r="Q136" i="4" s="1"/>
  <c r="Q137" i="4" a="1"/>
  <c r="Q137" i="4" s="1"/>
  <c r="Q138" i="4" a="1"/>
  <c r="Q138" i="4" s="1"/>
  <c r="Q139" i="4" a="1"/>
  <c r="Q139" i="4" s="1"/>
  <c r="Q140" i="4" a="1"/>
  <c r="Q140" i="4" s="1"/>
  <c r="Q141" i="4" a="1"/>
  <c r="Q141" i="4" s="1"/>
  <c r="Q142" i="4" a="1"/>
  <c r="Q142" i="4" s="1"/>
  <c r="Q143" i="4" a="1"/>
  <c r="Q143" i="4" s="1"/>
  <c r="Q144" i="4" a="1"/>
  <c r="Q144" i="4" s="1"/>
  <c r="Q145" i="4" a="1"/>
  <c r="Q145" i="4" s="1"/>
  <c r="Q146" i="4" a="1"/>
  <c r="Q146" i="4" s="1"/>
  <c r="Q147" i="4" a="1"/>
  <c r="Q147" i="4" s="1"/>
  <c r="Q148" i="4" a="1"/>
  <c r="Q148" i="4" s="1"/>
  <c r="Q149" i="4" a="1"/>
  <c r="Q149" i="4" s="1"/>
  <c r="Q150" i="4" a="1"/>
  <c r="Q150" i="4" s="1"/>
  <c r="Q151" i="4" a="1"/>
  <c r="Q151" i="4" s="1"/>
  <c r="Q152" i="4" a="1"/>
  <c r="Q152" i="4" s="1"/>
  <c r="Q153" i="4" a="1"/>
  <c r="Q153" i="4" s="1"/>
  <c r="Q154" i="4" a="1"/>
  <c r="Q154" i="4" s="1"/>
  <c r="Q155" i="4" a="1"/>
  <c r="Q155" i="4" s="1"/>
  <c r="Q156" i="4" a="1"/>
  <c r="Q156" i="4" s="1"/>
  <c r="Q157" i="4" a="1"/>
  <c r="Q157" i="4" s="1"/>
  <c r="Q158" i="4" a="1"/>
  <c r="Q158" i="4" s="1"/>
  <c r="Q159" i="4" a="1"/>
  <c r="Q159" i="4" s="1"/>
  <c r="Q160" i="4" a="1"/>
  <c r="Q160" i="4" s="1"/>
  <c r="Q161" i="4" a="1"/>
  <c r="Q161" i="4" s="1"/>
  <c r="Q162" i="4" a="1"/>
  <c r="Q162" i="4" s="1"/>
  <c r="Q163" i="4" a="1"/>
  <c r="Q163" i="4" s="1"/>
  <c r="Q164" i="4" a="1"/>
  <c r="Q164" i="4" s="1"/>
  <c r="Q165" i="4" a="1"/>
  <c r="Q165" i="4" s="1"/>
  <c r="Q166" i="4" a="1"/>
  <c r="Q166" i="4" s="1"/>
  <c r="Q167" i="4" a="1"/>
  <c r="Q167" i="4" s="1"/>
  <c r="Q168" i="4" a="1"/>
  <c r="Q168" i="4" s="1"/>
  <c r="Q169" i="4" a="1"/>
  <c r="Q169" i="4" s="1"/>
  <c r="Q170" i="4" a="1"/>
  <c r="Q170" i="4" s="1"/>
  <c r="Q171" i="4" a="1"/>
  <c r="Q171" i="4" s="1"/>
  <c r="Q172" i="4" a="1"/>
  <c r="Q172" i="4" s="1"/>
  <c r="Q173" i="4" a="1"/>
  <c r="Q173" i="4" s="1"/>
  <c r="Q174" i="4" a="1"/>
  <c r="Q174" i="4" s="1"/>
  <c r="Q175" i="4" a="1"/>
  <c r="Q175" i="4" s="1"/>
  <c r="Q176" i="4" a="1"/>
  <c r="Q176" i="4" s="1"/>
  <c r="Q177" i="4" a="1"/>
  <c r="Q177" i="4" s="1"/>
  <c r="Q178" i="4" a="1"/>
  <c r="Q178" i="4" s="1"/>
  <c r="Q179" i="4" a="1"/>
  <c r="Q179" i="4" s="1"/>
  <c r="Q180" i="4" a="1"/>
  <c r="Q180" i="4" s="1"/>
  <c r="Q181" i="4" a="1"/>
  <c r="Q181" i="4" s="1"/>
  <c r="Q182" i="4" a="1"/>
  <c r="Q182" i="4" s="1"/>
  <c r="Q183" i="4" a="1"/>
  <c r="Q183" i="4" s="1"/>
  <c r="Q184" i="4" a="1"/>
  <c r="Q184" i="4" s="1"/>
  <c r="Q185" i="4" a="1"/>
  <c r="Q185" i="4" s="1"/>
  <c r="Q186" i="4" a="1"/>
  <c r="Q186" i="4" s="1"/>
  <c r="Q187" i="4" a="1"/>
  <c r="Q187" i="4" s="1"/>
  <c r="Q188" i="4" a="1"/>
  <c r="Q188" i="4" s="1"/>
  <c r="Q189" i="4" a="1"/>
  <c r="Q189" i="4" s="1"/>
  <c r="Q190" i="4" a="1"/>
  <c r="Q190" i="4" s="1"/>
  <c r="Q191" i="4" a="1"/>
  <c r="Q191" i="4" s="1"/>
  <c r="Q192" i="4" a="1"/>
  <c r="Q192" i="4" s="1"/>
  <c r="Q193" i="4" a="1"/>
  <c r="Q193" i="4" s="1"/>
  <c r="Q194" i="4" a="1"/>
  <c r="Q194" i="4" s="1"/>
  <c r="Q195" i="4" a="1"/>
  <c r="Q195" i="4" s="1"/>
  <c r="Q196" i="4" a="1"/>
  <c r="Q196" i="4" s="1"/>
  <c r="Q197" i="4" a="1"/>
  <c r="Q197" i="4" s="1"/>
  <c r="Q198" i="4" a="1"/>
  <c r="Q198" i="4" s="1"/>
  <c r="Q199" i="4" a="1"/>
  <c r="Q199" i="4" s="1"/>
  <c r="Q200" i="4" a="1"/>
  <c r="Q200" i="4" s="1"/>
  <c r="Q201" i="4" a="1"/>
  <c r="Q201" i="4" s="1"/>
  <c r="Q202" i="4" a="1"/>
  <c r="Q202" i="4" s="1"/>
  <c r="Q203" i="4" a="1"/>
  <c r="Q203" i="4" s="1"/>
  <c r="Q204" i="4" a="1"/>
  <c r="Q204" i="4" s="1"/>
  <c r="Q205" i="4" a="1"/>
  <c r="Q205" i="4" s="1"/>
  <c r="Q206" i="4" a="1"/>
  <c r="Q206" i="4" s="1"/>
  <c r="Q207" i="4" a="1"/>
  <c r="Q207" i="4" s="1"/>
  <c r="Q208" i="4" a="1"/>
  <c r="Q208" i="4" s="1"/>
  <c r="Q209" i="4" a="1"/>
  <c r="Q209" i="4" s="1"/>
  <c r="Q210" i="4" a="1"/>
  <c r="Q210" i="4" s="1"/>
  <c r="Q211" i="4" a="1"/>
  <c r="Q211" i="4" s="1"/>
  <c r="Q212" i="4" a="1"/>
  <c r="Q212" i="4" s="1"/>
  <c r="Q213" i="4" a="1"/>
  <c r="Q213" i="4" s="1"/>
  <c r="Q214" i="4" a="1"/>
  <c r="Q214" i="4" s="1"/>
  <c r="Q215" i="4" a="1"/>
  <c r="Q215" i="4" s="1"/>
  <c r="Q216" i="4" a="1"/>
  <c r="Q216" i="4" s="1"/>
  <c r="Q217" i="4" a="1"/>
  <c r="Q217" i="4" s="1"/>
  <c r="Q218" i="4" a="1"/>
  <c r="Q218" i="4" s="1"/>
  <c r="Q219" i="4" a="1"/>
  <c r="Q219" i="4" s="1"/>
  <c r="Q220" i="4" a="1"/>
  <c r="Q220" i="4" s="1"/>
  <c r="Q221" i="4" a="1"/>
  <c r="Q221" i="4" s="1"/>
  <c r="Q222" i="4" a="1"/>
  <c r="Q222" i="4" s="1"/>
  <c r="Q223" i="4" a="1"/>
  <c r="Q223" i="4" s="1"/>
  <c r="Q224" i="4" a="1"/>
  <c r="Q224" i="4" s="1"/>
  <c r="Q225" i="4" a="1"/>
  <c r="Q225" i="4" s="1"/>
  <c r="Q226" i="4" a="1"/>
  <c r="Q226" i="4" s="1"/>
  <c r="Q227" i="4" a="1"/>
  <c r="Q227" i="4" s="1"/>
  <c r="Q228" i="4" a="1"/>
  <c r="Q228" i="4" s="1"/>
  <c r="Q229" i="4" a="1"/>
  <c r="Q229" i="4" s="1"/>
  <c r="Q230" i="4" a="1"/>
  <c r="Q230" i="4" s="1"/>
  <c r="Q231" i="4" a="1"/>
  <c r="Q231" i="4" s="1"/>
  <c r="Q232" i="4" a="1"/>
  <c r="Q232" i="4" s="1"/>
  <c r="Q237" i="4" a="1"/>
  <c r="Q237" i="4" s="1"/>
  <c r="Q238" i="4" a="1"/>
  <c r="Q238" i="4" s="1"/>
  <c r="Q239" i="4" a="1"/>
  <c r="Q239" i="4" s="1"/>
  <c r="Q240" i="4" a="1"/>
  <c r="Q240" i="4" s="1"/>
  <c r="Q241" i="4" a="1"/>
  <c r="Q241" i="4" s="1"/>
  <c r="Q242" i="4" a="1"/>
  <c r="Q242" i="4" s="1"/>
  <c r="Q243" i="4" a="1"/>
  <c r="Q243" i="4" s="1"/>
  <c r="Q244" i="4" a="1"/>
  <c r="Q244" i="4" s="1"/>
  <c r="Q245" i="4" a="1"/>
  <c r="Q245" i="4" s="1"/>
  <c r="Q246" i="4" a="1"/>
  <c r="Q246" i="4" s="1"/>
  <c r="Q247" i="4" a="1"/>
  <c r="Q247" i="4" s="1"/>
  <c r="Q248" i="4" a="1"/>
  <c r="Q248" i="4" s="1"/>
  <c r="Q249" i="4" a="1"/>
  <c r="Q249" i="4" s="1"/>
  <c r="Q250" i="4" a="1"/>
  <c r="Q250" i="4" s="1"/>
  <c r="Q251" i="4" a="1"/>
  <c r="Q251" i="4" s="1"/>
  <c r="Q252" i="4" a="1"/>
  <c r="Q252" i="4" s="1"/>
  <c r="Q253" i="4" a="1"/>
  <c r="Q253" i="4" s="1"/>
  <c r="Q254" i="4" a="1"/>
  <c r="Q254" i="4" s="1"/>
  <c r="Q255" i="4" a="1"/>
  <c r="Q255" i="4" s="1"/>
  <c r="Q256" i="4" a="1"/>
  <c r="Q256" i="4" s="1"/>
  <c r="Q257" i="4" a="1"/>
  <c r="Q257" i="4" s="1"/>
  <c r="Q258" i="4" a="1"/>
  <c r="Q258" i="4" s="1"/>
  <c r="Q259" i="4" a="1"/>
  <c r="Q259" i="4" s="1"/>
  <c r="Q260" i="4" a="1"/>
  <c r="Q260" i="4" s="1"/>
  <c r="Q261" i="4" a="1"/>
  <c r="Q261" i="4" s="1"/>
  <c r="Q262" i="4" a="1"/>
  <c r="Q262" i="4" s="1"/>
  <c r="Q263" i="4" a="1"/>
  <c r="Q263" i="4" s="1"/>
  <c r="Q264" i="4" a="1"/>
  <c r="Q264" i="4" s="1"/>
  <c r="Q265" i="4" a="1"/>
  <c r="Q265" i="4" s="1"/>
  <c r="Q266" i="4" a="1"/>
  <c r="Q266" i="4" s="1"/>
  <c r="Q267" i="4" a="1"/>
  <c r="Q267" i="4" s="1"/>
  <c r="Q268" i="4" a="1"/>
  <c r="Q268" i="4" s="1"/>
  <c r="Q269" i="4" a="1"/>
  <c r="Q269" i="4" s="1"/>
  <c r="Q270" i="4" a="1"/>
  <c r="Q270" i="4" s="1"/>
  <c r="Q271" i="4" a="1"/>
  <c r="Q271" i="4" s="1"/>
  <c r="Q272" i="4" a="1"/>
  <c r="Q272" i="4" s="1"/>
  <c r="Q273" i="4" a="1"/>
  <c r="Q273" i="4" s="1"/>
  <c r="Q274" i="4" a="1"/>
  <c r="Q274" i="4" s="1"/>
  <c r="Q275" i="4" a="1"/>
  <c r="Q275" i="4" s="1"/>
  <c r="Q276" i="4" a="1"/>
  <c r="Q276" i="4" s="1"/>
  <c r="Q277" i="4" a="1"/>
  <c r="Q277" i="4" s="1"/>
  <c r="Q278" i="4" a="1"/>
  <c r="Q278" i="4" s="1"/>
  <c r="Q279" i="4" a="1"/>
  <c r="Q279" i="4" s="1"/>
  <c r="Q280" i="4" a="1"/>
  <c r="Q280" i="4" s="1"/>
  <c r="Q281" i="4" a="1"/>
  <c r="Q281" i="4" s="1"/>
  <c r="Q282" i="4" a="1"/>
  <c r="Q282" i="4" s="1"/>
  <c r="Q283" i="4" a="1"/>
  <c r="Q283" i="4" s="1"/>
  <c r="Q284" i="4" a="1"/>
  <c r="Q284" i="4" s="1"/>
  <c r="Q285" i="4" a="1"/>
  <c r="Q285" i="4" s="1"/>
  <c r="Q286" i="4" a="1"/>
  <c r="Q286" i="4" s="1"/>
  <c r="Q287" i="4" a="1"/>
  <c r="Q287" i="4" s="1"/>
  <c r="Q288" i="4" a="1"/>
  <c r="Q288" i="4" s="1"/>
  <c r="Q289" i="4" a="1"/>
  <c r="Q289" i="4" s="1"/>
  <c r="Q290" i="4" a="1"/>
  <c r="Q290" i="4" s="1"/>
  <c r="Q291" i="4" a="1"/>
  <c r="Q291" i="4" s="1"/>
  <c r="Q292" i="4" a="1"/>
  <c r="Q292" i="4" s="1"/>
  <c r="Q293" i="4" a="1"/>
  <c r="Q293" i="4" s="1"/>
  <c r="Q294" i="4" a="1"/>
  <c r="Q294" i="4" s="1"/>
  <c r="Q295" i="4" a="1"/>
  <c r="Q295" i="4" s="1"/>
  <c r="Q296" i="4" a="1"/>
  <c r="Q296" i="4" s="1"/>
  <c r="Q297" i="4" a="1"/>
  <c r="Q297" i="4" s="1"/>
  <c r="Q298" i="4" a="1"/>
  <c r="Q298" i="4" s="1"/>
  <c r="Q299" i="4" a="1"/>
  <c r="Q299" i="4" s="1"/>
  <c r="Q300" i="4" a="1"/>
  <c r="Q300" i="4" s="1"/>
  <c r="Q301" i="4" a="1"/>
  <c r="Q301" i="4" s="1"/>
  <c r="Q302" i="4" a="1"/>
  <c r="Q302" i="4" s="1"/>
  <c r="Q303" i="4" a="1"/>
  <c r="Q303" i="4" s="1"/>
  <c r="Q304" i="4" a="1"/>
  <c r="Q304" i="4" s="1"/>
  <c r="Q305" i="4" a="1"/>
  <c r="Q305" i="4" s="1"/>
  <c r="Q306" i="4" a="1"/>
  <c r="Q306" i="4" s="1"/>
  <c r="Q307" i="4" a="1"/>
  <c r="Q307" i="4" s="1"/>
  <c r="Q308" i="4" a="1"/>
  <c r="Q308" i="4" s="1"/>
  <c r="Q309" i="4" a="1"/>
  <c r="Q309" i="4" s="1"/>
  <c r="Q310" i="4" a="1"/>
  <c r="Q310" i="4" s="1"/>
  <c r="Q311" i="4" a="1"/>
  <c r="Q311" i="4" s="1"/>
  <c r="Q312" i="4" a="1"/>
  <c r="Q312" i="4" s="1"/>
  <c r="Q313" i="4" a="1"/>
  <c r="Q313" i="4" s="1"/>
  <c r="Q314" i="4" a="1"/>
  <c r="Q314" i="4" s="1"/>
  <c r="Q315" i="4" a="1"/>
  <c r="Q315" i="4" s="1"/>
  <c r="Q316" i="4" a="1"/>
  <c r="Q316" i="4" s="1"/>
  <c r="Q317" i="4" a="1"/>
  <c r="Q317" i="4" s="1"/>
  <c r="Q318" i="4" a="1"/>
  <c r="Q318" i="4" s="1"/>
  <c r="Q319" i="4" a="1"/>
  <c r="Q319" i="4" s="1"/>
  <c r="Q320" i="4" a="1"/>
  <c r="Q320" i="4" s="1"/>
  <c r="Q321" i="4" a="1"/>
  <c r="Q321" i="4" s="1"/>
  <c r="Q322" i="4" a="1"/>
  <c r="Q322" i="4" s="1"/>
  <c r="Q323" i="4" a="1"/>
  <c r="Q323" i="4" s="1"/>
  <c r="Q324" i="4" a="1"/>
  <c r="Q324" i="4" s="1"/>
  <c r="Q325" i="4" a="1"/>
  <c r="Q325" i="4" s="1"/>
  <c r="Q326" i="4" a="1"/>
  <c r="Q326" i="4" s="1"/>
  <c r="Q327" i="4" a="1"/>
  <c r="Q327" i="4" s="1"/>
  <c r="Q328" i="4" a="1"/>
  <c r="Q328" i="4" s="1"/>
  <c r="Q329" i="4" a="1"/>
  <c r="Q329" i="4" s="1"/>
  <c r="Q330" i="4" a="1"/>
  <c r="Q330" i="4" s="1"/>
  <c r="Q331" i="4" a="1"/>
  <c r="Q331" i="4" s="1"/>
  <c r="Q332" i="4" a="1"/>
  <c r="Q332" i="4" s="1"/>
  <c r="Q333" i="4" a="1"/>
  <c r="Q333" i="4" s="1"/>
  <c r="Q334" i="4" a="1"/>
  <c r="Q334" i="4" s="1"/>
  <c r="Q335" i="4" a="1"/>
  <c r="Q335" i="4" s="1"/>
  <c r="Q336" i="4" a="1"/>
  <c r="Q336" i="4" s="1"/>
  <c r="Q337" i="4" a="1"/>
  <c r="Q337" i="4" s="1"/>
  <c r="Q338" i="4" a="1"/>
  <c r="Q338" i="4" s="1"/>
  <c r="Q339" i="4" a="1"/>
  <c r="Q339" i="4" s="1"/>
  <c r="Q340" i="4" a="1"/>
  <c r="Q340" i="4" s="1"/>
  <c r="Q341" i="4" a="1"/>
  <c r="Q341" i="4" s="1"/>
  <c r="Q342" i="4" a="1"/>
  <c r="Q342" i="4" s="1"/>
  <c r="Q343" i="4" a="1"/>
  <c r="Q343" i="4" s="1"/>
  <c r="Q344" i="4" a="1"/>
  <c r="Q344" i="4" s="1"/>
  <c r="Q345" i="4" a="1"/>
  <c r="Q345" i="4" s="1"/>
  <c r="Q346" i="4" a="1"/>
  <c r="Q346" i="4" s="1"/>
  <c r="Q347" i="4" a="1"/>
  <c r="Q347" i="4" s="1"/>
  <c r="Q348" i="4" a="1"/>
  <c r="Q348" i="4" s="1"/>
  <c r="Q349" i="4" a="1"/>
  <c r="Q349" i="4" s="1"/>
  <c r="Q350" i="4" a="1"/>
  <c r="Q350" i="4" s="1"/>
  <c r="Q351" i="4" a="1"/>
  <c r="Q351" i="4" s="1"/>
  <c r="Q352" i="4" a="1"/>
  <c r="Q352" i="4" s="1"/>
  <c r="Q353" i="4" a="1"/>
  <c r="Q353" i="4" s="1"/>
  <c r="Q354" i="4" a="1"/>
  <c r="Q354" i="4" s="1"/>
  <c r="Q355" i="4" a="1"/>
  <c r="Q355" i="4" s="1"/>
  <c r="Q356" i="4" a="1"/>
  <c r="Q356" i="4" s="1"/>
  <c r="Q357" i="4" a="1"/>
  <c r="Q357" i="4" s="1"/>
  <c r="Q358" i="4" a="1"/>
  <c r="Q358" i="4" s="1"/>
  <c r="Q359" i="4" a="1"/>
  <c r="Q359" i="4" s="1"/>
  <c r="Q360" i="4" a="1"/>
  <c r="Q360" i="4" s="1"/>
  <c r="Q361" i="4" a="1"/>
  <c r="Q361" i="4" s="1"/>
  <c r="Q362" i="4" a="1"/>
  <c r="Q362" i="4" s="1"/>
  <c r="Q363" i="4" a="1"/>
  <c r="Q363" i="4" s="1"/>
  <c r="Q364" i="4" a="1"/>
  <c r="Q364" i="4" s="1"/>
  <c r="Q365" i="4" a="1"/>
  <c r="Q365" i="4" s="1"/>
  <c r="Q366" i="4" a="1"/>
  <c r="Q366" i="4" s="1"/>
  <c r="Q367" i="4" a="1"/>
  <c r="Q367" i="4" s="1"/>
  <c r="Q368" i="4" a="1"/>
  <c r="Q368" i="4" s="1"/>
  <c r="Q369" i="4" a="1"/>
  <c r="Q369" i="4" s="1"/>
  <c r="Q370" i="4" a="1"/>
  <c r="Q370" i="4" s="1"/>
  <c r="Q371" i="4" a="1"/>
  <c r="Q371" i="4" s="1"/>
  <c r="Q372" i="4" a="1"/>
  <c r="Q372" i="4" s="1"/>
  <c r="Q373" i="4" a="1"/>
  <c r="Q373" i="4" s="1"/>
  <c r="Q374" i="4" a="1"/>
  <c r="Q374" i="4" s="1"/>
  <c r="Q375" i="4" a="1"/>
  <c r="Q375" i="4" s="1"/>
  <c r="Q376" i="4" a="1"/>
  <c r="Q376" i="4" s="1"/>
  <c r="Q377" i="4" a="1"/>
  <c r="Q377" i="4" s="1"/>
  <c r="Q378" i="4" a="1"/>
  <c r="Q378" i="4" s="1"/>
  <c r="Q379" i="4" a="1"/>
  <c r="Q379" i="4" s="1"/>
  <c r="Q380" i="4" a="1"/>
  <c r="Q380" i="4" s="1"/>
  <c r="Q381" i="4" a="1"/>
  <c r="Q381" i="4" s="1"/>
  <c r="Q382" i="4" a="1"/>
  <c r="Q382" i="4" s="1"/>
  <c r="Q383" i="4" a="1"/>
  <c r="Q383" i="4" s="1"/>
  <c r="Q384" i="4" a="1"/>
  <c r="Q384" i="4" s="1"/>
  <c r="Q385" i="4" a="1"/>
  <c r="Q385" i="4" s="1"/>
  <c r="Q386" i="4" a="1"/>
  <c r="Q386" i="4" s="1"/>
  <c r="Q387" i="4" a="1"/>
  <c r="Q387" i="4" s="1"/>
  <c r="Q388" i="4" a="1"/>
  <c r="Q388" i="4" s="1"/>
  <c r="Q389" i="4" a="1"/>
  <c r="Q389" i="4" s="1"/>
  <c r="Q390" i="4" a="1"/>
  <c r="Q390" i="4" s="1"/>
  <c r="Q391" i="4" a="1"/>
  <c r="Q391" i="4" s="1"/>
  <c r="Q392" i="4" a="1"/>
  <c r="Q392" i="4" s="1"/>
  <c r="Q393" i="4" a="1"/>
  <c r="Q393" i="4" s="1"/>
  <c r="Q394" i="4" a="1"/>
  <c r="Q394" i="4" s="1"/>
  <c r="Q395" i="4" a="1"/>
  <c r="Q395" i="4" s="1"/>
  <c r="Q396" i="4" a="1"/>
  <c r="Q396" i="4" s="1"/>
  <c r="Q397" i="4" a="1"/>
  <c r="Q397" i="4" s="1"/>
  <c r="Q398" i="4" a="1"/>
  <c r="Q398" i="4" s="1"/>
  <c r="Q399" i="4" a="1"/>
  <c r="Q399" i="4" s="1"/>
  <c r="Q400" i="4" a="1"/>
  <c r="Q400" i="4" s="1"/>
  <c r="Q401" i="4" a="1"/>
  <c r="Q401" i="4" s="1"/>
  <c r="Q402" i="4" a="1"/>
  <c r="Q402" i="4" s="1"/>
  <c r="Q403" i="4" a="1"/>
  <c r="Q403" i="4" s="1"/>
  <c r="Q404" i="4" a="1"/>
  <c r="Q404" i="4" s="1"/>
  <c r="Q405" i="4" a="1"/>
  <c r="Q405" i="4" s="1"/>
  <c r="Q406" i="4" a="1"/>
  <c r="Q406" i="4" s="1"/>
  <c r="Q407" i="4" a="1"/>
  <c r="Q407" i="4" s="1"/>
  <c r="Q408" i="4" a="1"/>
  <c r="Q408" i="4" s="1"/>
  <c r="Q409" i="4" a="1"/>
  <c r="Q409" i="4" s="1"/>
  <c r="Q410" i="4" a="1"/>
  <c r="Q410" i="4" s="1"/>
  <c r="Q411" i="4" a="1"/>
  <c r="Q411" i="4" s="1"/>
  <c r="Q412" i="4" a="1"/>
  <c r="Q412" i="4" s="1"/>
  <c r="Q413" i="4" a="1"/>
  <c r="Q413" i="4" s="1"/>
  <c r="Q414" i="4" a="1"/>
  <c r="Q414" i="4" s="1"/>
  <c r="Q415" i="4" a="1"/>
  <c r="Q415" i="4" s="1"/>
  <c r="Q416" i="4" a="1"/>
  <c r="Q416" i="4" s="1"/>
  <c r="Q417" i="4" a="1"/>
  <c r="Q417" i="4" s="1"/>
  <c r="Q418" i="4" a="1"/>
  <c r="Q418" i="4" s="1"/>
  <c r="Q419" i="4" a="1"/>
  <c r="Q419" i="4" s="1"/>
  <c r="Q420" i="4" a="1"/>
  <c r="Q420" i="4" s="1"/>
  <c r="Q421" i="4" a="1"/>
  <c r="Q421" i="4" s="1"/>
  <c r="Q422" i="4" a="1"/>
  <c r="Q422" i="4" s="1"/>
  <c r="Q423" i="4" a="1"/>
  <c r="Q423" i="4" s="1"/>
  <c r="Q424" i="4" a="1"/>
  <c r="Q424" i="4" s="1"/>
  <c r="Q425" i="4" a="1"/>
  <c r="Q425" i="4" s="1"/>
  <c r="Q426" i="4" a="1"/>
  <c r="Q426" i="4" s="1"/>
  <c r="Q427" i="4" a="1"/>
  <c r="Q427" i="4" s="1"/>
  <c r="Q428" i="4" a="1"/>
  <c r="Q428" i="4" s="1"/>
  <c r="Q429" i="4" a="1"/>
  <c r="Q429" i="4" s="1"/>
  <c r="Q430" i="4" a="1"/>
  <c r="Q430" i="4" s="1"/>
  <c r="Q431" i="4" a="1"/>
  <c r="Q431" i="4" s="1"/>
  <c r="Q432" i="4" a="1"/>
  <c r="Q432" i="4" s="1"/>
  <c r="Q433" i="4" a="1"/>
  <c r="Q433" i="4" s="1"/>
  <c r="Q434" i="4" a="1"/>
  <c r="Q434" i="4" s="1"/>
  <c r="Q435" i="4" a="1"/>
  <c r="Q435" i="4" s="1"/>
  <c r="Q436" i="4" a="1"/>
  <c r="Q436" i="4" s="1"/>
  <c r="Q437" i="4" a="1"/>
  <c r="Q437" i="4" s="1"/>
  <c r="Q438" i="4" a="1"/>
  <c r="Q438" i="4" s="1"/>
  <c r="Q439" i="4" a="1"/>
  <c r="Q439" i="4" s="1"/>
  <c r="Q440" i="4" a="1"/>
  <c r="Q440" i="4" s="1"/>
  <c r="Q441" i="4" a="1"/>
  <c r="Q441" i="4" s="1"/>
  <c r="Q442" i="4" a="1"/>
  <c r="Q442" i="4" s="1"/>
  <c r="Q443" i="4" a="1"/>
  <c r="Q443" i="4" s="1"/>
  <c r="Q444" i="4" a="1"/>
  <c r="Q444" i="4" s="1"/>
  <c r="Q445" i="4" a="1"/>
  <c r="Q445" i="4" s="1"/>
  <c r="Q446" i="4" a="1"/>
  <c r="Q446" i="4" s="1"/>
  <c r="Q447" i="4" a="1"/>
  <c r="Q447" i="4" s="1"/>
  <c r="Q448" i="4" a="1"/>
  <c r="Q448" i="4" s="1"/>
  <c r="Q449" i="4" a="1"/>
  <c r="Q449" i="4" s="1"/>
  <c r="Q450" i="4" a="1"/>
  <c r="Q450" i="4" s="1"/>
  <c r="Q451" i="4" a="1"/>
  <c r="Q451" i="4" s="1"/>
  <c r="Q452" i="4" a="1"/>
  <c r="Q452" i="4" s="1"/>
  <c r="Q453" i="4" a="1"/>
  <c r="Q453" i="4" s="1"/>
  <c r="Q454" i="4" a="1"/>
  <c r="Q454" i="4" s="1"/>
  <c r="Q455" i="4" a="1"/>
  <c r="Q455" i="4" s="1"/>
  <c r="Q456" i="4" a="1"/>
  <c r="Q456" i="4" s="1"/>
  <c r="Q457" i="4" a="1"/>
  <c r="Q457" i="4" s="1"/>
  <c r="Q458" i="4" a="1"/>
  <c r="Q458" i="4" s="1"/>
  <c r="Q459" i="4" a="1"/>
  <c r="Q459" i="4" s="1"/>
  <c r="Q460" i="4" a="1"/>
  <c r="Q460" i="4" s="1"/>
  <c r="Q461" i="4" a="1"/>
  <c r="Q461" i="4" s="1"/>
  <c r="Q462" i="4" a="1"/>
  <c r="Q462" i="4" s="1"/>
  <c r="Q463" i="4" a="1"/>
  <c r="Q463" i="4" s="1"/>
  <c r="Q464" i="4" a="1"/>
  <c r="Q464" i="4" s="1"/>
  <c r="Q465" i="4" a="1"/>
  <c r="Q465" i="4" s="1"/>
  <c r="Q466" i="4" a="1"/>
  <c r="Q466" i="4" s="1"/>
  <c r="Q467" i="4" a="1"/>
  <c r="Q467" i="4" s="1"/>
  <c r="Q468" i="4" a="1"/>
  <c r="Q468" i="4" s="1"/>
  <c r="Q469" i="4" a="1"/>
  <c r="Q469" i="4" s="1"/>
  <c r="Q470" i="4" a="1"/>
  <c r="Q470" i="4" s="1"/>
  <c r="Q471" i="4" a="1"/>
  <c r="Q471" i="4" s="1"/>
  <c r="Q472" i="4" a="1"/>
  <c r="Q472" i="4" s="1"/>
  <c r="Q473" i="4" a="1"/>
  <c r="Q473" i="4" s="1"/>
  <c r="Q474" i="4" a="1"/>
  <c r="Q474" i="4" s="1"/>
  <c r="Q475" i="4" a="1"/>
  <c r="Q475" i="4" s="1"/>
  <c r="Q476" i="4" a="1"/>
  <c r="Q476" i="4" s="1"/>
  <c r="Q477" i="4" a="1"/>
  <c r="Q477" i="4" s="1"/>
  <c r="Q478" i="4" a="1"/>
  <c r="Q478" i="4" s="1"/>
  <c r="Q479" i="4" a="1"/>
  <c r="Q479" i="4" s="1"/>
  <c r="Q480" i="4" a="1"/>
  <c r="Q480" i="4" s="1"/>
  <c r="Q481" i="4" a="1"/>
  <c r="Q481" i="4" s="1"/>
  <c r="Q482" i="4" a="1"/>
  <c r="Q482" i="4" s="1"/>
  <c r="Q483" i="4" a="1"/>
  <c r="Q483" i="4" s="1"/>
  <c r="Q484" i="4" a="1"/>
  <c r="Q484" i="4" s="1"/>
  <c r="Q485" i="4" a="1"/>
  <c r="Q485" i="4" s="1"/>
  <c r="Q486" i="4" a="1"/>
  <c r="Q486" i="4" s="1"/>
  <c r="Q487" i="4" a="1"/>
  <c r="Q487" i="4" s="1"/>
  <c r="Q488" i="4" a="1"/>
  <c r="Q488" i="4" s="1"/>
  <c r="Q489" i="4" a="1"/>
  <c r="Q489" i="4" s="1"/>
  <c r="Q490" i="4" a="1"/>
  <c r="Q490" i="4" s="1"/>
  <c r="Q491" i="4" a="1"/>
  <c r="Q491" i="4" s="1"/>
  <c r="Q492" i="4" a="1"/>
  <c r="Q492" i="4" s="1"/>
  <c r="Q493" i="4" a="1"/>
  <c r="Q493" i="4" s="1"/>
  <c r="Q494" i="4" a="1"/>
  <c r="Q494" i="4" s="1"/>
  <c r="Q495" i="4" a="1"/>
  <c r="Q495" i="4" s="1"/>
  <c r="Q496" i="4" a="1"/>
  <c r="Q496" i="4" s="1"/>
  <c r="Q497" i="4" a="1"/>
  <c r="Q497" i="4" s="1"/>
  <c r="Q498" i="4" a="1"/>
  <c r="Q498" i="4" s="1"/>
  <c r="Q499" i="4" a="1"/>
  <c r="Q499" i="4" s="1"/>
  <c r="Q500" i="4" a="1"/>
  <c r="Q500" i="4" s="1"/>
  <c r="Q501" i="4" a="1"/>
  <c r="Q501" i="4" s="1"/>
  <c r="Q502" i="4" a="1"/>
  <c r="Q502" i="4" s="1"/>
  <c r="Q503" i="4" a="1"/>
  <c r="Q503" i="4" s="1"/>
  <c r="Q504" i="4" a="1"/>
  <c r="Q504" i="4" s="1"/>
  <c r="Q505" i="4" a="1"/>
  <c r="Q505" i="4" s="1"/>
  <c r="Q506" i="4" a="1"/>
  <c r="Q506" i="4" s="1"/>
  <c r="Q507" i="4" a="1"/>
  <c r="Q507" i="4" s="1"/>
  <c r="Q508" i="4" a="1"/>
  <c r="Q508" i="4" s="1"/>
  <c r="Q509" i="4" a="1"/>
  <c r="Q509" i="4" s="1"/>
  <c r="Q510" i="4" a="1"/>
  <c r="Q510" i="4" s="1"/>
  <c r="Q511" i="4" a="1"/>
  <c r="Q511" i="4" s="1"/>
  <c r="Q512" i="4" a="1"/>
  <c r="Q512" i="4" s="1"/>
  <c r="Q513" i="4" a="1"/>
  <c r="Q513" i="4" s="1"/>
  <c r="Q514" i="4" a="1"/>
  <c r="Q514" i="4" s="1"/>
  <c r="Q515" i="4" a="1"/>
  <c r="Q515" i="4" s="1"/>
  <c r="Q516" i="4" a="1"/>
  <c r="Q516" i="4" s="1"/>
  <c r="Q517" i="4" a="1"/>
  <c r="Q517" i="4" s="1"/>
  <c r="Q518" i="4" a="1"/>
  <c r="Q518" i="4" s="1"/>
  <c r="Q519" i="4" a="1"/>
  <c r="Q519" i="4" s="1"/>
  <c r="Q520" i="4" a="1"/>
  <c r="Q520" i="4" s="1"/>
  <c r="Q521" i="4" a="1"/>
  <c r="Q521" i="4" s="1"/>
  <c r="Q522" i="4" a="1"/>
  <c r="Q522" i="4" s="1"/>
  <c r="Q523" i="4" a="1"/>
  <c r="Q523" i="4" s="1"/>
  <c r="Q524" i="4" a="1"/>
  <c r="Q524" i="4" s="1"/>
  <c r="Q525" i="4" a="1"/>
  <c r="Q525" i="4" s="1"/>
  <c r="Q526" i="4" a="1"/>
  <c r="Q526" i="4" s="1"/>
  <c r="Q527" i="4" a="1"/>
  <c r="Q527" i="4" s="1"/>
  <c r="Q528" i="4" a="1"/>
  <c r="Q528" i="4" s="1"/>
  <c r="Q529" i="4" a="1"/>
  <c r="Q529" i="4" s="1"/>
  <c r="Q530" i="4" a="1"/>
  <c r="Q530" i="4" s="1"/>
  <c r="Q531" i="4" a="1"/>
  <c r="Q531" i="4" s="1"/>
  <c r="Q532" i="4" a="1"/>
  <c r="Q532" i="4" s="1"/>
  <c r="Q533" i="4" a="1"/>
  <c r="Q533" i="4" s="1"/>
  <c r="Q534" i="4" a="1"/>
  <c r="Q534" i="4" s="1"/>
  <c r="Q535" i="4" a="1"/>
  <c r="Q535" i="4" s="1"/>
  <c r="Q536" i="4" a="1"/>
  <c r="Q536" i="4" s="1"/>
  <c r="Q537" i="4" a="1"/>
  <c r="Q537" i="4" s="1"/>
  <c r="Q538" i="4" a="1"/>
  <c r="Q538" i="4" s="1"/>
  <c r="Q539" i="4" a="1"/>
  <c r="Q539" i="4" s="1"/>
  <c r="Q540" i="4" a="1"/>
  <c r="Q540" i="4" s="1"/>
  <c r="Q541" i="4" a="1"/>
  <c r="Q541" i="4" s="1"/>
  <c r="Q542" i="4" a="1"/>
  <c r="Q542" i="4" s="1"/>
  <c r="Q543" i="4" a="1"/>
  <c r="Q543" i="4" s="1"/>
  <c r="Q544" i="4" a="1"/>
  <c r="Q544" i="4" s="1"/>
  <c r="Q545" i="4" a="1"/>
  <c r="Q545" i="4" s="1"/>
  <c r="Q546" i="4" a="1"/>
  <c r="Q546" i="4" s="1"/>
  <c r="Q547" i="4" a="1"/>
  <c r="Q547" i="4" s="1"/>
  <c r="Q548" i="4" a="1"/>
  <c r="Q548" i="4" s="1"/>
  <c r="Q549" i="4" a="1"/>
  <c r="Q549" i="4" s="1"/>
  <c r="Q550" i="4" a="1"/>
  <c r="Q550" i="4" s="1"/>
  <c r="Q551" i="4" a="1"/>
  <c r="Q551" i="4" s="1"/>
  <c r="Q552" i="4" a="1"/>
  <c r="Q552" i="4" s="1"/>
  <c r="Q553" i="4" a="1"/>
  <c r="Q553" i="4" s="1"/>
  <c r="Q554" i="4" a="1"/>
  <c r="Q554" i="4" s="1"/>
  <c r="Q555" i="4" a="1"/>
  <c r="Q555" i="4" s="1"/>
  <c r="Q556" i="4" a="1"/>
  <c r="Q556" i="4" s="1"/>
  <c r="Q557" i="4" a="1"/>
  <c r="Q557" i="4" s="1"/>
  <c r="Q558" i="4" a="1"/>
  <c r="Q558" i="4" s="1"/>
  <c r="Q559" i="4" a="1"/>
  <c r="Q559" i="4" s="1"/>
  <c r="Q560" i="4" a="1"/>
  <c r="Q560" i="4" s="1"/>
  <c r="Q561" i="4" a="1"/>
  <c r="Q561" i="4" s="1"/>
  <c r="Q562" i="4" a="1"/>
  <c r="Q562" i="4" s="1"/>
  <c r="Q563" i="4" a="1"/>
  <c r="Q563" i="4" s="1"/>
  <c r="Q564" i="4" a="1"/>
  <c r="Q564" i="4" s="1"/>
  <c r="Q565" i="4" a="1"/>
  <c r="Q565" i="4" s="1"/>
  <c r="Q566" i="4" a="1"/>
  <c r="Q566" i="4" s="1"/>
  <c r="Q567" i="4" a="1"/>
  <c r="Q567" i="4" s="1"/>
  <c r="Q568" i="4" a="1"/>
  <c r="Q568" i="4" s="1"/>
  <c r="Q569" i="4" a="1"/>
  <c r="Q569" i="4" s="1"/>
  <c r="Q570" i="4" a="1"/>
  <c r="Q570" i="4" s="1"/>
  <c r="Q571" i="4" a="1"/>
  <c r="Q571" i="4" s="1"/>
  <c r="Q572" i="4" a="1"/>
  <c r="Q572" i="4" s="1"/>
  <c r="Q573" i="4" a="1"/>
  <c r="Q573" i="4" s="1"/>
  <c r="Q574" i="4" a="1"/>
  <c r="Q574" i="4" s="1"/>
  <c r="Q575" i="4" a="1"/>
  <c r="Q575" i="4" s="1"/>
  <c r="Q576" i="4" a="1"/>
  <c r="Q576" i="4" s="1"/>
  <c r="Q577" i="4" a="1"/>
  <c r="Q577" i="4" s="1"/>
  <c r="Q578" i="4" a="1"/>
  <c r="Q578" i="4" s="1"/>
  <c r="Q579" i="4" a="1"/>
  <c r="Q579" i="4" s="1"/>
  <c r="Q580" i="4" a="1"/>
  <c r="Q580" i="4" s="1"/>
  <c r="Q581" i="4" a="1"/>
  <c r="Q581" i="4" s="1"/>
  <c r="Q582" i="4" a="1"/>
  <c r="Q582" i="4" s="1"/>
  <c r="Q583" i="4" a="1"/>
  <c r="Q583" i="4" s="1"/>
  <c r="Q584" i="4" a="1"/>
  <c r="Q584" i="4" s="1"/>
  <c r="Q585" i="4" a="1"/>
  <c r="Q585" i="4" s="1"/>
  <c r="Q586" i="4" a="1"/>
  <c r="Q586" i="4" s="1"/>
  <c r="Q587" i="4" a="1"/>
  <c r="Q587" i="4" s="1"/>
  <c r="Q588" i="4" a="1"/>
  <c r="Q588" i="4" s="1"/>
  <c r="Q589" i="4" a="1"/>
  <c r="Q589" i="4" s="1"/>
  <c r="Q590" i="4" a="1"/>
  <c r="Q590" i="4" s="1"/>
  <c r="Q591" i="4" a="1"/>
  <c r="Q591" i="4" s="1"/>
  <c r="Q592" i="4" a="1"/>
  <c r="Q592" i="4" s="1"/>
  <c r="Q593" i="4" a="1"/>
  <c r="Q593" i="4" s="1"/>
  <c r="Q594" i="4" a="1"/>
  <c r="Q594" i="4" s="1"/>
  <c r="Q595" i="4" a="1"/>
  <c r="Q595" i="4" s="1"/>
  <c r="Q596" i="4" a="1"/>
  <c r="Q596" i="4" s="1"/>
  <c r="Q597" i="4" a="1"/>
  <c r="Q597" i="4" s="1"/>
  <c r="Q598" i="4" a="1"/>
  <c r="Q598" i="4" s="1"/>
  <c r="Q599" i="4" a="1"/>
  <c r="Q599" i="4" s="1"/>
  <c r="Q600" i="4" a="1"/>
  <c r="Q600" i="4" s="1"/>
  <c r="Q601" i="4" a="1"/>
  <c r="Q601" i="4" s="1"/>
  <c r="Q602" i="4" a="1"/>
  <c r="Q602" i="4" s="1"/>
  <c r="Q603" i="4" a="1"/>
  <c r="Q603" i="4" s="1"/>
  <c r="Q604" i="4" a="1"/>
  <c r="Q604" i="4" s="1"/>
  <c r="Q605" i="4" a="1"/>
  <c r="Q605" i="4" s="1"/>
  <c r="Q606" i="4" a="1"/>
  <c r="Q606" i="4" s="1"/>
  <c r="Q607" i="4" a="1"/>
  <c r="Q607" i="4" s="1"/>
  <c r="Q608" i="4" a="1"/>
  <c r="Q608" i="4" s="1"/>
  <c r="Q609" i="4" a="1"/>
  <c r="Q609" i="4" s="1"/>
  <c r="Q610" i="4" a="1"/>
  <c r="Q610" i="4" s="1"/>
  <c r="Q611" i="4" a="1"/>
  <c r="Q611" i="4" s="1"/>
  <c r="Q612" i="4" a="1"/>
  <c r="Q612" i="4" s="1"/>
  <c r="Q613" i="4" a="1"/>
  <c r="Q613" i="4" s="1"/>
  <c r="Q614" i="4" a="1"/>
  <c r="Q614" i="4" s="1"/>
  <c r="Q615" i="4" a="1"/>
  <c r="Q615" i="4" s="1"/>
  <c r="Q616" i="4" a="1"/>
  <c r="Q616" i="4" s="1"/>
  <c r="Q617" i="4" a="1"/>
  <c r="Q617" i="4" s="1"/>
  <c r="Q618" i="4" a="1"/>
  <c r="Q618" i="4" s="1"/>
  <c r="Q619" i="4" a="1"/>
  <c r="Q619" i="4" s="1"/>
  <c r="Q620" i="4" a="1"/>
  <c r="Q620" i="4" s="1"/>
  <c r="Q621" i="4" a="1"/>
  <c r="Q621" i="4" s="1"/>
  <c r="Q622" i="4" a="1"/>
  <c r="Q622" i="4" s="1"/>
  <c r="Q623" i="4" a="1"/>
  <c r="Q623" i="4" s="1"/>
  <c r="Q624" i="4" a="1"/>
  <c r="Q624" i="4" s="1"/>
  <c r="Q625" i="4" a="1"/>
  <c r="Q625" i="4" s="1"/>
  <c r="Q626" i="4" a="1"/>
  <c r="Q626" i="4" s="1"/>
  <c r="Q627" i="4" a="1"/>
  <c r="Q627" i="4" s="1"/>
  <c r="Q628" i="4" a="1"/>
  <c r="Q628" i="4" s="1"/>
  <c r="Q629" i="4" a="1"/>
  <c r="Q629" i="4" s="1"/>
  <c r="Q630" i="4" a="1"/>
  <c r="Q630" i="4" s="1"/>
  <c r="Q631" i="4" a="1"/>
  <c r="Q631" i="4" s="1"/>
  <c r="Q632" i="4" a="1"/>
  <c r="Q632" i="4" s="1"/>
  <c r="Q633" i="4" a="1"/>
  <c r="Q633" i="4" s="1"/>
  <c r="Q634" i="4" a="1"/>
  <c r="Q634" i="4" s="1"/>
  <c r="Q635" i="4" a="1"/>
  <c r="Q635" i="4" s="1"/>
  <c r="Q636" i="4" a="1"/>
  <c r="Q636" i="4" s="1"/>
  <c r="Q637" i="4" a="1"/>
  <c r="Q637" i="4" s="1"/>
  <c r="Q638" i="4" a="1"/>
  <c r="Q638" i="4" s="1"/>
  <c r="Q639" i="4" a="1"/>
  <c r="Q639" i="4" s="1"/>
  <c r="Q640" i="4" a="1"/>
  <c r="Q640" i="4" s="1"/>
  <c r="Q641" i="4" a="1"/>
  <c r="Q641" i="4" s="1"/>
  <c r="Q642" i="4" a="1"/>
  <c r="Q642" i="4" s="1"/>
  <c r="Q643" i="4" a="1"/>
  <c r="Q643" i="4" s="1"/>
  <c r="Q644" i="4" a="1"/>
  <c r="Q644" i="4" s="1"/>
  <c r="Q645" i="4" a="1"/>
  <c r="Q645" i="4" s="1"/>
  <c r="Q646" i="4" a="1"/>
  <c r="Q646" i="4" s="1"/>
  <c r="Q647" i="4" a="1"/>
  <c r="Q647" i="4" s="1"/>
  <c r="Q648" i="4" a="1"/>
  <c r="Q648" i="4" s="1"/>
  <c r="Q649" i="4" a="1"/>
  <c r="Q649" i="4" s="1"/>
  <c r="Q650" i="4" a="1"/>
  <c r="Q650" i="4" s="1"/>
  <c r="Q651" i="4" a="1"/>
  <c r="Q651" i="4" s="1"/>
  <c r="Q652" i="4" a="1"/>
  <c r="Q652" i="4" s="1"/>
  <c r="Q653" i="4" a="1"/>
  <c r="Q653" i="4" s="1"/>
  <c r="Q654" i="4" a="1"/>
  <c r="Q654" i="4" s="1"/>
  <c r="Q655" i="4" a="1"/>
  <c r="Q655" i="4" s="1"/>
  <c r="Q656" i="4" a="1"/>
  <c r="Q656" i="4" s="1"/>
  <c r="Q657" i="4" a="1"/>
  <c r="Q657" i="4" s="1"/>
  <c r="Q658" i="4" a="1"/>
  <c r="Q658" i="4" s="1"/>
  <c r="Q659" i="4" a="1"/>
  <c r="Q659" i="4" s="1"/>
  <c r="Q660" i="4" a="1"/>
  <c r="Q660" i="4" s="1"/>
  <c r="Q661" i="4" a="1"/>
  <c r="Q661" i="4" s="1"/>
  <c r="Q662" i="4" a="1"/>
  <c r="Q662" i="4" s="1"/>
  <c r="Q663" i="4" a="1"/>
  <c r="Q663" i="4" s="1"/>
  <c r="Q664" i="4" a="1"/>
  <c r="Q664" i="4" s="1"/>
  <c r="Q665" i="4" a="1"/>
  <c r="Q665" i="4" s="1"/>
  <c r="Q666" i="4" a="1"/>
  <c r="Q666" i="4" s="1"/>
  <c r="Q667" i="4" a="1"/>
  <c r="Q667" i="4" s="1"/>
  <c r="Q668" i="4" a="1"/>
  <c r="Q668" i="4" s="1"/>
  <c r="Q669" i="4" a="1"/>
  <c r="Q669" i="4" s="1"/>
  <c r="Q670" i="4" a="1"/>
  <c r="Q670" i="4" s="1"/>
  <c r="Q671" i="4" a="1"/>
  <c r="Q671" i="4" s="1"/>
  <c r="Q672" i="4" a="1"/>
  <c r="Q672" i="4" s="1"/>
  <c r="Q673" i="4" a="1"/>
  <c r="Q673" i="4" s="1"/>
  <c r="Q674" i="4" a="1"/>
  <c r="Q674" i="4" s="1"/>
  <c r="Q675" i="4" a="1"/>
  <c r="Q675" i="4" s="1"/>
  <c r="Q676" i="4" a="1"/>
  <c r="Q676" i="4" s="1"/>
  <c r="Q677" i="4" a="1"/>
  <c r="Q677" i="4" s="1"/>
  <c r="Q678" i="4" a="1"/>
  <c r="Q678" i="4" s="1"/>
  <c r="Q679" i="4" a="1"/>
  <c r="Q679" i="4" s="1"/>
  <c r="Q680" i="4" a="1"/>
  <c r="Q680" i="4" s="1"/>
  <c r="Q681" i="4" a="1"/>
  <c r="Q681" i="4" s="1"/>
  <c r="Q682" i="4" a="1"/>
  <c r="Q682" i="4" s="1"/>
  <c r="Q683" i="4" a="1"/>
  <c r="Q683" i="4" s="1"/>
  <c r="Q684" i="4" a="1"/>
  <c r="Q684" i="4" s="1"/>
  <c r="Q685" i="4" a="1"/>
  <c r="Q685" i="4" s="1"/>
  <c r="Q686" i="4" a="1"/>
  <c r="Q686" i="4" s="1"/>
  <c r="Q687" i="4" a="1"/>
  <c r="Q687" i="4" s="1"/>
  <c r="Q688" i="4" a="1"/>
  <c r="Q688" i="4" s="1"/>
  <c r="Q689" i="4" a="1"/>
  <c r="Q689" i="4" s="1"/>
  <c r="Q690" i="4" a="1"/>
  <c r="Q690" i="4" s="1"/>
  <c r="Q691" i="4" a="1"/>
  <c r="Q691" i="4" s="1"/>
  <c r="Q692" i="4" a="1"/>
  <c r="Q692" i="4" s="1"/>
  <c r="Q693" i="4" a="1"/>
  <c r="Q693" i="4" s="1"/>
  <c r="Q694" i="4" a="1"/>
  <c r="Q694" i="4" s="1"/>
  <c r="Q695" i="4" a="1"/>
  <c r="Q695" i="4" s="1"/>
  <c r="Q696" i="4" a="1"/>
  <c r="Q696" i="4" s="1"/>
  <c r="Q697" i="4" a="1"/>
  <c r="Q697" i="4" s="1"/>
  <c r="Q698" i="4" a="1"/>
  <c r="Q698" i="4" s="1"/>
  <c r="Q699" i="4" a="1"/>
  <c r="Q699" i="4" s="1"/>
  <c r="Q700" i="4" a="1"/>
  <c r="Q700" i="4" s="1"/>
  <c r="Q701" i="4" a="1"/>
  <c r="Q701" i="4" s="1"/>
  <c r="Q702" i="4" a="1"/>
  <c r="Q702" i="4" s="1"/>
  <c r="Q703" i="4" a="1"/>
  <c r="Q703" i="4" s="1"/>
  <c r="Q704" i="4" a="1"/>
  <c r="Q704" i="4" s="1"/>
  <c r="Q705" i="4" a="1"/>
  <c r="Q705" i="4" s="1"/>
  <c r="Q706" i="4" a="1"/>
  <c r="Q706" i="4" s="1"/>
  <c r="Q707" i="4" a="1"/>
  <c r="Q707" i="4" s="1"/>
  <c r="Q708" i="4" a="1"/>
  <c r="Q708" i="4" s="1"/>
  <c r="Q709" i="4" a="1"/>
  <c r="Q709" i="4" s="1"/>
  <c r="Q710" i="4" a="1"/>
  <c r="Q710" i="4" s="1"/>
  <c r="Q711" i="4" a="1"/>
  <c r="Q711" i="4" s="1"/>
  <c r="Q712" i="4" a="1"/>
  <c r="Q712" i="4" s="1"/>
  <c r="Q713" i="4" a="1"/>
  <c r="Q713" i="4" s="1"/>
  <c r="Q714" i="4" a="1"/>
  <c r="Q714" i="4" s="1"/>
  <c r="Q715" i="4" a="1"/>
  <c r="Q715" i="4" s="1"/>
  <c r="Q716" i="4" a="1"/>
  <c r="Q716" i="4" s="1"/>
  <c r="Q717" i="4" a="1"/>
  <c r="Q717" i="4" s="1"/>
  <c r="Q718" i="4" a="1"/>
  <c r="Q718" i="4" s="1"/>
  <c r="Q719" i="4" a="1"/>
  <c r="Q719" i="4" s="1"/>
  <c r="Q720" i="4" a="1"/>
  <c r="Q720" i="4" s="1"/>
  <c r="Q721" i="4" a="1"/>
  <c r="Q721" i="4" s="1"/>
  <c r="Q722" i="4" a="1"/>
  <c r="Q722" i="4" s="1"/>
  <c r="Q723" i="4" a="1"/>
  <c r="Q723" i="4" s="1"/>
  <c r="Q724" i="4" a="1"/>
  <c r="Q724" i="4" s="1"/>
  <c r="Q725" i="4" a="1"/>
  <c r="Q725" i="4" s="1"/>
  <c r="Q726" i="4" a="1"/>
  <c r="Q726" i="4" s="1"/>
  <c r="Q727" i="4" a="1"/>
  <c r="Q727" i="4" s="1"/>
  <c r="Q728" i="4" a="1"/>
  <c r="Q728" i="4" s="1"/>
  <c r="Q729" i="4" a="1"/>
  <c r="Q729" i="4" s="1"/>
  <c r="Q730" i="4" a="1"/>
  <c r="Q730" i="4" s="1"/>
  <c r="Q731" i="4" a="1"/>
  <c r="Q731" i="4" s="1"/>
  <c r="Q732" i="4" a="1"/>
  <c r="Q732" i="4" s="1"/>
  <c r="Q733" i="4" a="1"/>
  <c r="Q733" i="4" s="1"/>
  <c r="Q734" i="4" a="1"/>
  <c r="Q734" i="4" s="1"/>
  <c r="Q735" i="4" a="1"/>
  <c r="Q735" i="4" s="1"/>
  <c r="Q736" i="4" a="1"/>
  <c r="Q736" i="4" s="1"/>
  <c r="Q737" i="4" a="1"/>
  <c r="Q737" i="4" s="1"/>
  <c r="Q738" i="4" a="1"/>
  <c r="Q738" i="4" s="1"/>
  <c r="Q739" i="4" a="1"/>
  <c r="Q739" i="4" s="1"/>
  <c r="Q740" i="4" a="1"/>
  <c r="Q740" i="4" s="1"/>
  <c r="Q741" i="4" a="1"/>
  <c r="Q741" i="4" s="1"/>
  <c r="Q742" i="4" a="1"/>
  <c r="Q742" i="4" s="1"/>
  <c r="Q743" i="4" a="1"/>
  <c r="Q743" i="4" s="1"/>
  <c r="Q744" i="4" a="1"/>
  <c r="Q744" i="4" s="1"/>
  <c r="Q745" i="4" a="1"/>
  <c r="Q745" i="4" s="1"/>
  <c r="Q746" i="4" a="1"/>
  <c r="Q746" i="4" s="1"/>
  <c r="Q747" i="4" a="1"/>
  <c r="Q747" i="4" s="1"/>
  <c r="Q748" i="4" a="1"/>
  <c r="Q748" i="4" s="1"/>
  <c r="Q749" i="4" a="1"/>
  <c r="Q749" i="4" s="1"/>
  <c r="Q750" i="4" a="1"/>
  <c r="Q750" i="4" s="1"/>
  <c r="Q751" i="4" a="1"/>
  <c r="Q751" i="4" s="1"/>
  <c r="Q752" i="4" a="1"/>
  <c r="Q752" i="4" s="1"/>
  <c r="Q753" i="4" a="1"/>
  <c r="Q753" i="4" s="1"/>
  <c r="Q754" i="4" a="1"/>
  <c r="Q754" i="4" s="1"/>
  <c r="Q755" i="4" a="1"/>
  <c r="Q755" i="4" s="1"/>
  <c r="Q756" i="4" a="1"/>
  <c r="Q756" i="4" s="1"/>
  <c r="Q757" i="4" a="1"/>
  <c r="Q757" i="4" s="1"/>
  <c r="Q758" i="4" a="1"/>
  <c r="Q758" i="4" s="1"/>
  <c r="Q759" i="4" a="1"/>
  <c r="Q759" i="4" s="1"/>
  <c r="Q760" i="4" a="1"/>
  <c r="Q760" i="4" s="1"/>
  <c r="Q761" i="4" a="1"/>
  <c r="Q761" i="4" s="1"/>
  <c r="Q762" i="4" a="1"/>
  <c r="Q762" i="4" s="1"/>
  <c r="Q763" i="4" a="1"/>
  <c r="Q763" i="4" s="1"/>
  <c r="Q764" i="4" a="1"/>
  <c r="Q764" i="4" s="1"/>
  <c r="Q765" i="4" a="1"/>
  <c r="Q765" i="4" s="1"/>
  <c r="Q766" i="4" a="1"/>
  <c r="Q766" i="4" s="1"/>
  <c r="Q767" i="4" a="1"/>
  <c r="Q767" i="4" s="1"/>
  <c r="Q768" i="4" a="1"/>
  <c r="Q768" i="4" s="1"/>
  <c r="Q769" i="4" a="1"/>
  <c r="Q769" i="4" s="1"/>
  <c r="Q770" i="4" a="1"/>
  <c r="Q770" i="4" s="1"/>
  <c r="Q771" i="4" a="1"/>
  <c r="Q771" i="4" s="1"/>
  <c r="Q772" i="4" a="1"/>
  <c r="Q772" i="4" s="1"/>
  <c r="Q773" i="4" a="1"/>
  <c r="Q773" i="4" s="1"/>
  <c r="Q774" i="4" a="1"/>
  <c r="Q774" i="4" s="1"/>
  <c r="Q775" i="4" a="1"/>
  <c r="Q775" i="4" s="1"/>
  <c r="Q776" i="4" a="1"/>
  <c r="Q776" i="4" s="1"/>
  <c r="Q777" i="4" a="1"/>
  <c r="Q777" i="4" s="1"/>
  <c r="Q778" i="4" a="1"/>
  <c r="Q778" i="4" s="1"/>
  <c r="Q779" i="4" a="1"/>
  <c r="Q779" i="4" s="1"/>
  <c r="Q780" i="4" a="1"/>
  <c r="Q780" i="4" s="1"/>
  <c r="Q781" i="4" a="1"/>
  <c r="Q781" i="4" s="1"/>
  <c r="Q782" i="4" a="1"/>
  <c r="Q782" i="4" s="1"/>
  <c r="Q783" i="4" a="1"/>
  <c r="Q783" i="4" s="1"/>
  <c r="Q784" i="4" a="1"/>
  <c r="Q784" i="4" s="1"/>
  <c r="Q785" i="4" a="1"/>
  <c r="Q785" i="4" s="1"/>
  <c r="Q786" i="4" a="1"/>
  <c r="Q786" i="4" s="1"/>
  <c r="Q787" i="4" a="1"/>
  <c r="Q787" i="4" s="1"/>
  <c r="Q788" i="4" a="1"/>
  <c r="Q788" i="4" s="1"/>
  <c r="Q789" i="4" a="1"/>
  <c r="Q789" i="4" s="1"/>
  <c r="Q790" i="4" a="1"/>
  <c r="Q790" i="4" s="1"/>
  <c r="Q791" i="4" a="1"/>
  <c r="Q791" i="4" s="1"/>
  <c r="Q792" i="4" a="1"/>
  <c r="Q792" i="4" s="1"/>
  <c r="Q793" i="4" a="1"/>
  <c r="Q793" i="4" s="1"/>
  <c r="Q794" i="4" a="1"/>
  <c r="Q794" i="4" s="1"/>
  <c r="Q795" i="4" a="1"/>
  <c r="Q795" i="4" s="1"/>
  <c r="Q796" i="4" a="1"/>
  <c r="Q796" i="4" s="1"/>
  <c r="Q797" i="4" a="1"/>
  <c r="Q797" i="4" s="1"/>
  <c r="Q798" i="4" a="1"/>
  <c r="Q798" i="4" s="1"/>
  <c r="Q799" i="4" a="1"/>
  <c r="Q799" i="4" s="1"/>
  <c r="Q800" i="4" a="1"/>
  <c r="Q800" i="4" s="1"/>
  <c r="Q801" i="4" a="1"/>
  <c r="Q801" i="4" s="1"/>
  <c r="Q802" i="4" a="1"/>
  <c r="Q802" i="4" s="1"/>
  <c r="Q803" i="4" a="1"/>
  <c r="Q803" i="4" s="1"/>
  <c r="Q4" i="4" a="1"/>
  <c r="Q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M2" authorId="0" shapeId="0" xr:uid="{4BC092C0-79AC-4FAE-9F04-E804D6F3DEFB}">
      <text>
        <r>
          <rPr>
            <b/>
            <sz val="9"/>
            <color indexed="81"/>
            <rFont val="Tahoma"/>
            <family val="2"/>
          </rPr>
          <t>Hàm &amp; các cột ROHS/MSDS/CO/Chứng chỉ an toàn</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B14" authorId="0" shapeId="0" xr:uid="{CE6DB114-7CD4-409D-864E-B37E56A6F6D3}">
      <text>
        <r>
          <rPr>
            <b/>
            <sz val="9"/>
            <color indexed="81"/>
            <rFont val="Tahoma"/>
            <family val="2"/>
          </rPr>
          <t>Hàm &amp; các cột ROHS/MSDS/CO/Chứng chỉ an toàn</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Ngan, NguyenThi (BIVN-PR1 MC)</author>
    <author>Thuy, VuThiPhuong (BIVN-PUR PUR)</author>
  </authors>
  <commentList>
    <comment ref="A2" authorId="0" shapeId="0" xr:uid="{8FB6AEE6-D20F-4F5E-8E3A-E07E6CB2A055}">
      <text>
        <r>
          <rPr>
            <b/>
            <sz val="9"/>
            <color indexed="81"/>
            <rFont val="Tahoma"/>
          </rPr>
          <t>Định dạng: ngày/ tháng/ năm</t>
        </r>
        <r>
          <rPr>
            <sz val="9"/>
            <color indexed="81"/>
            <rFont val="Tahoma"/>
          </rPr>
          <t xml:space="preserve">
</t>
        </r>
      </text>
    </comment>
    <comment ref="M2" authorId="1" shapeId="0" xr:uid="{B3E86426-45DC-4DB0-AE77-22ABAB9C824B}">
      <text>
        <r>
          <rPr>
            <b/>
            <sz val="9"/>
            <color indexed="81"/>
            <rFont val="Tahoma"/>
            <family val="2"/>
          </rPr>
          <t>Hàm &amp; các cột ROHS/MSDS/CO/Chứng chỉ an toàn</t>
        </r>
        <r>
          <rPr>
            <sz val="9"/>
            <color indexed="81"/>
            <rFont val="Tahoma"/>
            <family val="2"/>
          </rPr>
          <t xml:space="preserve">
</t>
        </r>
      </text>
    </comment>
    <comment ref="Z2" authorId="0" shapeId="0" xr:uid="{83638D83-8CD8-408A-8F19-DB3CFC66BB51}">
      <text>
        <r>
          <rPr>
            <b/>
            <sz val="9"/>
            <color indexed="81"/>
            <rFont val="Tahoma"/>
          </rPr>
          <t>Định dạng: Ngày/tháng/ năm</t>
        </r>
        <r>
          <rPr>
            <sz val="9"/>
            <color indexed="81"/>
            <rFont val="Tahoma"/>
          </rPr>
          <t xml:space="preserve">
</t>
        </r>
      </text>
    </comment>
    <comment ref="AA2" authorId="0" shapeId="0" xr:uid="{28347CF0-3C6B-4CDC-B338-C2401E597234}">
      <text>
        <r>
          <rPr>
            <b/>
            <sz val="9"/>
            <color indexed="81"/>
            <rFont val="Tahoma"/>
          </rPr>
          <t>Định dạng: Ngày/ tháng năm</t>
        </r>
        <r>
          <rPr>
            <sz val="9"/>
            <color indexed="81"/>
            <rFont val="Tahoma"/>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<sst xmlns="http://schemas.openxmlformats.org/spreadsheetml/2006/main" count="12054" uniqueCount="3053">
  <si>
    <t>Số đơn yêu cầu báo giá 
Quotation Request Number</t>
  </si>
  <si>
    <t>Mã thiết bị
Equipment code</t>
  </si>
  <si>
    <t>Vendor code
Mã nhà cung cấp</t>
  </si>
  <si>
    <t>Mã hàng nội bộ
BIVN's part code</t>
  </si>
  <si>
    <t>Mã hàng của NCC
Vendor's good code</t>
  </si>
  <si>
    <t>Tên hàng tiếng Việt 
Part name(Vietnamese)</t>
  </si>
  <si>
    <t>Tên hàng tiếng anh
Part name (English)</t>
  </si>
  <si>
    <t>Số lượng
Quanlity</t>
  </si>
  <si>
    <t>Đơn vị 
Unit</t>
  </si>
  <si>
    <t>Other requirement
Yêu cầu khác</t>
  </si>
  <si>
    <t>Nhà Sản xuất/Xuất xứ
Maker/Origin</t>
  </si>
  <si>
    <t>Đơn vị tiền
Currency</t>
  </si>
  <si>
    <t>MOQ</t>
  </si>
  <si>
    <t>Delivery term
Phương thức giao hàng</t>
  </si>
  <si>
    <t>Payment term
Phương thức thanh toán</t>
  </si>
  <si>
    <t>Price effective date
Hiệu lực báo giá</t>
  </si>
  <si>
    <t>Ngày upload</t>
  </si>
  <si>
    <t>Expiration date of the price
Ngày hết hạn báo giá</t>
  </si>
  <si>
    <t>Fix vendor
Quyết định NCC</t>
  </si>
  <si>
    <r>
      <t xml:space="preserve">Thời gian  giao hàng
Lead time
</t>
    </r>
    <r>
      <rPr>
        <b/>
        <sz val="10"/>
        <color rgb="FFFF0000"/>
        <rFont val="Times New Roman"/>
        <family val="1"/>
      </rPr>
      <t>(day/ngày)</t>
    </r>
  </si>
  <si>
    <t>Vendor name
Tên ngắn NCC</t>
  </si>
  <si>
    <t>Tự động</t>
  </si>
  <si>
    <t>Ngày PIC Pur upload lên hệ thống</t>
  </si>
  <si>
    <t>1. Nếu báo giá này lấy theo đơn YCBG từ phòng ban
2. Có thể bỏ trống với các loại hàng ko có YCBG như hàng A/E</t>
  </si>
  <si>
    <t>Theo form</t>
  </si>
  <si>
    <t>Link từ master</t>
  </si>
  <si>
    <t>Đơn giá (nhà cung cấp)
Unit price</t>
  </si>
  <si>
    <t>Đơn giá (USD)
Unit price</t>
  </si>
  <si>
    <t>Tự động quy đổi từ đơn giá của NCC sang USD</t>
  </si>
  <si>
    <t>PIC upload</t>
  </si>
  <si>
    <t>Bắt user ID của người upload lên</t>
  </si>
  <si>
    <t>Lý do điều chỉnh</t>
  </si>
  <si>
    <r>
      <rPr>
        <sz val="10"/>
        <color rgb="FFFF0000"/>
        <rFont val="Times New Roman"/>
        <family val="1"/>
      </rPr>
      <t>PIC chú ý phải quy đổi về ngày</t>
    </r>
    <r>
      <rPr>
        <sz val="10"/>
        <color theme="1"/>
        <rFont val="Times New Roman"/>
        <family val="1"/>
      </rPr>
      <t xml:space="preserve">
</t>
    </r>
    <r>
      <rPr>
        <sz val="10"/>
        <color rgb="FFFF0000"/>
        <rFont val="Times New Roman"/>
        <family val="1"/>
      </rPr>
      <t>Chỉ được điền số</t>
    </r>
  </si>
  <si>
    <t>Giữ format ngày này</t>
  </si>
  <si>
    <r>
      <t xml:space="preserve">1.Nếu Hàm số đơn &amp;mã hàng &amp; vendor code up từ lần 2 trở đi cột lý do bắt buộc phải điền
2. Hàm số đơn &amp; mã hàng mà thay đổi kết quả cột fix vendor (cột 22) thì phải điền lý do
</t>
    </r>
    <r>
      <rPr>
        <sz val="10"/>
        <color rgb="FFFF0000"/>
        <rFont val="Times New Roman"/>
        <family val="1"/>
      </rPr>
      <t>3. Chỉ được để trống khi không thuộc đối tượng 1,2</t>
    </r>
  </si>
  <si>
    <t>Chọn USD/VND/JPY</t>
  </si>
  <si>
    <t>Nếu là VND: 0 ký tự sau dấu phẩy
Nếu là USD/JPY: 4 ký tự sau dấu phẩy</t>
  </si>
  <si>
    <t>Upload giá khi có YCBG</t>
  </si>
  <si>
    <t>Upload giá khi có sự thay đổi giá</t>
  </si>
  <si>
    <t>Upload giá khi thay đổi lựa chọn NCC</t>
  </si>
  <si>
    <t>Update giá khi gia hạn báo giá</t>
  </si>
  <si>
    <t>Có số đơn YCBG</t>
  </si>
  <si>
    <t>Có hoặc ko có số đơn YCBG</t>
  </si>
  <si>
    <r>
      <t xml:space="preserve">Tập hợp hết vào master
- Chỉ </t>
    </r>
    <r>
      <rPr>
        <sz val="11"/>
        <color rgb="FFFF0000"/>
        <rFont val="Aptos Narrow"/>
        <family val="2"/>
        <scheme val="minor"/>
      </rPr>
      <t>add thêm dòng, ko chèn thay thế dòng cũ</t>
    </r>
    <r>
      <rPr>
        <sz val="11"/>
        <color theme="1"/>
        <rFont val="Aptos Narrow"/>
        <family val="2"/>
        <scheme val="minor"/>
      </rPr>
      <t xml:space="preserve">
- Khi upload mà </t>
    </r>
    <r>
      <rPr>
        <sz val="11"/>
        <color rgb="FFFF0000"/>
        <rFont val="Aptos Narrow"/>
        <family val="2"/>
        <scheme val="minor"/>
      </rPr>
      <t>lặp lại mã</t>
    </r>
    <r>
      <rPr>
        <sz val="11"/>
        <color theme="1"/>
        <rFont val="Aptos Narrow"/>
        <family val="2"/>
        <scheme val="minor"/>
      </rPr>
      <t xml:space="preserve"> thì nhất định phải ghi lý do upload lên</t>
    </r>
  </si>
  <si>
    <t>Tương ứng mỗi dòng up lên 
đều có thể down báo giá nếu muốn</t>
  </si>
  <si>
    <t>Số chi tiết đơn yêu cầu báo giá</t>
  </si>
  <si>
    <t xml:space="preserve">Link QTN
(có dấu) </t>
  </si>
  <si>
    <t>Link QTN Excel</t>
  </si>
  <si>
    <t>Trạng thái down</t>
  </si>
  <si>
    <t>Rẻ nhất được chọn NCC</t>
  </si>
  <si>
    <t>Chỉ được điền số</t>
  </si>
  <si>
    <t>Cho chọn</t>
  </si>
  <si>
    <t>Ngày/tháng/năm</t>
  </si>
  <si>
    <t>Place
Nơi đến</t>
  </si>
  <si>
    <t>VAT (%)</t>
  </si>
  <si>
    <t>Method of Shipment
Phương thức vận chuyển</t>
  </si>
  <si>
    <t>Delivery term
Điều kiện giao hàng</t>
  </si>
  <si>
    <t>E000001</t>
  </si>
  <si>
    <t>E000002</t>
  </si>
  <si>
    <t>E000003</t>
  </si>
  <si>
    <t>E000007</t>
  </si>
  <si>
    <t>E000010</t>
  </si>
  <si>
    <t>E000011</t>
  </si>
  <si>
    <t>E000012</t>
  </si>
  <si>
    <t>E000016</t>
  </si>
  <si>
    <t>E000017</t>
  </si>
  <si>
    <t>E000018</t>
  </si>
  <si>
    <t>E000019</t>
  </si>
  <si>
    <t>E000030-SB</t>
  </si>
  <si>
    <t>E000030-SO</t>
  </si>
  <si>
    <t>E000030-SP</t>
  </si>
  <si>
    <t>E000030-SW</t>
  </si>
  <si>
    <t>E000034</t>
  </si>
  <si>
    <t>E000042</t>
  </si>
  <si>
    <t>E000045</t>
  </si>
  <si>
    <t>E000050</t>
  </si>
  <si>
    <t>E000052</t>
  </si>
  <si>
    <t>E000064</t>
  </si>
  <si>
    <t>E000073</t>
  </si>
  <si>
    <t>E000074</t>
  </si>
  <si>
    <t>E000076</t>
  </si>
  <si>
    <t>E000083</t>
  </si>
  <si>
    <t>E000087</t>
  </si>
  <si>
    <t>E000090</t>
  </si>
  <si>
    <t>E000097</t>
  </si>
  <si>
    <t>E000098</t>
  </si>
  <si>
    <t>E000100</t>
  </si>
  <si>
    <t>E000101</t>
  </si>
  <si>
    <t>E000102</t>
  </si>
  <si>
    <t>E000105</t>
  </si>
  <si>
    <t>E000107</t>
  </si>
  <si>
    <t>E000108</t>
  </si>
  <si>
    <t>E000116</t>
  </si>
  <si>
    <t>E000117</t>
  </si>
  <si>
    <t>E000124</t>
  </si>
  <si>
    <t>E000125</t>
  </si>
  <si>
    <t>E000128</t>
  </si>
  <si>
    <t>E000130</t>
  </si>
  <si>
    <t>E000131</t>
  </si>
  <si>
    <t>E000134</t>
  </si>
  <si>
    <t>E000135</t>
  </si>
  <si>
    <t>E000136</t>
  </si>
  <si>
    <t>E000137</t>
  </si>
  <si>
    <t>E000140</t>
  </si>
  <si>
    <t>E000142</t>
  </si>
  <si>
    <t>E000144</t>
  </si>
  <si>
    <t>E000145</t>
  </si>
  <si>
    <t>E000148</t>
  </si>
  <si>
    <t>E000150</t>
  </si>
  <si>
    <t>E000152</t>
  </si>
  <si>
    <t>E000163</t>
  </si>
  <si>
    <t>E000166</t>
  </si>
  <si>
    <t>E000167</t>
  </si>
  <si>
    <t>E000168</t>
  </si>
  <si>
    <t>E000176</t>
  </si>
  <si>
    <t>E000179</t>
  </si>
  <si>
    <t>E000180</t>
  </si>
  <si>
    <t>E000182</t>
  </si>
  <si>
    <t>E000183</t>
  </si>
  <si>
    <t>E000184</t>
  </si>
  <si>
    <t>E000186</t>
  </si>
  <si>
    <t>E000187</t>
  </si>
  <si>
    <t>E000188</t>
  </si>
  <si>
    <t>E000189</t>
  </si>
  <si>
    <t>E000190</t>
  </si>
  <si>
    <t>E000191</t>
  </si>
  <si>
    <t>E000192</t>
  </si>
  <si>
    <t>E000195</t>
  </si>
  <si>
    <t>E000196</t>
  </si>
  <si>
    <t>E000197</t>
  </si>
  <si>
    <t>E000199</t>
  </si>
  <si>
    <t>E000201</t>
  </si>
  <si>
    <t>E000203</t>
  </si>
  <si>
    <t>E000205</t>
  </si>
  <si>
    <t>E000206</t>
  </si>
  <si>
    <t>E000207</t>
  </si>
  <si>
    <t>E000208</t>
  </si>
  <si>
    <t>E000209</t>
  </si>
  <si>
    <t>E000211</t>
  </si>
  <si>
    <t>E000212</t>
  </si>
  <si>
    <t>E000213</t>
  </si>
  <si>
    <t>E000216</t>
  </si>
  <si>
    <t>E000222</t>
  </si>
  <si>
    <t>E000224</t>
  </si>
  <si>
    <t>E000225</t>
  </si>
  <si>
    <t>E000226</t>
  </si>
  <si>
    <t>E000227</t>
  </si>
  <si>
    <t>E000229</t>
  </si>
  <si>
    <t>E000230</t>
  </si>
  <si>
    <t>E000231</t>
  </si>
  <si>
    <t>E000232</t>
  </si>
  <si>
    <t>E000235-HB</t>
  </si>
  <si>
    <t>E000235-HG</t>
  </si>
  <si>
    <t>E000235-HO</t>
  </si>
  <si>
    <t>E000235-HW</t>
  </si>
  <si>
    <t>E000235-HY</t>
  </si>
  <si>
    <t>E000236</t>
  </si>
  <si>
    <t>E000237</t>
  </si>
  <si>
    <t>E000238</t>
  </si>
  <si>
    <t>E000242</t>
  </si>
  <si>
    <t>E000243</t>
  </si>
  <si>
    <t>E000246</t>
  </si>
  <si>
    <t>E000245</t>
  </si>
  <si>
    <t>E000248</t>
  </si>
  <si>
    <t>E000249</t>
  </si>
  <si>
    <t>E000250</t>
  </si>
  <si>
    <t>E000253</t>
  </si>
  <si>
    <t>E000254</t>
  </si>
  <si>
    <t>E000255</t>
  </si>
  <si>
    <t>E000256</t>
  </si>
  <si>
    <t>E000257</t>
  </si>
  <si>
    <t>E000258</t>
  </si>
  <si>
    <t>E000259</t>
  </si>
  <si>
    <t>E000260</t>
  </si>
  <si>
    <t>E000261</t>
  </si>
  <si>
    <t>E000264</t>
  </si>
  <si>
    <t>E000266</t>
  </si>
  <si>
    <t>E000267</t>
  </si>
  <si>
    <t>E000268</t>
  </si>
  <si>
    <t>E000271</t>
  </si>
  <si>
    <t>E000273</t>
  </si>
  <si>
    <t>E000274</t>
  </si>
  <si>
    <t>E000278</t>
  </si>
  <si>
    <t>E000279</t>
  </si>
  <si>
    <t>E000280</t>
  </si>
  <si>
    <t>E000281</t>
  </si>
  <si>
    <t>E000282</t>
  </si>
  <si>
    <t>E000283</t>
  </si>
  <si>
    <t>E000284</t>
  </si>
  <si>
    <t>E000285</t>
  </si>
  <si>
    <t>E000286</t>
  </si>
  <si>
    <t>E000287</t>
  </si>
  <si>
    <t>E000288</t>
  </si>
  <si>
    <t>E000289</t>
  </si>
  <si>
    <t>E000290</t>
  </si>
  <si>
    <t>E000291</t>
  </si>
  <si>
    <t>E000292</t>
  </si>
  <si>
    <t>E000293</t>
  </si>
  <si>
    <t>E000295</t>
  </si>
  <si>
    <t>E000296</t>
  </si>
  <si>
    <t>E000297</t>
  </si>
  <si>
    <t>E000299</t>
  </si>
  <si>
    <t>E000300</t>
  </si>
  <si>
    <t>E000301</t>
  </si>
  <si>
    <t>E000302</t>
  </si>
  <si>
    <t>E000303</t>
  </si>
  <si>
    <t>E000304</t>
  </si>
  <si>
    <t>E000305</t>
  </si>
  <si>
    <t>E000309</t>
  </si>
  <si>
    <t>E000311</t>
  </si>
  <si>
    <t>E000312</t>
  </si>
  <si>
    <t>E000313</t>
  </si>
  <si>
    <t>E000314</t>
  </si>
  <si>
    <t>E000315</t>
  </si>
  <si>
    <t>E000316</t>
  </si>
  <si>
    <t>E000319</t>
  </si>
  <si>
    <t>E000320</t>
  </si>
  <si>
    <t>E000324</t>
  </si>
  <si>
    <t>E000325</t>
  </si>
  <si>
    <t>E000326</t>
  </si>
  <si>
    <t>E000327</t>
  </si>
  <si>
    <t>E000328</t>
  </si>
  <si>
    <t>E000329</t>
  </si>
  <si>
    <t>E000330</t>
  </si>
  <si>
    <t>E000331</t>
  </si>
  <si>
    <t>E000333</t>
  </si>
  <si>
    <t>E000334</t>
  </si>
  <si>
    <t>E000335</t>
  </si>
  <si>
    <t>E000336</t>
  </si>
  <si>
    <t>E000337</t>
  </si>
  <si>
    <t>E000338</t>
  </si>
  <si>
    <t>E000339</t>
  </si>
  <si>
    <t>E000340</t>
  </si>
  <si>
    <t>E000341</t>
  </si>
  <si>
    <t>E000342</t>
  </si>
  <si>
    <t>E000343</t>
  </si>
  <si>
    <t>E000344</t>
  </si>
  <si>
    <t>E000345</t>
  </si>
  <si>
    <t>E000347</t>
  </si>
  <si>
    <t>E000348</t>
  </si>
  <si>
    <t>E000349</t>
  </si>
  <si>
    <t>E000351</t>
  </si>
  <si>
    <t>E000352</t>
  </si>
  <si>
    <t>E000353</t>
  </si>
  <si>
    <t>E000354</t>
  </si>
  <si>
    <t>E000355</t>
  </si>
  <si>
    <t>E000356</t>
  </si>
  <si>
    <t>E000357</t>
  </si>
  <si>
    <t>E000359</t>
  </si>
  <si>
    <t>E000360</t>
  </si>
  <si>
    <t>E000361</t>
  </si>
  <si>
    <t>E000362</t>
  </si>
  <si>
    <t>E000363</t>
  </si>
  <si>
    <t>E000364</t>
  </si>
  <si>
    <t>E000365</t>
  </si>
  <si>
    <t>E000366</t>
  </si>
  <si>
    <t>E000367</t>
  </si>
  <si>
    <t>E000368</t>
  </si>
  <si>
    <t>E000369</t>
  </si>
  <si>
    <t>E000370</t>
  </si>
  <si>
    <t>E000371</t>
  </si>
  <si>
    <t>E000372</t>
  </si>
  <si>
    <t>E000373</t>
  </si>
  <si>
    <t>E000374</t>
  </si>
  <si>
    <t>E000375</t>
  </si>
  <si>
    <t>E000376</t>
  </si>
  <si>
    <t>E000377</t>
  </si>
  <si>
    <t>E000378</t>
  </si>
  <si>
    <t>E000379</t>
  </si>
  <si>
    <t>E000380</t>
  </si>
  <si>
    <t>E000381</t>
  </si>
  <si>
    <t>E000382</t>
  </si>
  <si>
    <t>E000383</t>
  </si>
  <si>
    <t>E000384</t>
  </si>
  <si>
    <t>E000386</t>
  </si>
  <si>
    <t>E000387</t>
  </si>
  <si>
    <t>E000389</t>
  </si>
  <si>
    <t>E000392</t>
  </si>
  <si>
    <t>E000394</t>
  </si>
  <si>
    <t>E000395</t>
  </si>
  <si>
    <t>E000398</t>
  </si>
  <si>
    <t>A000014</t>
  </si>
  <si>
    <t>A000018</t>
  </si>
  <si>
    <t>A000020</t>
  </si>
  <si>
    <t>A000021</t>
  </si>
  <si>
    <t>A000022</t>
  </si>
  <si>
    <t>A000023</t>
  </si>
  <si>
    <t>A000024</t>
  </si>
  <si>
    <t>A000025</t>
  </si>
  <si>
    <t>A000027</t>
  </si>
  <si>
    <t>A000028</t>
  </si>
  <si>
    <t>A000029</t>
  </si>
  <si>
    <t>A000030-1</t>
  </si>
  <si>
    <t>A000030-2</t>
  </si>
  <si>
    <t>A000030-3</t>
  </si>
  <si>
    <t>A000030-4</t>
  </si>
  <si>
    <t>A000030-5</t>
  </si>
  <si>
    <t>A000030-6</t>
  </si>
  <si>
    <t>A000030-7</t>
  </si>
  <si>
    <t>A000030-8</t>
  </si>
  <si>
    <t>A000032</t>
  </si>
  <si>
    <t>A000033</t>
  </si>
  <si>
    <t>A000035</t>
  </si>
  <si>
    <t>A000036</t>
  </si>
  <si>
    <t>A000037</t>
  </si>
  <si>
    <t>A000038</t>
  </si>
  <si>
    <t>A000039</t>
  </si>
  <si>
    <t>A000040</t>
  </si>
  <si>
    <t>A000042</t>
  </si>
  <si>
    <t>A000043</t>
  </si>
  <si>
    <t>A000044</t>
  </si>
  <si>
    <t>A000055</t>
  </si>
  <si>
    <t>A000058</t>
  </si>
  <si>
    <t>A000059</t>
  </si>
  <si>
    <t>A000061</t>
  </si>
  <si>
    <t>A000063</t>
  </si>
  <si>
    <t>A000064</t>
  </si>
  <si>
    <t>A000065</t>
  </si>
  <si>
    <t>A000067</t>
  </si>
  <si>
    <t>A000068</t>
  </si>
  <si>
    <t>A000069</t>
  </si>
  <si>
    <t>A000070</t>
  </si>
  <si>
    <t>A000078</t>
  </si>
  <si>
    <t>A000079</t>
  </si>
  <si>
    <t>A000081</t>
  </si>
  <si>
    <t>A000082</t>
  </si>
  <si>
    <t>A000083</t>
  </si>
  <si>
    <t>A000084</t>
  </si>
  <si>
    <t>A000085</t>
  </si>
  <si>
    <t>A000086</t>
  </si>
  <si>
    <t>A000088</t>
  </si>
  <si>
    <t>A000090</t>
  </si>
  <si>
    <t>A000092</t>
  </si>
  <si>
    <t>A000093-15</t>
  </si>
  <si>
    <t>A000093-17</t>
  </si>
  <si>
    <t>A000093-18</t>
  </si>
  <si>
    <t>A000094</t>
  </si>
  <si>
    <t>A000095</t>
  </si>
  <si>
    <t>A000097</t>
  </si>
  <si>
    <t>A000098</t>
  </si>
  <si>
    <t>A000099</t>
  </si>
  <si>
    <t>A000101</t>
  </si>
  <si>
    <t>A000103</t>
  </si>
  <si>
    <t>A000104</t>
  </si>
  <si>
    <t>A000105</t>
  </si>
  <si>
    <t>A000106</t>
  </si>
  <si>
    <t>A000107</t>
  </si>
  <si>
    <t>A000108</t>
  </si>
  <si>
    <t>A000109</t>
  </si>
  <si>
    <t>A000110</t>
  </si>
  <si>
    <t>A000111</t>
  </si>
  <si>
    <t>A000112</t>
  </si>
  <si>
    <t>A000113</t>
  </si>
  <si>
    <t>A000114</t>
  </si>
  <si>
    <t>A000115</t>
  </si>
  <si>
    <t>A000116</t>
  </si>
  <si>
    <t>A000117</t>
  </si>
  <si>
    <t>A000118</t>
  </si>
  <si>
    <t>A000120</t>
  </si>
  <si>
    <t>A000121</t>
  </si>
  <si>
    <t>A000122</t>
  </si>
  <si>
    <t>A000123</t>
  </si>
  <si>
    <t>A000125</t>
  </si>
  <si>
    <t>A000126</t>
  </si>
  <si>
    <t>A000127</t>
  </si>
  <si>
    <t>A000128</t>
  </si>
  <si>
    <t>A000129</t>
  </si>
  <si>
    <t>A000131</t>
  </si>
  <si>
    <t>A000134</t>
  </si>
  <si>
    <t>A000136</t>
  </si>
  <si>
    <t>A000138</t>
  </si>
  <si>
    <t>A000140</t>
  </si>
  <si>
    <t>A000141</t>
  </si>
  <si>
    <t>A000143</t>
  </si>
  <si>
    <t>A000145</t>
  </si>
  <si>
    <t>A000147</t>
  </si>
  <si>
    <t>A000148</t>
  </si>
  <si>
    <t>A000149</t>
  </si>
  <si>
    <t>A000151</t>
  </si>
  <si>
    <t>A000152</t>
  </si>
  <si>
    <t>A000153</t>
  </si>
  <si>
    <t>A000155</t>
  </si>
  <si>
    <t>A000156</t>
  </si>
  <si>
    <t>A000158</t>
  </si>
  <si>
    <t>A000163</t>
  </si>
  <si>
    <t>A000164</t>
  </si>
  <si>
    <t>A000165</t>
  </si>
  <si>
    <t>A000168</t>
  </si>
  <si>
    <t>A000169</t>
  </si>
  <si>
    <t>A000171</t>
  </si>
  <si>
    <t>A000172</t>
  </si>
  <si>
    <t>A000174</t>
  </si>
  <si>
    <t>A000176</t>
  </si>
  <si>
    <t>A000177</t>
  </si>
  <si>
    <t>A000178</t>
  </si>
  <si>
    <t>A000179</t>
  </si>
  <si>
    <t>A000180</t>
  </si>
  <si>
    <t>A000184</t>
  </si>
  <si>
    <t>A000186</t>
  </si>
  <si>
    <t>A000188</t>
  </si>
  <si>
    <t>A000190</t>
  </si>
  <si>
    <t>A000191</t>
  </si>
  <si>
    <t>A000192</t>
  </si>
  <si>
    <t>A000193</t>
  </si>
  <si>
    <t>A000194</t>
  </si>
  <si>
    <t>A000195</t>
  </si>
  <si>
    <t>A000196</t>
  </si>
  <si>
    <t>A000197</t>
  </si>
  <si>
    <t>A000198</t>
  </si>
  <si>
    <t>A000199</t>
  </si>
  <si>
    <t>A000200</t>
  </si>
  <si>
    <t>A000201-AC</t>
  </si>
  <si>
    <t>A000202</t>
  </si>
  <si>
    <t>A000203</t>
  </si>
  <si>
    <t>A000204</t>
  </si>
  <si>
    <t>A000205</t>
  </si>
  <si>
    <t>A000206</t>
  </si>
  <si>
    <t>A000207</t>
  </si>
  <si>
    <t>A000208</t>
  </si>
  <si>
    <t>A000209</t>
  </si>
  <si>
    <t>A000210</t>
  </si>
  <si>
    <t>A000211</t>
  </si>
  <si>
    <t>A000213</t>
  </si>
  <si>
    <t>A000217</t>
  </si>
  <si>
    <t>A000218</t>
  </si>
  <si>
    <t>A000219</t>
  </si>
  <si>
    <t>A000220</t>
  </si>
  <si>
    <t>A000221</t>
  </si>
  <si>
    <t>A000223</t>
  </si>
  <si>
    <t>A000224</t>
  </si>
  <si>
    <t>A000225</t>
  </si>
  <si>
    <t>A000226</t>
  </si>
  <si>
    <t>A000227</t>
  </si>
  <si>
    <t>A000228-1</t>
  </si>
  <si>
    <t>A000228-2</t>
  </si>
  <si>
    <t>A000228-3</t>
  </si>
  <si>
    <t>A000228-4</t>
  </si>
  <si>
    <t>A000228-5</t>
  </si>
  <si>
    <t>A000228-6</t>
  </si>
  <si>
    <t>A000228-7</t>
  </si>
  <si>
    <t>A000228-8</t>
  </si>
  <si>
    <t>A000229</t>
  </si>
  <si>
    <t>A000230</t>
  </si>
  <si>
    <t>A000232</t>
  </si>
  <si>
    <t>A000233</t>
  </si>
  <si>
    <t>A000234</t>
  </si>
  <si>
    <t>A000235</t>
  </si>
  <si>
    <t>A000236</t>
  </si>
  <si>
    <t>A000237</t>
  </si>
  <si>
    <t>A000239-17G</t>
  </si>
  <si>
    <t>A000240</t>
  </si>
  <si>
    <t>A000243</t>
  </si>
  <si>
    <t>A000244</t>
  </si>
  <si>
    <t>A000245</t>
  </si>
  <si>
    <t>A000246</t>
  </si>
  <si>
    <t>A000247</t>
  </si>
  <si>
    <t>A000248</t>
  </si>
  <si>
    <t>A000249</t>
  </si>
  <si>
    <t>A000250</t>
  </si>
  <si>
    <t>A000251</t>
  </si>
  <si>
    <t>A000252</t>
  </si>
  <si>
    <t>A000253</t>
  </si>
  <si>
    <t>A000254</t>
  </si>
  <si>
    <t>A000255</t>
  </si>
  <si>
    <t>A000256</t>
  </si>
  <si>
    <t>A000257</t>
  </si>
  <si>
    <t>A000260</t>
  </si>
  <si>
    <t>A000261</t>
  </si>
  <si>
    <t>A000262</t>
  </si>
  <si>
    <t>A000263</t>
  </si>
  <si>
    <t>A000266</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</si>
  <si>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</si>
  <si>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</si>
  <si>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</si>
  <si>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</si>
  <si>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</si>
  <si>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</si>
  <si>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</si>
  <si>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</si>
  <si>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</si>
  <si>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</si>
  <si>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</si>
  <si>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</si>
  <si>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</si>
  <si>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</si>
  <si>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</si>
  <si>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</si>
  <si>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</si>
  <si>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A000286</t>
  </si>
  <si>
    <t>A000291</t>
  </si>
  <si>
    <t>A000292</t>
  </si>
  <si>
    <t>A000296</t>
  </si>
  <si>
    <t>A000306</t>
  </si>
  <si>
    <t>A000308</t>
  </si>
  <si>
    <t>A000309</t>
  </si>
  <si>
    <t>A000311</t>
  </si>
  <si>
    <t>A000312</t>
  </si>
  <si>
    <t>A000313</t>
  </si>
  <si>
    <t>A000315</t>
  </si>
  <si>
    <t>A000319</t>
  </si>
  <si>
    <t>A000320</t>
  </si>
  <si>
    <t>A000323</t>
  </si>
  <si>
    <t>A000325</t>
  </si>
  <si>
    <t>A000326</t>
  </si>
  <si>
    <t>A000329</t>
  </si>
  <si>
    <t>A000330</t>
  </si>
  <si>
    <t>A000332</t>
  </si>
  <si>
    <t>A000334</t>
  </si>
  <si>
    <t>A000335</t>
  </si>
  <si>
    <t>A000337</t>
  </si>
  <si>
    <t>A000338</t>
  </si>
  <si>
    <t>A000339</t>
  </si>
  <si>
    <t>A000341</t>
  </si>
  <si>
    <t>A000342</t>
  </si>
  <si>
    <t>A000343</t>
  </si>
  <si>
    <t>A000345</t>
  </si>
  <si>
    <t>A000346</t>
  </si>
  <si>
    <t>A000347</t>
  </si>
  <si>
    <t>A000348</t>
  </si>
  <si>
    <t>A000349</t>
  </si>
  <si>
    <t>A000350</t>
  </si>
  <si>
    <t>A000352</t>
  </si>
  <si>
    <t>A000353</t>
  </si>
  <si>
    <t>A000354</t>
  </si>
  <si>
    <t>A000355</t>
  </si>
  <si>
    <t>A000356</t>
  </si>
  <si>
    <t>A000357</t>
  </si>
  <si>
    <t>A000359</t>
  </si>
  <si>
    <t>A000360</t>
  </si>
  <si>
    <t>A000361</t>
  </si>
  <si>
    <t>A000363</t>
  </si>
  <si>
    <t>A000364</t>
  </si>
  <si>
    <t>A000365</t>
  </si>
  <si>
    <t>A000367</t>
  </si>
  <si>
    <t>A000368</t>
  </si>
  <si>
    <t>A000369</t>
  </si>
  <si>
    <t>A000370</t>
  </si>
  <si>
    <t>A000376</t>
  </si>
  <si>
    <t>A000377</t>
  </si>
  <si>
    <t>A000378</t>
  </si>
  <si>
    <t>A000380</t>
  </si>
  <si>
    <t>A000381</t>
  </si>
  <si>
    <t>A000382</t>
  </si>
  <si>
    <t>A000383</t>
  </si>
  <si>
    <t>A000384</t>
  </si>
  <si>
    <t>A000388</t>
  </si>
  <si>
    <t>A000389</t>
  </si>
  <si>
    <t>A000390</t>
  </si>
  <si>
    <t>A000391</t>
  </si>
  <si>
    <t>A000394</t>
  </si>
  <si>
    <t>A000395</t>
  </si>
  <si>
    <t>A000396</t>
  </si>
  <si>
    <t>A000397</t>
  </si>
  <si>
    <t>A000398</t>
  </si>
  <si>
    <t>A000399</t>
  </si>
  <si>
    <t>A000400</t>
  </si>
  <si>
    <t>A000401</t>
  </si>
  <si>
    <t>A000402</t>
  </si>
  <si>
    <t>A000407</t>
  </si>
  <si>
    <t>A000408</t>
  </si>
  <si>
    <t>A000409</t>
  </si>
  <si>
    <t>A000410</t>
  </si>
  <si>
    <t>A000412</t>
  </si>
  <si>
    <t>A000413</t>
  </si>
  <si>
    <t>A000414</t>
  </si>
  <si>
    <t>A000415</t>
  </si>
  <si>
    <t>A000416</t>
  </si>
  <si>
    <t>A000417</t>
  </si>
  <si>
    <t>A000418</t>
  </si>
  <si>
    <t>A000421</t>
  </si>
  <si>
    <t>A000422</t>
  </si>
  <si>
    <t>A000423</t>
  </si>
  <si>
    <t>A000424</t>
  </si>
  <si>
    <t>A000425</t>
  </si>
  <si>
    <t>A000435</t>
  </si>
  <si>
    <t>A000436</t>
  </si>
  <si>
    <t>A000438</t>
  </si>
  <si>
    <t>A000439</t>
  </si>
  <si>
    <t>A000441</t>
  </si>
  <si>
    <t>A000442</t>
  </si>
  <si>
    <t>A000443</t>
  </si>
  <si>
    <t>A000444</t>
  </si>
  <si>
    <t>A000450</t>
  </si>
  <si>
    <t>A000452</t>
  </si>
  <si>
    <t>A000453</t>
  </si>
  <si>
    <t>A000455</t>
  </si>
  <si>
    <t>A000456</t>
  </si>
  <si>
    <t>A000457</t>
  </si>
  <si>
    <t>A000458</t>
  </si>
  <si>
    <t>A000459</t>
  </si>
  <si>
    <t>A000460</t>
  </si>
  <si>
    <t>A000461</t>
  </si>
  <si>
    <t>A000462</t>
  </si>
  <si>
    <t>A000463</t>
  </si>
  <si>
    <t>A000464</t>
  </si>
  <si>
    <t>A000466</t>
  </si>
  <si>
    <t>A000467</t>
  </si>
  <si>
    <t>A000469</t>
  </si>
  <si>
    <t>A000470</t>
  </si>
  <si>
    <t>A000472</t>
  </si>
  <si>
    <t>A000474</t>
  </si>
  <si>
    <t>A000475</t>
  </si>
  <si>
    <t>A000476</t>
  </si>
  <si>
    <t>A000477</t>
  </si>
  <si>
    <t>A000478</t>
  </si>
  <si>
    <t>A000479</t>
  </si>
  <si>
    <t>A000480</t>
  </si>
  <si>
    <t>A000481</t>
  </si>
  <si>
    <t>A000482</t>
  </si>
  <si>
    <t>A000483</t>
  </si>
  <si>
    <t>A000484</t>
  </si>
  <si>
    <t>A000485</t>
  </si>
  <si>
    <t>A000486</t>
  </si>
  <si>
    <t>A000487</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</si>
  <si>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</si>
  <si>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</si>
  <si>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</si>
  <si>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</si>
  <si>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</si>
  <si>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</si>
  <si>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</si>
  <si>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</si>
  <si>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</si>
  <si>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</si>
  <si>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</si>
  <si>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</si>
  <si>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</si>
  <si>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</si>
  <si>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</si>
  <si>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</si>
  <si>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</si>
  <si>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</si>
  <si>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</si>
  <si>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</si>
  <si>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</si>
  <si>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</si>
  <si>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</si>
  <si>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</si>
  <si>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</si>
  <si>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</si>
  <si>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</si>
  <si>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</si>
  <si>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</si>
  <si>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</si>
  <si>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</si>
  <si>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</si>
  <si>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</si>
  <si>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</si>
  <si>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</si>
  <si>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</si>
  <si>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</si>
  <si>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</si>
  <si>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</si>
  <si>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</si>
  <si>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</si>
  <si>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</si>
  <si>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</si>
  <si>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</si>
  <si>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</si>
  <si>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</si>
  <si>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</si>
  <si>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</si>
  <si>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</si>
  <si>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</si>
  <si>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</si>
  <si>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</si>
  <si>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</si>
  <si>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</si>
  <si>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</si>
  <si>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</si>
  <si>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</si>
  <si>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</si>
  <si>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</si>
  <si>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</si>
  <si>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</si>
  <si>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</si>
  <si>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</si>
  <si>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</si>
  <si>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</si>
  <si>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</si>
  <si>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</si>
  <si>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</si>
  <si>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</si>
  <si>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</si>
  <si>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</si>
  <si>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</si>
  <si>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</si>
  <si>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</si>
  <si>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</si>
  <si>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</si>
  <si>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A000568</t>
  </si>
  <si>
    <t>A000569</t>
  </si>
  <si>
    <t>A000570</t>
  </si>
  <si>
    <t>A000571</t>
  </si>
  <si>
    <t>A000572</t>
  </si>
  <si>
    <t>A000573</t>
  </si>
  <si>
    <t>A000574</t>
  </si>
  <si>
    <t>A000576</t>
  </si>
  <si>
    <t>A000577</t>
  </si>
  <si>
    <t>A000579</t>
  </si>
  <si>
    <t>A000580</t>
  </si>
  <si>
    <t>A000581</t>
  </si>
  <si>
    <t>A000582</t>
  </si>
  <si>
    <t>A000583</t>
  </si>
  <si>
    <t>A000586</t>
  </si>
  <si>
    <t>A000587</t>
  </si>
  <si>
    <t>A000588</t>
  </si>
  <si>
    <t>A000589</t>
  </si>
  <si>
    <t>A000590</t>
  </si>
  <si>
    <t>A000591</t>
  </si>
  <si>
    <t>A000592</t>
  </si>
  <si>
    <t>A000593</t>
  </si>
  <si>
    <t>A000594</t>
  </si>
  <si>
    <t>A000595</t>
  </si>
  <si>
    <t>A000596</t>
  </si>
  <si>
    <t>A000599</t>
  </si>
  <si>
    <t>A000600</t>
  </si>
  <si>
    <t>A000604</t>
  </si>
  <si>
    <t>A000605</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</si>
  <si>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</si>
  <si>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</si>
  <si>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</si>
  <si>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</si>
  <si>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</si>
  <si>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</si>
  <si>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</si>
  <si>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</si>
  <si>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</si>
  <si>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</si>
  <si>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</si>
  <si>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</si>
  <si>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</si>
  <si>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</si>
  <si>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</si>
  <si>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</si>
  <si>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</si>
  <si>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</si>
  <si>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</si>
  <si>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</si>
  <si>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</si>
  <si>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</si>
  <si>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</si>
  <si>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</si>
  <si>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</si>
  <si>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A000634</t>
  </si>
  <si>
    <t>A000635</t>
  </si>
  <si>
    <t>A000636</t>
  </si>
  <si>
    <t>A000637</t>
  </si>
  <si>
    <t>A000638</t>
  </si>
  <si>
    <t>A000640</t>
  </si>
  <si>
    <t>A000641</t>
  </si>
  <si>
    <t>A000642</t>
  </si>
  <si>
    <t>A000643</t>
  </si>
  <si>
    <t>A000644</t>
  </si>
  <si>
    <t>A000645</t>
  </si>
  <si>
    <t>A000646</t>
  </si>
  <si>
    <t>A000647</t>
  </si>
  <si>
    <t>A000648</t>
  </si>
  <si>
    <t>A000649</t>
  </si>
  <si>
    <t>A000650</t>
  </si>
  <si>
    <t>A000652</t>
  </si>
  <si>
    <t>A000653</t>
  </si>
  <si>
    <t>A000654</t>
  </si>
  <si>
    <t>A000655</t>
  </si>
  <si>
    <t>A000656</t>
  </si>
  <si>
    <t>A000657</t>
  </si>
  <si>
    <t>A000658</t>
  </si>
  <si>
    <t>A000659</t>
  </si>
  <si>
    <t>A000661</t>
  </si>
  <si>
    <t>A000662</t>
  </si>
  <si>
    <t>A000663</t>
  </si>
  <si>
    <t>A000664</t>
  </si>
  <si>
    <t>A000665</t>
  </si>
  <si>
    <t>A000666</t>
  </si>
  <si>
    <t>A000667</t>
  </si>
  <si>
    <t>A000668</t>
  </si>
  <si>
    <t>A000669</t>
  </si>
  <si>
    <t>A000670</t>
  </si>
  <si>
    <t>A000671</t>
  </si>
  <si>
    <t>A000672</t>
  </si>
  <si>
    <t>A000673</t>
  </si>
  <si>
    <t>A000674</t>
  </si>
  <si>
    <t>A000680</t>
  </si>
  <si>
    <t>A000682</t>
  </si>
  <si>
    <t>A000684</t>
  </si>
  <si>
    <t>A000685</t>
  </si>
  <si>
    <t>A000686</t>
  </si>
  <si>
    <t>A000687</t>
  </si>
  <si>
    <t>A000688</t>
  </si>
  <si>
    <t>A000689</t>
  </si>
  <si>
    <t>A000691</t>
  </si>
  <si>
    <t>A000692</t>
  </si>
  <si>
    <t>A000693</t>
  </si>
  <si>
    <t>A000695</t>
  </si>
  <si>
    <t>A000696</t>
  </si>
  <si>
    <t>A000698</t>
  </si>
  <si>
    <t>A000699</t>
  </si>
  <si>
    <t>A000700</t>
  </si>
  <si>
    <t>A000701</t>
  </si>
  <si>
    <t>A000702</t>
  </si>
  <si>
    <t>A000704</t>
  </si>
  <si>
    <t>A000705</t>
  </si>
  <si>
    <t>A000708</t>
  </si>
  <si>
    <t>A000709</t>
  </si>
  <si>
    <t>A000710</t>
  </si>
  <si>
    <t>A000711</t>
  </si>
  <si>
    <t>A000712</t>
  </si>
  <si>
    <t>A000713</t>
  </si>
  <si>
    <t>A000714</t>
  </si>
  <si>
    <t>A000715</t>
  </si>
  <si>
    <t>A000716</t>
  </si>
  <si>
    <t>A000717</t>
  </si>
  <si>
    <t>A000718</t>
  </si>
  <si>
    <t>A000719</t>
  </si>
  <si>
    <t>A000721</t>
  </si>
  <si>
    <t>A000722</t>
  </si>
  <si>
    <t>A000723</t>
  </si>
  <si>
    <t>A000724</t>
  </si>
  <si>
    <t>A000725</t>
  </si>
  <si>
    <t>A000726</t>
  </si>
  <si>
    <t>A000727</t>
  </si>
  <si>
    <t>A000728</t>
  </si>
  <si>
    <t>A000729</t>
  </si>
  <si>
    <t>A000731</t>
  </si>
  <si>
    <t>A000732</t>
  </si>
  <si>
    <t>A000733</t>
  </si>
  <si>
    <t>A000734</t>
  </si>
  <si>
    <t>A000735</t>
  </si>
  <si>
    <t>A000736</t>
  </si>
  <si>
    <t>A000738</t>
  </si>
  <si>
    <t>A000739</t>
  </si>
  <si>
    <t>A000740</t>
  </si>
  <si>
    <t>A000741</t>
  </si>
  <si>
    <t>A000742</t>
  </si>
  <si>
    <t>A000743</t>
  </si>
  <si>
    <t>A000744</t>
  </si>
  <si>
    <t>A000746</t>
  </si>
  <si>
    <t>A000747</t>
  </si>
  <si>
    <t>A000749</t>
  </si>
  <si>
    <t>A000753</t>
  </si>
  <si>
    <t>A000754</t>
  </si>
  <si>
    <t>A000755</t>
  </si>
  <si>
    <t>A000761</t>
  </si>
  <si>
    <t>A000762</t>
  </si>
  <si>
    <t>A000763</t>
  </si>
  <si>
    <t>A000764</t>
  </si>
  <si>
    <t>A000765</t>
  </si>
  <si>
    <t>A000766</t>
  </si>
  <si>
    <t>L4ASEIW</t>
  </si>
  <si>
    <t>L4AHOAH</t>
  </si>
  <si>
    <t>ZZP0</t>
  </si>
  <si>
    <t>L4AELVN</t>
  </si>
  <si>
    <t>L4ABATA</t>
  </si>
  <si>
    <t>L4AKANT</t>
  </si>
  <si>
    <t>L4AISHI</t>
  </si>
  <si>
    <t>L4ASYST</t>
  </si>
  <si>
    <t>L4ANITT</t>
  </si>
  <si>
    <t>L4ANDEX</t>
  </si>
  <si>
    <t>L4ADCHI</t>
  </si>
  <si>
    <t>L4ATANB</t>
  </si>
  <si>
    <t>L4AVINH</t>
  </si>
  <si>
    <t>L4ALUKI</t>
  </si>
  <si>
    <t>L4ADVDA</t>
  </si>
  <si>
    <t>L4AMEIJ</t>
  </si>
  <si>
    <t>L4ADAKO</t>
  </si>
  <si>
    <t>L4ACOAT</t>
  </si>
  <si>
    <t>L4ACTSD</t>
  </si>
  <si>
    <t>L4AKTEC</t>
  </si>
  <si>
    <t>L4ADENK</t>
  </si>
  <si>
    <t>L4AMINP</t>
  </si>
  <si>
    <t>L4AKISU</t>
  </si>
  <si>
    <t>L4ABOND</t>
  </si>
  <si>
    <t>L4AHACO</t>
  </si>
  <si>
    <t>L4AJISH</t>
  </si>
  <si>
    <t>L4ATSUC</t>
  </si>
  <si>
    <t>L4AKSMC</t>
  </si>
  <si>
    <t>L4AFRIE</t>
  </si>
  <si>
    <t>L4ASAKY</t>
  </si>
  <si>
    <t>L4ANHST</t>
  </si>
  <si>
    <t>L4AKAMO</t>
  </si>
  <si>
    <t>ZZJ4</t>
  </si>
  <si>
    <t>ZZJ2L4</t>
  </si>
  <si>
    <t>L4AKAHK</t>
  </si>
  <si>
    <t>L4ASANG</t>
  </si>
  <si>
    <t>L4AHASO</t>
  </si>
  <si>
    <t>L4AQUOC</t>
  </si>
  <si>
    <t>L4AYAMA</t>
  </si>
  <si>
    <t>L4AKAMV</t>
  </si>
  <si>
    <t>L4ADVAZ</t>
  </si>
  <si>
    <t>L4ASEME</t>
  </si>
  <si>
    <t>L4AEPIC</t>
  </si>
  <si>
    <t>L4ADOUY</t>
  </si>
  <si>
    <t>L4AHOPL</t>
  </si>
  <si>
    <t>L4ANEOV</t>
  </si>
  <si>
    <t>L4AINOA</t>
  </si>
  <si>
    <t>L4AARMX</t>
  </si>
  <si>
    <t>L4AFANX</t>
  </si>
  <si>
    <t>L4AFITX</t>
  </si>
  <si>
    <t>L4AKYVN</t>
  </si>
  <si>
    <t>L4AMIVN</t>
  </si>
  <si>
    <t>L4ATDVN</t>
  </si>
  <si>
    <t>L4ANDEN</t>
  </si>
  <si>
    <t>L4AKEIN</t>
  </si>
  <si>
    <t>KANTO KASEI</t>
  </si>
  <si>
    <t>SOLDER COAT</t>
  </si>
  <si>
    <t>THANG LONG PACKING</t>
  </si>
  <si>
    <t>ZHUHAI</t>
  </si>
  <si>
    <t>Systech</t>
  </si>
  <si>
    <t>Tân Bình</t>
  </si>
  <si>
    <t>ARMSTRONG</t>
  </si>
  <si>
    <t>FANCY</t>
  </si>
  <si>
    <t>FIT</t>
  </si>
  <si>
    <t>INDEX</t>
  </si>
  <si>
    <t>MISUMI</t>
  </si>
  <si>
    <t>BIVN</t>
  </si>
  <si>
    <t>BIL</t>
  </si>
  <si>
    <t>THREEBOND</t>
  </si>
  <si>
    <t>Mondi/ Austria</t>
  </si>
  <si>
    <t>Ozu/JAPAN</t>
  </si>
  <si>
    <t>Dai Nippon Printing/JAPAN</t>
  </si>
  <si>
    <t>Cemedine/JAPAN</t>
  </si>
  <si>
    <t>DUPONT/JAPAN</t>
  </si>
  <si>
    <t>KANTO KASEI/JAPAN</t>
  </si>
  <si>
    <t>Ishikawa/JAPAN</t>
  </si>
  <si>
    <t>AVERY DENNISON/US</t>
  </si>
  <si>
    <t>NITTO DENKO CS SYSTEM CORPORATION /JAPAN</t>
  </si>
  <si>
    <t>Paper one/Indonesia</t>
  </si>
  <si>
    <t>NOK/JAPAN</t>
  </si>
  <si>
    <t>RICOH/JAPAN</t>
  </si>
  <si>
    <t>KYORITSU /JAPAN</t>
  </si>
  <si>
    <t>APRIL/Indonesia</t>
  </si>
  <si>
    <t>3M/Mỹ</t>
  </si>
  <si>
    <t>LUKI /Việt Nam</t>
  </si>
  <si>
    <t>Wingtai/China</t>
  </si>
  <si>
    <t>Xerox/USA</t>
  </si>
  <si>
    <t>Ricoh/Việt Nam</t>
  </si>
  <si>
    <t>Brady Worldwide/Việt Nam</t>
  </si>
  <si>
    <t>Cosei/China</t>
  </si>
  <si>
    <t>Lintec/Việt Nam</t>
  </si>
  <si>
    <t>Sourec/China</t>
  </si>
  <si>
    <t>Đức Anh/Việt Nam</t>
  </si>
  <si>
    <t>SOLDER COAT/Việt Nam</t>
  </si>
  <si>
    <t>Tamura/Thai Lan</t>
  </si>
  <si>
    <t>Zebra/JAPAN</t>
  </si>
  <si>
    <t>NIPPECO /JAPAN</t>
  </si>
  <si>
    <t>NITTO DENKO CS SYSTEM CORPORATION/Taiwan</t>
  </si>
  <si>
    <t>FUJINARI/JAPAN</t>
  </si>
  <si>
    <t>THANG LONG PACKING/Việt Nam</t>
  </si>
  <si>
    <t>SEKISUI /JAPAN</t>
  </si>
  <si>
    <t>Panaximco/Việt Nam</t>
  </si>
  <si>
    <t>Đoàn An/Việt Nam</t>
  </si>
  <si>
    <t>Threebond/Thai Lan</t>
  </si>
  <si>
    <t>MIZUKAMI_INSATSU/JAPAN</t>
  </si>
  <si>
    <t>KYODO YUSHI/JAPAN</t>
  </si>
  <si>
    <t>AVERY DENNISON/Việt Nam</t>
  </si>
  <si>
    <t>SHACHIHATA/Malaysia</t>
  </si>
  <si>
    <t>ALMARQ/GERMANY</t>
  </si>
  <si>
    <t>MITSUBISHI/JAPAN</t>
  </si>
  <si>
    <t>SAKURA/Việt Nam</t>
  </si>
  <si>
    <t>HARVES/JAPAN</t>
  </si>
  <si>
    <t>SELEN/CHINA</t>
  </si>
  <si>
    <t>MERCURY ADVANCED MATERIALS(BINH DUONG) CO.,LTD/Việt Nam</t>
  </si>
  <si>
    <t>Sanseikakou Co.,Ltd/JAPAN</t>
  </si>
  <si>
    <t>LINTEC/JAPAN</t>
  </si>
  <si>
    <t xml:space="preserve"> HENKEL/JAPAN</t>
  </si>
  <si>
    <t>SHACHIHATA/JAPAN</t>
  </si>
  <si>
    <t>SHIN-ETSU/JAPAN</t>
  </si>
  <si>
    <t>Hakko/JAPAN</t>
  </si>
  <si>
    <t>3M/Canada</t>
  </si>
  <si>
    <t>QTS/Việt Nam</t>
  </si>
  <si>
    <t>Suzhou Xinchen/CHINA</t>
  </si>
  <si>
    <t>BROTHER/JAPAN</t>
  </si>
  <si>
    <t>LGP
/Việt Nam</t>
  </si>
  <si>
    <t>HARVES CO., LTD/JAPAN</t>
  </si>
  <si>
    <t>SUZHOU/China</t>
  </si>
  <si>
    <t>Domino/Singgapore</t>
  </si>
  <si>
    <t xml:space="preserve"> QUANG NGAI ARGRICULTURAL PRODUCTS AND FOODSTUFF JSC/Việt Nam</t>
  </si>
  <si>
    <t>BROTHER/China</t>
  </si>
  <si>
    <t>shen zhen king tai feng xing trading co.,ltd/China</t>
  </si>
  <si>
    <t>Jinyuan/China</t>
  </si>
  <si>
    <t>NIPPECO LTD/JAPAN</t>
  </si>
  <si>
    <t>LINTEC CORPORATION/JAPAN</t>
  </si>
  <si>
    <t>KAO CORPORATION/JAPAN</t>
  </si>
  <si>
    <t>JOY-CAN/Trung Quốc</t>
  </si>
  <si>
    <t>Nitto Denko/japan</t>
  </si>
  <si>
    <t>Nihon Superior (M) Sdn. Bhd./Malaysia</t>
  </si>
  <si>
    <t>RICOH/China</t>
  </si>
  <si>
    <t>Nitto Denko /japan</t>
  </si>
  <si>
    <t>Threebond/Japan</t>
  </si>
  <si>
    <t>PHUC HA/Việt Nam</t>
  </si>
  <si>
    <t xml:space="preserve">Maky/Philipine </t>
  </si>
  <si>
    <t>Lintec/JAPAN</t>
  </si>
  <si>
    <t>Wurth/Đức</t>
  </si>
  <si>
    <t>THREEBOND FINE CHEMICAL CO., LTD/JAPAN</t>
  </si>
  <si>
    <t>NITTO DENKO (TAIWAN) CORPORATION/JAPAN</t>
  </si>
  <si>
    <t>Avery Dennison/Việt Nam</t>
  </si>
  <si>
    <t>METEL/JAPAN</t>
  </si>
  <si>
    <t>Asahi KASEI/Japan</t>
  </si>
  <si>
    <t>WINGTAI(ZHONGSHAN) CO., LTD./China</t>
  </si>
  <si>
    <t>Brother/Japan</t>
  </si>
  <si>
    <t>ZHUHAI/China</t>
  </si>
  <si>
    <t>SUMICO LUBRICANT CO., LTD./Japan</t>
  </si>
  <si>
    <t>AKANE (H. K.)/CHINA</t>
  </si>
  <si>
    <t>ZEBRA/JAPAN</t>
  </si>
  <si>
    <t>FUJI/JAPAN</t>
  </si>
  <si>
    <t>Nitto Denko Corporation Toyohashi Plant/Việt Nam</t>
  </si>
  <si>
    <t>HENKEL /Việt Nam</t>
  </si>
  <si>
    <t>Avery Dennison/USA</t>
  </si>
  <si>
    <t>CADISUN /Việt Nam</t>
  </si>
  <si>
    <t>Trufit/Thailand</t>
  </si>
  <si>
    <t>Hammer/Nhật Bản</t>
  </si>
  <si>
    <t>ACHAU/VIET NAM</t>
  </si>
  <si>
    <t>KONO/China</t>
  </si>
  <si>
    <t>LGF/Việt Nam</t>
  </si>
  <si>
    <t>LGF/Hàn quốc</t>
  </si>
  <si>
    <t>Fujiya/Japan</t>
  </si>
  <si>
    <t xml:space="preserve">
Jingda/Việt Nam</t>
  </si>
  <si>
    <t>Panasonic/JAPAN</t>
  </si>
  <si>
    <t>THUANTHANH/Việt Nam</t>
  </si>
  <si>
    <t>SELEN/China</t>
  </si>
  <si>
    <t>RBD POP /China</t>
  </si>
  <si>
    <t>Hanzha/China</t>
  </si>
  <si>
    <t>GSACE/Hàn quốc</t>
  </si>
  <si>
    <t>Toshiba/China</t>
  </si>
  <si>
    <t>Doublle/Thailand</t>
  </si>
  <si>
    <t>Hios/Japan</t>
  </si>
  <si>
    <t>OCHIAI/Japan</t>
  </si>
  <si>
    <t>Systech/Việt Nam</t>
  </si>
  <si>
    <t>MIZUHO/Japan</t>
  </si>
  <si>
    <t>FURUPLA/Japan</t>
  </si>
  <si>
    <t>Furupla/Nhật Bản</t>
  </si>
  <si>
    <t>Shinwa/China</t>
  </si>
  <si>
    <t>Hozan/Pakistan</t>
  </si>
  <si>
    <t>Hakko/Japan</t>
  </si>
  <si>
    <t>IEI/Japan</t>
  </si>
  <si>
    <t>NAC/Japan</t>
  </si>
  <si>
    <t>ANEX/Japan</t>
  </si>
  <si>
    <t>Iwashita/Nhật Bản</t>
  </si>
  <si>
    <t>HIOKI/Japan</t>
  </si>
  <si>
    <t>Kikusui/Japan</t>
  </si>
  <si>
    <t>Iwashita/China</t>
  </si>
  <si>
    <t>Esco/Japan</t>
  </si>
  <si>
    <t>Iwashita/Japan</t>
  </si>
  <si>
    <t>Goodman/TAIWAN</t>
  </si>
  <si>
    <t>DONGDUONG/Việt Nam</t>
  </si>
  <si>
    <t>Meikosha/Japan</t>
  </si>
  <si>
    <t>NANYI/China</t>
  </si>
  <si>
    <t>FLUKE/TAIWAN</t>
  </si>
  <si>
    <t>OEM/China</t>
  </si>
  <si>
    <t>VANLOCK/Việt Nam</t>
  </si>
  <si>
    <t>SMC/Việt Nam</t>
  </si>
  <si>
    <t>MEGA/Việt Nam</t>
  </si>
  <si>
    <t>Dinosaur/Việt Nam</t>
  </si>
  <si>
    <t>EDK/Hàn quốc</t>
  </si>
  <si>
    <t>Trusco/China</t>
  </si>
  <si>
    <t>JIYAN/China</t>
  </si>
  <si>
    <t>Niva/VIET NAM</t>
  </si>
  <si>
    <t>ENERGIZER/china</t>
  </si>
  <si>
    <t>ENERGIZER/Singapore</t>
  </si>
  <si>
    <t>Paper One/Indonesia</t>
  </si>
  <si>
    <t>SUNSEEK/China</t>
  </si>
  <si>
    <t>FSVIET/VIET NAM</t>
  </si>
  <si>
    <t>HXY/China</t>
  </si>
  <si>
    <t>ESD/China</t>
  </si>
  <si>
    <t>Trusco/CHINA</t>
  </si>
  <si>
    <t>Nitto kohki/Korea</t>
  </si>
  <si>
    <t>TOSO/Japan</t>
  </si>
  <si>
    <t>Sato/Japan</t>
  </si>
  <si>
    <t>HWASWYS/China</t>
  </si>
  <si>
    <t>Akasha/China</t>
  </si>
  <si>
    <t>Atech/Đài Loan</t>
  </si>
  <si>
    <t>LS/Korea</t>
  </si>
  <si>
    <t>CHINT/China</t>
  </si>
  <si>
    <t>OMRON/Indonesia</t>
  </si>
  <si>
    <t>OMRON/china</t>
  </si>
  <si>
    <t>IDEC/Japan</t>
  </si>
  <si>
    <t>Patlite/Japan</t>
  </si>
  <si>
    <t>Panasonic/Japan</t>
  </si>
  <si>
    <t>Panasonic/Thailand</t>
  </si>
  <si>
    <t>MERCI/china</t>
  </si>
  <si>
    <t>Erising/China</t>
  </si>
  <si>
    <t>MAX/VIET NAM</t>
  </si>
  <si>
    <t>NGOC HA/VIET NAM</t>
  </si>
  <si>
    <t>TaiPhaco/VIET NAM</t>
  </si>
  <si>
    <t>Toso/Japan</t>
  </si>
  <si>
    <t>Tân Bình/VIET NAM</t>
  </si>
  <si>
    <t>Globe/China</t>
  </si>
  <si>
    <t>MUSASHI/Japan</t>
  </si>
  <si>
    <t>BISHAMON/Japan</t>
  </si>
  <si>
    <t>HIOS/Japan</t>
  </si>
  <si>
    <t>Canary/JAPAN</t>
  </si>
  <si>
    <t>PATLITE/CHINA</t>
  </si>
  <si>
    <t>COMMON
WEALTH/TAIWAN</t>
  </si>
  <si>
    <t>DR.SCHNEIDER/China</t>
  </si>
  <si>
    <t>Yaesu/Japan</t>
  </si>
  <si>
    <t>ARMEKA/China</t>
  </si>
  <si>
    <t>SMC/China</t>
  </si>
  <si>
    <t>Kilews/China</t>
  </si>
  <si>
    <t>Symbol/MEXICO</t>
  </si>
  <si>
    <t>HONEYWELL/China</t>
  </si>
  <si>
    <t>KITZ/Japan</t>
  </si>
  <si>
    <t>YIDU/China</t>
  </si>
  <si>
    <t>ISHIZAKI/JAPAN</t>
  </si>
  <si>
    <t>Esco/China</t>
  </si>
  <si>
    <t>NAKATA/Japan</t>
  </si>
  <si>
    <t>Esco/Germany</t>
  </si>
  <si>
    <t>SMC/Singapore</t>
  </si>
  <si>
    <t>XKX/China</t>
  </si>
  <si>
    <t>Tatomo/VIET NAM</t>
  </si>
  <si>
    <t>Dân Hoa/VIET NAM</t>
  </si>
  <si>
    <t>FS/TAIWAN</t>
  </si>
  <si>
    <t>Plus/China</t>
  </si>
  <si>
    <t>FU/China</t>
  </si>
  <si>
    <t>Trusco/Japan</t>
  </si>
  <si>
    <t>OHMI SEIKI/Japan</t>
  </si>
  <si>
    <t xml:space="preserve">Jie/Italia </t>
  </si>
  <si>
    <t>STNC/Đài Loan</t>
  </si>
  <si>
    <t>Erising/china</t>
  </si>
  <si>
    <t>Oriental/Japan</t>
  </si>
  <si>
    <t>IEC/China</t>
  </si>
  <si>
    <t>PHILLIPS/China</t>
  </si>
  <si>
    <t>AS/VIET NAM</t>
  </si>
  <si>
    <t>EXCELL/TAIWAN</t>
  </si>
  <si>
    <t>Jinliqi company/China</t>
  </si>
  <si>
    <t xml:space="preserve">Đoàn An/Việt Nam </t>
  </si>
  <si>
    <t>Hozan/Japan</t>
  </si>
  <si>
    <t>Iwashita/Trung Quốc</t>
  </si>
  <si>
    <t>OCHIAI/JAPAN</t>
  </si>
  <si>
    <t>FUJIFILM/Japan</t>
  </si>
  <si>
    <t>BOJIN/China</t>
  </si>
  <si>
    <t>PISCO/Japan</t>
  </si>
  <si>
    <t>MAKITA/china</t>
  </si>
  <si>
    <t>IDEC/China</t>
  </si>
  <si>
    <t>SANPLATEC/Japan</t>
  </si>
  <si>
    <t xml:space="preserve">Rạng Đông/Việt Nam </t>
  </si>
  <si>
    <t xml:space="preserve">Duhal/Việt Nam </t>
  </si>
  <si>
    <t>REX/japan</t>
  </si>
  <si>
    <t>UCHIDA/Japan</t>
  </si>
  <si>
    <t>INOAC /Việt Nam</t>
  </si>
  <si>
    <t>Yihuale/China</t>
  </si>
  <si>
    <t>Wateron/china</t>
  </si>
  <si>
    <t>SELEN/china</t>
  </si>
  <si>
    <t>LITTOKALA/CHINA</t>
  </si>
  <si>
    <t>Lioa/Việt Nam</t>
  </si>
  <si>
    <t>Mega/VIET NAM</t>
  </si>
  <si>
    <t>ARMSTRONG/Việt Nam</t>
  </si>
  <si>
    <t>FANCY/Việt Nam</t>
  </si>
  <si>
    <t>FIT/Việt Nam</t>
  </si>
  <si>
    <t>Iwashita/china</t>
  </si>
  <si>
    <t>3M/TAIWAN</t>
  </si>
  <si>
    <t>Mega/Việt Nam</t>
  </si>
  <si>
    <t>DLP/Việt Nam</t>
  </si>
  <si>
    <t>Tiến Hà/Việt Nam</t>
  </si>
  <si>
    <t>EPSON/Indonesia</t>
  </si>
  <si>
    <t>HOZAN/PAKISTAN</t>
  </si>
  <si>
    <t>MIDORI ANZEN/Japan</t>
  </si>
  <si>
    <t>ELMECH/Japan</t>
  </si>
  <si>
    <t>OEM/CHINA</t>
  </si>
  <si>
    <t>SMC/Japan</t>
  </si>
  <si>
    <t>KOBASHI/Japan</t>
  </si>
  <si>
    <t>AUTOLABEL/China</t>
  </si>
  <si>
    <t>KEYENCE/Japan</t>
  </si>
  <si>
    <t>Hitachi/Thailand</t>
  </si>
  <si>
    <t>Keezo/ China</t>
  </si>
  <si>
    <t>AS ONE/Japan</t>
  </si>
  <si>
    <t xml:space="preserve">Keezo/China  </t>
  </si>
  <si>
    <t>Keyence/CHINA</t>
  </si>
  <si>
    <t>CW/Đài Loan</t>
  </si>
  <si>
    <t>Misumi/Japan</t>
  </si>
  <si>
    <t>FUJITANSHI/Japan</t>
  </si>
  <si>
    <t>NCF/Japan</t>
  </si>
  <si>
    <t>Keyence/JAPAN</t>
  </si>
  <si>
    <t>Keyence/Japan</t>
  </si>
  <si>
    <t>Keyence/China</t>
  </si>
  <si>
    <t>SMC/India</t>
  </si>
  <si>
    <t>PATLITE/JAPAN</t>
  </si>
  <si>
    <t>ATM/Việt Nam</t>
  </si>
  <si>
    <t>SPACIO/Japan</t>
  </si>
  <si>
    <t>Cadisun/Việt Nam</t>
  </si>
  <si>
    <t>OSG/Japan</t>
  </si>
  <si>
    <t>INDEX/Việt Nam</t>
  </si>
  <si>
    <t>SMC /Singapore</t>
  </si>
  <si>
    <t>MISUMI/Japan</t>
  </si>
  <si>
    <t>MEANWELL/CHINA</t>
  </si>
  <si>
    <t>IWASHITA/JAPAN</t>
  </si>
  <si>
    <t>OHTAKE/JAPAN</t>
  </si>
  <si>
    <t>Fuji/China</t>
  </si>
  <si>
    <t>Anristu/Japan</t>
  </si>
  <si>
    <t>PANASONIC/JAPAN</t>
  </si>
  <si>
    <t>OMRON/CHINA</t>
  </si>
  <si>
    <t>PANASONIC/China</t>
  </si>
  <si>
    <t>SMC /Japan</t>
  </si>
  <si>
    <t>OPTEX/Japan</t>
  </si>
  <si>
    <t>PANASONIC /Japan</t>
  </si>
  <si>
    <t>WELLCOME/JAPAN</t>
  </si>
  <si>
    <t>Musashi/JAPAN</t>
  </si>
  <si>
    <t>METROL/Japan</t>
  </si>
  <si>
    <t>Misumi/CHN</t>
  </si>
  <si>
    <t>Misumi/China</t>
  </si>
  <si>
    <t>AHD/China</t>
  </si>
  <si>
    <t>EXL/China</t>
  </si>
  <si>
    <t>Polymer/Korea</t>
  </si>
  <si>
    <t>Taekwang/Korea</t>
  </si>
  <si>
    <t>IDEL/Korea</t>
  </si>
  <si>
    <t>Blinking/China</t>
  </si>
  <si>
    <t>Makita/China</t>
  </si>
  <si>
    <t>APT/China</t>
  </si>
  <si>
    <t>Idec/China</t>
  </si>
  <si>
    <t>Meci/China</t>
  </si>
  <si>
    <t>HARVES/Japan</t>
  </si>
  <si>
    <t>KHMV/Việt Nam</t>
  </si>
  <si>
    <t>Chuda/China</t>
  </si>
  <si>
    <t>San-ei Tech/China</t>
  </si>
  <si>
    <t>Hong Jin/Korea</t>
  </si>
  <si>
    <t>Accura/Indonesia</t>
  </si>
  <si>
    <t>IWASHITA/China</t>
  </si>
  <si>
    <t>ORGAN/Japan</t>
  </si>
  <si>
    <t>FUJI/Japan</t>
  </si>
  <si>
    <t>OEM/Việt Nam</t>
  </si>
  <si>
    <t>OMRON/Japan</t>
  </si>
  <si>
    <t>PATLITE/ Indonesia</t>
  </si>
  <si>
    <t>Weinteck/China</t>
  </si>
  <si>
    <t>Blinking /China</t>
  </si>
  <si>
    <t>INDEX /Việt Nam</t>
  </si>
  <si>
    <t>Vision /Việt Nam</t>
  </si>
  <si>
    <t>Sick/Malaysia</t>
  </si>
  <si>
    <t>Weinteck/China/Taiwan</t>
  </si>
  <si>
    <t>OTSUKA OPTICS/JAPAN</t>
  </si>
  <si>
    <t>SMC/ Singapore</t>
  </si>
  <si>
    <t>SMC/ Japan</t>
  </si>
  <si>
    <t>SPACIO /JAPAN</t>
  </si>
  <si>
    <t>IT /Việt Nam</t>
  </si>
  <si>
    <t>Omron/Japan</t>
  </si>
  <si>
    <t>Makita/Singapore</t>
  </si>
  <si>
    <t>BIL/Japan</t>
  </si>
  <si>
    <t>Generic/China</t>
  </si>
  <si>
    <t>FENIX/CHINA</t>
  </si>
  <si>
    <t>KEYENCE/CHINA
/JAPAN</t>
  </si>
  <si>
    <t>Index/Việt Nam</t>
  </si>
  <si>
    <t>HIOS/JAPAN</t>
  </si>
  <si>
    <t>3M/USA</t>
  </si>
  <si>
    <t>MIDWEST/USA</t>
  </si>
  <si>
    <t>SEIWA</t>
  </si>
  <si>
    <t>Hoàng Hà</t>
  </si>
  <si>
    <t>ELEMATEC</t>
  </si>
  <si>
    <t>INABATA</t>
  </si>
  <si>
    <t>ISHIKAWA</t>
  </si>
  <si>
    <t>NITTO DENKO VN</t>
  </si>
  <si>
    <t>DAI-ICHI SHOJI CO</t>
  </si>
  <si>
    <t>Vinh Thái</t>
  </si>
  <si>
    <t>LUKI</t>
  </si>
  <si>
    <t>DOAN AN</t>
  </si>
  <si>
    <t>MEIJITSU</t>
  </si>
  <si>
    <t>DANKO</t>
  </si>
  <si>
    <t>C.T.S</t>
  </si>
  <si>
    <t>KATECS</t>
  </si>
  <si>
    <t>Nitto Denko JP</t>
  </si>
  <si>
    <t>SEKISUI</t>
  </si>
  <si>
    <t>Hacotech</t>
  </si>
  <si>
    <t>HONGKONG JINGSHUO</t>
  </si>
  <si>
    <t>TSUCHIYA</t>
  </si>
  <si>
    <t>KSMC</t>
  </si>
  <si>
    <t>FRIEND</t>
  </si>
  <si>
    <t>SANKYO</t>
  </si>
  <si>
    <t>NIHON SUPERIOR</t>
  </si>
  <si>
    <t>Kamogawa JP</t>
  </si>
  <si>
    <t>BIHK</t>
  </si>
  <si>
    <t>AKANE</t>
  </si>
  <si>
    <t>Ky thuat sang tao</t>
  </si>
  <si>
    <t>Hà Sơn</t>
  </si>
  <si>
    <t>Quốc Hưng</t>
  </si>
  <si>
    <t>Yamazen</t>
  </si>
  <si>
    <t>Kamogawa VN</t>
  </si>
  <si>
    <t>AZ Com</t>
  </si>
  <si>
    <t>Semeco</t>
  </si>
  <si>
    <t>Epic</t>
  </si>
  <si>
    <t>Douyee</t>
  </si>
  <si>
    <t>Hợp Long</t>
  </si>
  <si>
    <t>Việt Lợi</t>
  </si>
  <si>
    <t>Inoac</t>
  </si>
  <si>
    <t xml:space="preserve">KEYENCE </t>
  </si>
  <si>
    <t>Iwase</t>
  </si>
  <si>
    <t>NIHON DENKEI</t>
  </si>
  <si>
    <t>KEIN HING MURAMOTO</t>
  </si>
  <si>
    <t>Giấy in khổ A4 Mondi Color Copy, định lượng 100g/m2, 500 tờ/tập</t>
  </si>
  <si>
    <t>Mondi Color Copy 100gA4</t>
  </si>
  <si>
    <t>Khăn lau bằng vải không dệt Dusper K3 (500 tờ/gói; 120 gói/hộp) cắt 4</t>
  </si>
  <si>
    <t>Dusper K3 (500sheets/bundle;120bundle/carton )</t>
  </si>
  <si>
    <t>Giấy Chart TC-027 (1000 sheet/Box)</t>
  </si>
  <si>
    <t xml:space="preserve">Monochrome Test Chart TC -027 Ver.2 </t>
  </si>
  <si>
    <t>Keo dính X-8008 màu trắng (333ml/tuýp)</t>
  </si>
  <si>
    <t>Super X No.8008 white 333ml</t>
  </si>
  <si>
    <t>Chế phẩm mỡ bôi trơn Molykote EM-D110 (16kg/thùng, thành phần gồm các chất với CAS: 7620-77-1: 1-11%, 9010-79-1: 84-94%, 37640-57-6: 1-10%, 9002-84-0: 1-10%)</t>
  </si>
  <si>
    <t xml:space="preserve">MOLYKOTE EM-D110 </t>
  </si>
  <si>
    <t>Chế phẩm mỡ bôi trơn Molykote PG-661(W) (16kg/thùng,  thành phần gồm các chất với CAS: 7620-77-1: 1-10%, 151006-60-9: 60-70%, 37640-57-6: 1-10%, 9010-79-1: 20-30%, 9002-84-0: 1-10%, 4499-91-6: 1-10%)</t>
  </si>
  <si>
    <t xml:space="preserve">MOLYKOTE PG-661(W) </t>
  </si>
  <si>
    <t>Chế phẩm mỡ bôi trơn Molykote SK-623 (16kg/thùng, thành phần gồm các chất với CAS: 68037-01-4: 20-30%, 9010-79-1: 60-70%, 7620-77-1: 1-10%, 9002-84-0: 1-10%, 37640-57-6: 1-10%)</t>
  </si>
  <si>
    <t xml:space="preserve">MOLYKOTE SK-623 </t>
  </si>
  <si>
    <t xml:space="preserve">Dầu nhờn BG-MU </t>
  </si>
  <si>
    <t xml:space="preserve">FLOIL BG-MU  </t>
  </si>
  <si>
    <t xml:space="preserve">Dầu nhờn BG-107A </t>
  </si>
  <si>
    <t xml:space="preserve">FLOIL BG-107A  </t>
  </si>
  <si>
    <t>Thiếc hàn 0.8mm</t>
  </si>
  <si>
    <t>Solder R4-ARK-3 0.8 MM   0.8mm</t>
  </si>
  <si>
    <t>Thiếc hàn 1.2mm</t>
  </si>
  <si>
    <t>Solder R4-ARK-3 1.2 MM   1.2mm</t>
  </si>
  <si>
    <t>Tem nhãn bằng giấy màu trắng viền xanh (28*10mm, 7650 tem/cuộn)</t>
  </si>
  <si>
    <t>BARCODE LABEL BLUE ST-S28x10 Packing:1 roll = 7650 Pcs</t>
  </si>
  <si>
    <t>Tem nhãn bằng giấy màu trắng viền cam (28*10mm, 7650 tem/cuộn)</t>
  </si>
  <si>
    <t>BARCODE LABEL ORANGE ST-S28X10 Packing:1 roll = 7650 Pcs</t>
  </si>
  <si>
    <t>Tem nhãn bằng giấy màu trắng viền tím (28*10mm, 7650 tem/cuộn)</t>
  </si>
  <si>
    <t>BARCODE LABEL PURPLE ST-S28X10  Packing:1 roll = 7650 Pcs</t>
  </si>
  <si>
    <t>Tem nhãn bằng giấy màu trắng (28*10mm, 7650 tem/cuộn)</t>
  </si>
  <si>
    <t>BARCODE LABEL WHITE ST-S28x10 Packing:1 roll = 7650 Pcs</t>
  </si>
  <si>
    <t>Băng keo nhựa một mặt không in hình, chữ 3800A (0.038mm x 12mm x 50m)</t>
  </si>
  <si>
    <t>ADHESIVE HOLDING TAPE (POLYESTER)
3800A 0.038MM X 12MM X 50M STANDARD</t>
  </si>
  <si>
    <t>Giấy Photo copy Paper One khổ A4 (định lượng 80g)</t>
  </si>
  <si>
    <t>Paper One 80gsm,size A4</t>
  </si>
  <si>
    <t xml:space="preserve">Dầu nhờn  </t>
  </si>
  <si>
    <t>OIL Noxlub KF2012 (1Kg/Btl) NOK  　</t>
  </si>
  <si>
    <t>Tem nhãn bằng giấy màu trắng (160*105mm, 1000 tem/cuộn)</t>
  </si>
  <si>
    <t xml:space="preserve">Bar code label PT 160X105    </t>
  </si>
  <si>
    <t xml:space="preserve">Dầu nhờn GE-676 </t>
  </si>
  <si>
    <t xml:space="preserve">FLOIL GE-676  </t>
  </si>
  <si>
    <t>Tem nhãn bằng giấy (65*100mm, 1350 tem/cuộn)</t>
  </si>
  <si>
    <t>Barcode label ST-S 65X100 packing: 1 roll=1,350 Pcs</t>
  </si>
  <si>
    <t>Ruy băng máy in Wax/Resin B110A (110mm*300M)</t>
  </si>
  <si>
    <t>Ribbon Printer Wax/Resin B110A 110mmx300M</t>
  </si>
  <si>
    <t>Ruy băng máy in Wax/Resin B110A (60mm*270m, F/O)</t>
  </si>
  <si>
    <t>Ribbon Printer Wax/Resin B110A 60mmx270M, F/O</t>
  </si>
  <si>
    <t xml:space="preserve">Dầu nhờn BG-10KS </t>
  </si>
  <si>
    <t>FLOIL BG-10KS　</t>
  </si>
  <si>
    <t>Phôi dập nhiệt (70*300; 300m/cuộn)</t>
  </si>
  <si>
    <t>Wax/resin B110A Size: 70mmx300M, Inking: Inside</t>
  </si>
  <si>
    <t>Chất kết dính UV 8137 (300g/tuýp)</t>
  </si>
  <si>
    <t>Adhesive world rock No.8137 (300G/BTL) Kyoritsu</t>
  </si>
  <si>
    <t>Giấy Photo copy Paper One khổ A4 (định lượng 80g; 1 ream= 500 tờ)</t>
  </si>
  <si>
    <t>Photocopy Paper one Size A4, 80g</t>
  </si>
  <si>
    <t>Băng dính chịu nhiệt 3M 5413 (8mm*33m)</t>
  </si>
  <si>
    <t>Heat Proof tape 5413</t>
  </si>
  <si>
    <t>Chất kết dính UV 5342 (300g/tuýp)</t>
  </si>
  <si>
    <t>Adhesive world rock No.5342 (300g/BTL) Kyoritsu</t>
  </si>
  <si>
    <t>Băng keo dán thùng OPP (50mm*50m*90mic, 50m/cuộn)</t>
  </si>
  <si>
    <t>Lukitape# 01001 - 5050</t>
  </si>
  <si>
    <t>Băng dính Bopp P02020 (LENOVO; 1 cuộn = 500 m)</t>
  </si>
  <si>
    <t>Bopp tape LENOVO size: 50mm*500m*68μm</t>
  </si>
  <si>
    <t>Tem nhãn bằng giấy (40*25; 3550 tem/cuộn)</t>
  </si>
  <si>
    <t>Tem ST-S 40x25　</t>
  </si>
  <si>
    <t>Giấy in Xerox Vitality 20lb 3R02047, màu trắng, chưa tráng phủ bề mặt, khổ giấy rộng 215.9mm, chiều dài 279.4mm , định lượng 75g/m2, 500 tờ /tập, 10 tập/thùng</t>
  </si>
  <si>
    <t>Xerox Vitality 3R02047 8.5 x 11 20lb (215.9mm x 279.4mm)</t>
  </si>
  <si>
    <t>Băng keo nhựa một mặt không in hình,chữ 3800A (0.038mm x 10mm x 50m)</t>
  </si>
  <si>
    <t>ADHESIVE HOLDING TAPE (POLYESTER)
3800A 0.038MM X 10MM X 50M STANDARD</t>
  </si>
  <si>
    <t>Băng keo nhựa một mặt không in hình,chữ 3800A (0.038mm x 20mm x 50m)</t>
  </si>
  <si>
    <t>ADHESIVE HOLDING TAPE (POLYESTER)
3800A 0.038MM X 20MM X 50M STANDARD</t>
  </si>
  <si>
    <t>Chế phẩm mỡ bôi trơn Molykote HP-500 (0.5kg/can, gồm 1-Propene, 1,1,2,3,3,3-Hexafluoro-, Oxidized, Polymd-CAS 69991-67-9: 70-80%, Ethene, tetrafluoro-, homopolymer-CAS 9002-84-0: 20-30%)</t>
  </si>
  <si>
    <t xml:space="preserve">MOLYKOTE HP-500 </t>
  </si>
  <si>
    <t>Băng keo dán thùng OPP (50mm*75m, 75m/cuộn)</t>
  </si>
  <si>
    <t>Lukitape# 01004 - 5075　</t>
  </si>
  <si>
    <t>Băng dính chịu nhiệt 3M 5413 (2.5mm*33m)</t>
  </si>
  <si>
    <t xml:space="preserve">Heat proof tape 5413 </t>
  </si>
  <si>
    <t>Băng dính chịu nhiệt 3M 5413 (5mm*33m)</t>
  </si>
  <si>
    <t xml:space="preserve">Heat proof tape  5413 </t>
  </si>
  <si>
    <t>Ruy băng máy in Wax/Resin B110A (45mm*300m)</t>
  </si>
  <si>
    <t>Ribbon Printer Wax/Resin B110A 45mmx300M</t>
  </si>
  <si>
    <t>Ruy băng máy in Wax/Resin B110A (142mm*450m)</t>
  </si>
  <si>
    <t>Ribbon Printer Wax/Resin B110A 142mm x 450m</t>
  </si>
  <si>
    <t>Tem nhãn bằng giấy (THT-25-402)</t>
  </si>
  <si>
    <t>THT-25-402 LABEL Brady</t>
  </si>
  <si>
    <t>Khăn lau phòng sạch WIP-4004C-LE (1000; 600 chiếc/túi)</t>
  </si>
  <si>
    <t>Polyester Wiper WIP-4004C-LE(1000),4"x4", 130g/m2, 600 pcs/bag, 10 Bags/Ctn Class</t>
  </si>
  <si>
    <t>Tem nhãn bằng giấy LJB697001</t>
  </si>
  <si>
    <t>LJB697001 LABEL DR/TN BLANK　</t>
  </si>
  <si>
    <t>Tem nhãn bằng giấy (20*15mm, 5000 tem/cuộn)</t>
  </si>
  <si>
    <t>Barcode Label ST - S20*15 Packing: 1 Roll=5000 pcs 　</t>
  </si>
  <si>
    <t>Tem nhãn bằng giấy (75*33mm, 2700 tem/cuộn)</t>
  </si>
  <si>
    <t>Barcode Label ST - S75x33 Packing: 1 Roll=2,700 pcs 　</t>
  </si>
  <si>
    <t>Tem nhãn bằng giấy (11*64mm, 6600 tem/cuộn)</t>
  </si>
  <si>
    <t>Barcode Label ST - S11x64 Packing: 1 Roll=6,600 pcs</t>
  </si>
  <si>
    <t>Khăn lau phòng sạch WIP-4006C-LE (kích thước 6"x 6"; 150 chiếc/túi)</t>
  </si>
  <si>
    <t>Lin-Free wiper Cloth 150pcs/bag WIP-4006C-LE 6"x 6"</t>
  </si>
  <si>
    <t xml:space="preserve">Băng Keo dán thùng OPP 12mmx50m </t>
  </si>
  <si>
    <t>Lukitape#01004-1250</t>
  </si>
  <si>
    <t>Cồn Ethanol 99%, 1 can =20 lít, cồn chưa biến tính, thành phần gồm mã CAS 64-17-5: 95.13%, CAS 7732-18-5: 4.87%</t>
  </si>
  <si>
    <t>99% Ethanol, 1 can = 20 liters, undenatured alcohol, composition CAS code 64-17-5: 95.13%, CAS 7732-18-5: 4.87%</t>
  </si>
  <si>
    <t>Thiếc hàn dạng thanh LLS227N-B18</t>
  </si>
  <si>
    <t xml:space="preserve">Solder bar LLS227N-B18(Sn-0.6Cu-Ni-Ge) </t>
  </si>
  <si>
    <t>Chất gây chảy dùng trong công nghiệp hàn EC-19S-8</t>
  </si>
  <si>
    <t xml:space="preserve">Tamura Lead freerite EC-19S-8 </t>
  </si>
  <si>
    <t>Phôi dập nhiệt (25mm*300m)</t>
  </si>
  <si>
    <t>Ribbon B110A Size: 25mmx300M</t>
  </si>
  <si>
    <t>Thiếc hàn dạng thanh</t>
  </si>
  <si>
    <t>Solder bar LLS227AN-B18(Sn-Ni-Ge)</t>
  </si>
  <si>
    <t>Mỡ bôi trơn BAN-5 (1 can = 16 kg)</t>
  </si>
  <si>
    <t>GREASE PERMALUB BAN-5 WEIGHT: 16 kg</t>
  </si>
  <si>
    <t>Băng dính (50mm*50m)</t>
  </si>
  <si>
    <t>N03305 50mm x 50m  (TRANSPARENTS)　</t>
  </si>
  <si>
    <t>Tem nhãn bằng giấy (34*9mm, 7650 chiếc/cuộn)</t>
  </si>
  <si>
    <t>Barcode Label ST-34X9 (White) Packing: 7650 pcs/roll</t>
  </si>
  <si>
    <t>Thiếc hàn dạng dây (1 Kg/cuộn)</t>
  </si>
  <si>
    <t>SOLDER WIRE GRIII(B8)LLS227N-0.8MM</t>
  </si>
  <si>
    <t>Ruy băng máy in Wax/Resin B110A (40mm*300m)</t>
  </si>
  <si>
    <t>Ribbon Printer Wax/Resin B110A 40mmx300M</t>
  </si>
  <si>
    <t>Tem nhãn bằng giấy (FX-0754-2)</t>
  </si>
  <si>
    <t>FX-0754-2 Label</t>
  </si>
  <si>
    <t>Cuộn xốp bọt Polyethylene (PE Foam) K1200, chống tĩnh điện màu hồng, dạng cuộn, kích thước đường kính bọt phi 9mm, dài 100m/cuộn, dùng để đóng gói bảo vệ sản phẩm</t>
  </si>
  <si>
    <t>Air roll W1,200*L100,000(mm), Product color: Pink</t>
  </si>
  <si>
    <t>Băng dính đóng gói SEKISUI (50mm*500m; No 830)</t>
  </si>
  <si>
    <t>Sekisui Orien Tape No 830</t>
  </si>
  <si>
    <t>Băng keo dán thùng OPP (50mm*1000m)</t>
  </si>
  <si>
    <t>Lukitape#01004-501000</t>
  </si>
  <si>
    <t>Phôi dập nhiệt (60mm*300m)</t>
  </si>
  <si>
    <t>Wax/Ribbon B110A-Size 60mmx300m</t>
  </si>
  <si>
    <t>Băng dính đóng gói NO3303  (50mm*1000m)</t>
  </si>
  <si>
    <t>No 3303 50mm*1000m  (TRANSPARENTS)</t>
  </si>
  <si>
    <t>Dây đai PP (0.7mm*15mm*1500m)</t>
  </si>
  <si>
    <t>PP BAND 15X0.7</t>
  </si>
  <si>
    <t>Giấy A4 in 2 mặt Bãi Bằng 58gsm (ELL-FB; 1 ream = 500 tờ)</t>
  </si>
  <si>
    <t>Check sheet ELL-FB</t>
  </si>
  <si>
    <t>Giấy A4 in 2 mặt Bãi Bằng 58gsm (ELL-PR; 1 ream = 500 tờ)</t>
  </si>
  <si>
    <t>Check sheet ELL-PR</t>
  </si>
  <si>
    <t>Keo ThreeBond mã 2217H 370g/tuýp, cấu tạo gồm nhựa CAS 25068-38-6: 1-10%,Bisphenol F liquid epoxy resin, other epoxy resin 40-50%,Modified aliphatic polyamine, additive 15-25%,Inorganic filler, Other filler 20-30%</t>
  </si>
  <si>
    <t>Threebond TB2217H 370g/ tube</t>
  </si>
  <si>
    <t>Thiếc hàn dạng kem</t>
  </si>
  <si>
    <t xml:space="preserve"> Solder paste BTLF220 S30/580/M11.2</t>
  </si>
  <si>
    <t>Giấy chart DS-003 (100 tờ/hộp)</t>
  </si>
  <si>
    <t>ZE1220200JT9 Chart DS-003 Ver.2</t>
  </si>
  <si>
    <t xml:space="preserve">Dầu nhờn ELP </t>
  </si>
  <si>
    <t>OIL MUL TEMP ELP (16Kg/can)</t>
  </si>
  <si>
    <t>Keo dính Super XG No777 màu trắng (135ml/tuýp)</t>
  </si>
  <si>
    <t>Super XG No 777 white 135ml</t>
  </si>
  <si>
    <t>Tem nhãn bằng giấy (1600 chiếc/gói)</t>
  </si>
  <si>
    <t>Case Mark ID-S70x55x8</t>
  </si>
  <si>
    <t>Tem nhãn bằng giấy màu trắng (13000 chiếc/cuộn)</t>
  </si>
  <si>
    <t>Barcode label ID-S12x12x2 (1 roll = 13.000pcs)</t>
  </si>
  <si>
    <t>Bút đánh dấu màu đen</t>
  </si>
  <si>
    <t>PERMANENT MARKER KAWAKIMA PEN (10PC/BOX) K-177N (BLACK) SHACHIHATA</t>
  </si>
  <si>
    <t>Dầu Nhờn FG-70H</t>
  </si>
  <si>
    <t>Floil FG-70H</t>
  </si>
  <si>
    <t>Tem nhãn bằng giấy ID-S80x60x10 (1600 chiếc/gói)</t>
  </si>
  <si>
    <t>Case Mark ID - S80x60x10</t>
  </si>
  <si>
    <t>Tem nhãn bằng giấy ID-S70x55x10 (1600 chiếc/gói)</t>
  </si>
  <si>
    <t>Case mark ID - S70x55x10</t>
  </si>
  <si>
    <t>Ruy băng máy in B110A Size 90mm*300m Inking inside</t>
  </si>
  <si>
    <t>Ribbon printer Wax/Resin B110A Size 90mm- 300m Inking inside</t>
  </si>
  <si>
    <t>Tem nhãn bằng giấy ID - S40x18x1 Size 40*18mm (1 hàng)</t>
  </si>
  <si>
    <t>Barcode lable ID - S40x18x1 Size 40x18mm (1 hàng) 1 roll = 4,750 pcs</t>
  </si>
  <si>
    <t>Khăn lau phòng sạch Model: ID-408 kích thước 8"x8"</t>
  </si>
  <si>
    <t>Wiper Model: ID -408 Size 8"x8"</t>
  </si>
  <si>
    <t>Dung môi tẩy mực in (250ML/lọ) 200</t>
  </si>
  <si>
    <t>ECOBEAUT INK (250ML/BTL) 200 SOLVENT</t>
  </si>
  <si>
    <t>Mực in màu đen (250ML/lọ) 200X</t>
  </si>
  <si>
    <t>ECOBEAUT INK (250ML/BTL) 200X BLACK</t>
  </si>
  <si>
    <t>Tem nhãn bằng giấy ID-S80x40x10 (1600 chiếc/gói)</t>
  </si>
  <si>
    <t>Case mark ID-S80x40x10 (1600 pcs/pack)</t>
  </si>
  <si>
    <t>Ruy băng máy in B110A (170mm*300m)</t>
  </si>
  <si>
    <t>Ribbon printer Wax Risin B110A size 170mmX300m</t>
  </si>
  <si>
    <t>Giấy in khổ A4 PPC 052013 (ZE1220200JU4) định lượng 64g/m2</t>
  </si>
  <si>
    <t>PPC PAPER A4 052013 (ZE1220200JU4) 64g</t>
  </si>
  <si>
    <t>Giấy in nhiệt K57 ( 30m/cuộn)</t>
  </si>
  <si>
    <t>Thermal Printer Paper K57 (30m/ roll)</t>
  </si>
  <si>
    <t>Tem nhãn ID-S60x40x10 (1600 chiếc/gói, kích thước dài 60mm, rộng 40mm, bề mặt giấy chưa in, một mặt có lớp keo acrylic tự dính)</t>
  </si>
  <si>
    <t>Case Mark ID-S60x40x10</t>
  </si>
  <si>
    <t>Dầu nhờn MDF-1245</t>
  </si>
  <si>
    <t>DRYSURF MDF-1245 Oil</t>
  </si>
  <si>
    <t xml:space="preserve">Dầu nhờn DRYSURF MDF-1185EL </t>
  </si>
  <si>
    <t>DRYSURF MDF-1185EL Oil</t>
  </si>
  <si>
    <t>Thảm dính bụi bằng nhựa (0,04mm*13cm*23cm)</t>
  </si>
  <si>
    <t>Sticky mat (Size: 13cmx23cmx0.04mm)</t>
  </si>
  <si>
    <t>Thảm dính bụi bằng nhựa (Kích thước 15cm*25cm*0.04mm)</t>
  </si>
  <si>
    <t>Sticky mat  (Size: 15cmx25cmx0.04mm)</t>
  </si>
  <si>
    <t>Băng keo nhựa một mặt không in hình,chữ 3800A (0.038mm x 5mm x 50m)</t>
  </si>
  <si>
    <t>ADHESIVE HOLDING TAPE (POLYESTER)
3800A 0.038MM X 5MM X 50M STANDARD</t>
  </si>
  <si>
    <t>Tem nhãn bằng giấy màu trắng viền xanh da trời (63mm*25mm, 3550 tem/cuộn)</t>
  </si>
  <si>
    <t>Label 63mmx25mm (Colour: Light Blue; 3550 pcs/roll)</t>
  </si>
  <si>
    <t>Tem nhãn bằng giấy màu  trắng viền xanh lá cây (63mm*25mm, 3550 tem/cuộn)</t>
  </si>
  <si>
    <t>Label 63mmx25mm (Colour: Green; 3550 pcs/roll)</t>
  </si>
  <si>
    <t>Tem nhãn bằng giấy màu trắng viền cam (63mm*25mm, 3550 tem/cuộn)</t>
  </si>
  <si>
    <t>Label 63mmx25mm (Colour:Orange; 3550 pcs/roll)</t>
  </si>
  <si>
    <t>Tem nhãn bằng giấy màu trắng (63mm*25mm, 3550 tem/cuộn)</t>
  </si>
  <si>
    <t>Label 63mmx25mm (Colour: White; 3550 pcs/roll)</t>
  </si>
  <si>
    <t>Tem nhãn bằng giấy màu trắng viền vàng (63mm*25mm, 3550 tem/cuộn)</t>
  </si>
  <si>
    <t>Label 63mmx25mm (Colour: Yeallow; 3550 pcs/roll)</t>
  </si>
  <si>
    <t>Tem nhãn bằng giấy màu trắng (40mmx12mm, 7650 tem/cuộn)</t>
  </si>
  <si>
    <t>Label 40mmx12mm (Colour: White; 7650 pcs/roll)</t>
  </si>
  <si>
    <t>Tem nhãn bằng giấy màu trắng (34mmx9mm, 7650 tem/cuộn)</t>
  </si>
  <si>
    <t>Label 34mmx9mm (Colour: White; 7650 pcs/roll)</t>
  </si>
  <si>
    <t>Hỗn hợp dung môi hữu cơ dạng lỏng, dùng để chống tĩnh điện (CAS 64-17-5: 91.2%,CAS 67-56-1: 4.8%,CAS 71-23-8:4%,other composition 0.1%)</t>
  </si>
  <si>
    <t>Eco Sun coat Antistatic solvent</t>
  </si>
  <si>
    <t>Tem nhãn bằng giấy màu trắng (52x18mm, 6600 chiếc/cuộn)</t>
  </si>
  <si>
    <t>Barcode label white ST-S52x18</t>
  </si>
  <si>
    <t>Dầu nhờn BDX-313M</t>
  </si>
  <si>
    <t>Hanarl BDX-313M</t>
  </si>
  <si>
    <t>Tem nhãn 15x30 LEK889001 (bằng nhựa)</t>
  </si>
  <si>
    <t>LABEL 15X30  LEK889001</t>
  </si>
  <si>
    <t>Băng dính Bopp  PP0202O Size 50mm x 1000m x 68 µm</t>
  </si>
  <si>
    <t>Bopp Tape PP0202O Size 50mm x 1000m x 68 µm</t>
  </si>
  <si>
    <t>Giấy photo copy khổ Letter (216x279mm), định lượng 80gsm, 500 tờ/Ream</t>
  </si>
  <si>
    <t>Copy Paper size LETTER (216x279mm) 500 sheets/Ream, 80gsm</t>
  </si>
  <si>
    <t>Tem nhãn bằng giấy màu trắng (30mmx15mm, 5000 tem/cuộn), mã YUPO 80(UV) PAT1 8LK</t>
  </si>
  <si>
    <t>Label 30mmx15mm (Colour: White; 5000 pcs/roll) Material:YUPO 80(UV) PAT1 8LK</t>
  </si>
  <si>
    <t>Tem nhãn bằng giấy màu trắng 19x14mm (5000 tem/cuộn)</t>
  </si>
  <si>
    <t>Barcode Label ST 19x14mm Packing: 1 roll= 5000pcs</t>
  </si>
  <si>
    <t>Tem in mã vạch size 40mmx07mmx10.000 pcs/cuộn (bằng giấy)</t>
  </si>
  <si>
    <t>Label size 40mmx07mmx10.000 pcs/roll</t>
  </si>
  <si>
    <t>Tem in mã vạch size 20mmx08mmx9.000 pcs/cuộn (bằng giấy)</t>
  </si>
  <si>
    <t>Label size 20mmx08mmx9.000 pcs/roll</t>
  </si>
  <si>
    <t>Tem in mã vạch size 14mmx09mmx8.000 pcs/cuộn (bằng giấy)</t>
  </si>
  <si>
    <t>Label size 14mmx09mmx8.000 pcs/roll</t>
  </si>
  <si>
    <t>Giấy Photo copy Paper One, khổ A11 (định lượng 80g; 1 ream= 500 tờ)</t>
  </si>
  <si>
    <t>Photocopy Paper One, size A11, 80g</t>
  </si>
  <si>
    <t>Tem nhãn bằng giấy D01XGX001 (1 cuộn= 1000 chiếc)</t>
  </si>
  <si>
    <t>Serial number label JL 2 D01XGX001 (1 roll= 1000 pcs)</t>
  </si>
  <si>
    <t>Keo dính nhiệt TECHNOMELT SUPRA 180 (20kg/hộp)</t>
  </si>
  <si>
    <t>TECHNOMELT SUPRA 180 (20kg/case)</t>
  </si>
  <si>
    <t>Băng dính đóng gói NO3303 (38mmx50m)</t>
  </si>
  <si>
    <t>NO3303 38mmx50m COLOUR SDB (LIGHT BROWN)</t>
  </si>
  <si>
    <t>Dầu nhờn FG-20L-THP</t>
  </si>
  <si>
    <t xml:space="preserve">HI-LUBE FG-20L-THP oil </t>
  </si>
  <si>
    <t>Mực dấu XLR-30 (màu xanh) (30 ml/lọ, 12 lọ/hộp)</t>
  </si>
  <si>
    <t>XSTAMPER REFIL INK(30ML/BTL, 12BTL/BOX)</t>
  </si>
  <si>
    <t>Tem nhãn bằng giấy màu trắng (13000 chiếc/cuộn lintec)</t>
  </si>
  <si>
    <t>Barcode label ID-S12x12x2 (1 roll = 13.000pcs lintec)</t>
  </si>
  <si>
    <t>Chất tẩy rửa đa năng (1kg/can) Model: EE-3310, dạng lỏng, không màu, thành phần gồm CAS: 107-46-0 (60-65%);  64-17-5 (35-40%), dùng để làm sạch bề mặt linh kiện kính của máy in</t>
  </si>
  <si>
    <t>Multi-function cleaning (1kg/can) Model: EE-3310. Physical state: Liquid, colorless. Chemical composition: CAS No. 107-46-0: 60–65%; CAS No. 64-17-5: 35–40%. Intended use: Used for cleaning glass component surfaces of printing machines.</t>
  </si>
  <si>
    <t>R3-STE-3 1.2MM</t>
  </si>
  <si>
    <t>Tem nhãn bằng giấy màu trắng ST-S24x7</t>
  </si>
  <si>
    <t>White Paper Label ST-S24x7</t>
  </si>
  <si>
    <t>Dầu nhờn BFL-008</t>
  </si>
  <si>
    <t>Hanarl BFL-008</t>
  </si>
  <si>
    <t>Giấy chart CTC-B5012</t>
  </si>
  <si>
    <t>Chart CTC-B5012</t>
  </si>
  <si>
    <t>Keo dán 810</t>
  </si>
  <si>
    <t>Melter stick 810 (1pcs=1kg)</t>
  </si>
  <si>
    <t>Băng dính 898 18mm x 55m</t>
  </si>
  <si>
    <t>Filament Tape, 18mm x 55m (898)</t>
  </si>
  <si>
    <t>Giấy in màu 1 mặt A4 80 GSM (vàng) FCL - PRT</t>
  </si>
  <si>
    <t>Check sheet A4 80 GSM (yellow) FCL - PRT</t>
  </si>
  <si>
    <t>Giấy in màu 1 mặt A4 80 GSM (trắng) FCL - PRT</t>
  </si>
  <si>
    <t>Check sheet A4 80 GSM( White) FCL - PRT</t>
  </si>
  <si>
    <t>Giấy in màu 1 mặt A4 80 GSM (xanh dương) FCL - PRT</t>
  </si>
  <si>
    <t>Check sheet A4 80 GSM( blue) FCL - PRT</t>
  </si>
  <si>
    <t>Giấy in màu 1 mặt A4 80 GSM (cam) FCL - PRT</t>
  </si>
  <si>
    <t>Check sheet A4 80 GSM( orange) FCL - PRT</t>
  </si>
  <si>
    <t>Giấy in màu 1 mặt A4 80 GSM (xanh lá) FCL - PRT</t>
  </si>
  <si>
    <t>Check sheet A4 80 GSM( green) FCL - PRT</t>
  </si>
  <si>
    <t>Giấy in màu 1 mặt A4 80 GSM (vàng)FCL - FB</t>
  </si>
  <si>
    <t>Check sheet A4 80 GSM( yellow) FCL - FB</t>
  </si>
  <si>
    <t>Giấy in màu 1 mặt A4 80 GSM (trắng) FCL - FB</t>
  </si>
  <si>
    <t>Check sheet A4 80 GSM( white) FCL - FB</t>
  </si>
  <si>
    <t>Giấy in màu 1 mặt A4 80 GSM (xanh dương) FCL - FB</t>
  </si>
  <si>
    <t>Check sheet A4 80 GSM( blue) FCL - FB</t>
  </si>
  <si>
    <t>Giấy in màu 1 mặt A4 80 GSM (cam) FCL - FB</t>
  </si>
  <si>
    <t>Check sheet A4 80 GSM( orange) FCL - FB</t>
  </si>
  <si>
    <t>Giấy in màu 1 mặt A4 80 GSM (xanh lá) FCL - FB</t>
  </si>
  <si>
    <t>Check sheet A4 80 GSM( green) FCL - FB</t>
  </si>
  <si>
    <t xml:space="preserve">Giấy in 1 mặt A5 100GSM (EL/LGL-01) </t>
  </si>
  <si>
    <t>Printing paper A5 100GSM (EL/LGL-01)</t>
  </si>
  <si>
    <t>Bút lông dầu ZEBRA MO120 (màu đỏ, 10pcs/hộp)</t>
  </si>
  <si>
    <t>Permanent maker pen ZEBRA MO-120 (red colour, 10pcs/box)</t>
  </si>
  <si>
    <t>Bút lông dầu ZEBRA MO120 (màu đen, 10pcs/hộp)</t>
  </si>
  <si>
    <t>Permanent maker pen ZEBRA MO-120 (black colour,10pcs/box)</t>
  </si>
  <si>
    <t>Bút lông dầu ZEBRA MO120 (màu xanh, 10pcs/hộp)</t>
  </si>
  <si>
    <t>Permanent maker pen ZEBRA MO-120 (blue colour, 10pcs/box)</t>
  </si>
  <si>
    <t xml:space="preserve">Dây buộc bằng nhựa PP (kích thước: dài 700m +-10m) </t>
  </si>
  <si>
    <t xml:space="preserve">PP plastic lanyard (size 700m +-10m) </t>
  </si>
  <si>
    <t>Giấy in 1 mặt A4 80 GSM FCL - LT</t>
  </si>
  <si>
    <t>Check sheet A4 80 GSM FCL - LT</t>
  </si>
  <si>
    <t>Màng nhựa PE HP6015P 110mmx200M, dày 0.07mm, màu trong</t>
  </si>
  <si>
    <t>PE Film HP6015P</t>
  </si>
  <si>
    <t>Giấy in tem nhãn RD-U03J5 (chất liệu giấy in nhiệt, khổ giấy rộng 58mm,  chiều dài 165m/ cuộn, 3 cuộn/ 1 hộp)</t>
  </si>
  <si>
    <t>RD-U03J5 C58(X3)ASSY</t>
  </si>
  <si>
    <t>Tem nhãn in mã vạch kích thước 136x55mm, Chất liệu: LINTEC KES65WA (PAT1) (500 pcs/roll), (bằng nhựa)</t>
  </si>
  <si>
    <t>Barcode Label 136*55mm</t>
  </si>
  <si>
    <t>Ruy băng của máy in B110A (Kích thước 95mm*300m, chất liệu từ hỗn hợp Wax/Resin)</t>
  </si>
  <si>
    <t>RIBBON B110A (95mm*300m, Wax/Resin)</t>
  </si>
  <si>
    <t>Ruy băng B110A dùng cho máy in (kích thước 35mmx300m, chất liệu từ hỗn hợp Wax/Resin)</t>
  </si>
  <si>
    <t>Ribbon B110A for printer (size 35mmx300m, material from Wax/Resin)</t>
  </si>
  <si>
    <t>Dây thít bằng nhựa kích thước 2.7mmx200mm, đóng gói (300 pcs/túi)</t>
  </si>
  <si>
    <t xml:space="preserve">Plastic cable tie </t>
  </si>
  <si>
    <t>Dầu nhờn MDF-1130</t>
  </si>
  <si>
    <t>DRYSURF MDF-1130 Oil</t>
  </si>
  <si>
    <t>Giấy lau OD-0131</t>
  </si>
  <si>
    <t xml:space="preserve">Clean Wiper </t>
  </si>
  <si>
    <t>Ruy băng của máy in nhãn, mã hàng V600003 V-AR-BK-55-770 (bằng nhựa, đã phủ mực, được cuộn vào lõi, kích thước 55mm*770mm, màu đen)</t>
  </si>
  <si>
    <t>Ribbon for Label Printer DOMINO V600003</t>
  </si>
  <si>
    <t>Dầu nhờn FG-1637</t>
  </si>
  <si>
    <t>HI-LUBE FG-1637 oil</t>
  </si>
  <si>
    <t>Cồn tinh chế 96%, 1 can =18,5 lít, cồn chưa biến tính, thành phần gồm mã CAS 64-17-5: 95%, CAS 7732-18-5: 5%</t>
  </si>
  <si>
    <t>96% refined alcohol, 1 can = 18.5 liters, undenatured alcohol, composition includes CAS code 64-17-5: 95%, CAS 7732-18-5: 5%</t>
  </si>
  <si>
    <t>Tem nhãn ID-LT150901 LINTEC màu trắng bằng nhựa. Kích thước 15*09mm (13000 pcs/cuộn) Vật liệu: YUPO 80(UV) PAT 1 8LK Lintec</t>
  </si>
  <si>
    <t>ID-LT150901 LINTEC white plastic label. Size 15*09mm (13000 pcs/roll) Material: YUPO 80(UV) PAT 1 8LK Lintec</t>
  </si>
  <si>
    <t>Băng keo dán thùng OPP 50 mic size 18mmx100m</t>
  </si>
  <si>
    <t>Lukitape 01015-01-149</t>
  </si>
  <si>
    <t>Mỡ bôi trơn G-501</t>
  </si>
  <si>
    <t>Grease G-501 (1kg/can)</t>
  </si>
  <si>
    <t>Mỡ bôi trơn MOLYKOTE BR-2 PLUS (1kg/can) (có thành phần cơ bản &gt;70% tính theo trọng lượng là dầu có nguồn gốc từ dầu mỏ) (CAS 64742-52-5:&gt;=40-&lt;50%, CAS 64742-65-0: &gt;=30-&lt;40%, CAS 7620-77-1:&gt;=1-&lt;10%, CAS 64742-62-7:&gt;=1-&lt;10%,CAS 68457-79-4:&gt;=3-&lt;10%, CAS 7782-42-5: &gt;=1-&lt;10%, CAS 1317-33-5: &gt;=0.1-&lt;1%, CAS 1310-65-2: &gt;=0.1-&lt;0.25%, CAS 102-71-6: &lt;0.1%)</t>
  </si>
  <si>
    <t>GREASE MOLYKOTE BR-2 PLUS (1KG/CAN)</t>
  </si>
  <si>
    <t>Thiếc hàn dạng kem GP217-171AKL</t>
  </si>
  <si>
    <t>TAMURA SOLDER PASTE GP217-171AKL</t>
  </si>
  <si>
    <t>Tem in mã vạch size 28mmx07mmx5.000 pcs/cuộn (Chất liệu bằng giấy AW0331F, chưa in)</t>
  </si>
  <si>
    <t xml:space="preserve"> LABEL ID size 28mmx07mmx5.000 pcs/roll</t>
  </si>
  <si>
    <t>Tem nhãn bằng giấy (40mm*10.5mm, 9500 nhãn/cuộn)</t>
  </si>
  <si>
    <t>LABEL ID size (40mm*10.5mm, 9500 pcs/roll)</t>
  </si>
  <si>
    <t>Giấy in tem nhãn RD-U05J1 (chất liệu giấy in nhiệt, khổ giấy rộng 54mm, chiều dài 72m/ cuộn (2180 tem nhãn kích thước 50x30mm, 3 cuộn/ 1 hộp)</t>
  </si>
  <si>
    <t>RD-U05J1 F50X30 ASSY</t>
  </si>
  <si>
    <t>Giấy in tem nhãn DK-2205 (chất liệu giấy in nhiệt, khổ giấy rộng 62mm, chiều dài 30,48m/ cuộn)</t>
  </si>
  <si>
    <t>ZE3130510005 DK-2205 ROLL ASSY</t>
  </si>
  <si>
    <t>Tem nhãn bằng giấy màu trắng (152.75mmx101.6mm, 640 tem/cuộn)</t>
  </si>
  <si>
    <t>Label 152.75mmx101.6mm ( Colour: White; 640 pcs/roll )</t>
  </si>
  <si>
    <t>Dây nhựa PVC màu đen (1000m/cuộn)</t>
  </si>
  <si>
    <t>Plastic tie PVC black (1000m/roll)</t>
  </si>
  <si>
    <t>KEO WORLD ROCK No.9300 (300G/BTL)</t>
  </si>
  <si>
    <t>ADHESIVE WORLD ROCK No.9300 (300G/BTL)</t>
  </si>
  <si>
    <t>Vải dệt từ sợi bông dùng để mài mực (KT: 1.47M*10M), (vải dệt thoi, hàm lượng bông là 100%, định lượng 315g/m2, chưa tẩy trắng)</t>
  </si>
  <si>
    <t>The clothes cotton used for cleaning ink (Dimention: 1.47M*10M), (The cotton content is 100% of woven facbic, weight 315g/m2, unbleached)</t>
  </si>
  <si>
    <t>Mỡ bôi trơn NIPPECO SG-1B (chế phẩm bôi trơn chứa dầu khoáng tinh chất sâu hàm lượng từ 80%- 90% (16 kg/can))</t>
  </si>
  <si>
    <t>Nippeco Grease SG-1B (16 kg/can)</t>
  </si>
  <si>
    <t>MỰC ĐÓNG DẤU SA-1 (BLACK) (Maker: Shachihata, xuất xứ: Japan)</t>
  </si>
  <si>
    <t>STAMP PAD INK SA-1 (BLACK) (Maker: Shachihata, origin: Japan)</t>
  </si>
  <si>
    <t>Tem in mã vạch size 60x125mm (500pcs/cuộn), Lintec KES65WA(PAT1) (bằng nhựa)</t>
  </si>
  <si>
    <t>Label size 60x125mm (500pcs/roll), Lintec KES65WA(PAT1) (by plastic)</t>
  </si>
  <si>
    <t>Dung dịch nước rửa KAO (dạng lỏng, không màu, thành phần chính là muối Natri của Axit Hydroxy Alkane Sulfonic, dùng bôi trơn đầu kết nối với ống nhựa của máy làm mát không khí, 1250ml/chai)</t>
  </si>
  <si>
    <t>Dishwashing detergent (1250ML/BTL) CUCUTE CLEAR ANTI-BAC</t>
  </si>
  <si>
    <t>Mỡ bôi trơn JC-G654</t>
  </si>
  <si>
    <t>Lubricating grease JC-G654</t>
  </si>
  <si>
    <t>Băng keo 3800A (chất liệu nhựa polyester, đã phủ chất kết dính 1 mặt, không in hình, chữ trên bề mặt, kích thước 0.038mm x 50mm x 50m, dạng cuộn, màu xanh)</t>
  </si>
  <si>
    <t>ADHESIVE HOLDING TAPE (POLYESTER)</t>
  </si>
  <si>
    <t>Dây hàn bằng thiếc không chì có lõi là chất trợ hàn, SN100C (031) F3 1.2mm ( 1kg/cuộn, 10kg/hộp)</t>
  </si>
  <si>
    <t>Lead free flux cored wire, SN100C (031) F3 1.2mm ( 1kg/ roll, 10kg/box)</t>
  </si>
  <si>
    <t>Ruy băng dùng cho máy in nhãn, mã hàng B110A (bằng nhựa PET, đã phủ mực, mực bám mặt trong, được cuộn vào lõi, kích thước 65mm*300m, màu đen)</t>
  </si>
  <si>
    <t>Wax Ribbon B110A, Size: 65mm x 300m (F/I)</t>
  </si>
  <si>
    <t>Ruy băng dùng cho máy in nhãn, mã hàng B110A (bằng nhựa PET, đã phủ mực, mực bám mặt ngoài, được cuộn vào lõi, kích thước 114mmx300m, màu đen)</t>
  </si>
  <si>
    <t>Wax Ribbon B110A, Size: 114mmx300m (F/O)</t>
  </si>
  <si>
    <t>Băng keo 720A (chất liệu giấy, đã phủ chất kết dính 1 mặt, loại tự dính, không in hình, chữ trên bề mặt, kích thước 18MM X 50M, dạng cuộn, màu tím)</t>
  </si>
  <si>
    <t>ADHESIVE HOLDING TAPE (POLYESTER)
720A 18MM X 50M PURPLE</t>
  </si>
  <si>
    <t>Keo Threebond mã 3034 250g/chai, dạng lỏng, màu trắng sữa, cấu tạo gồm CAS 106-91-2: 3.29%,2530-83-8: 1.9%,818-61-1: 2.3%,88-12-0: 6.8%, 96-23-1: 0.03355%,Acrylate oligomer/monomer and Photoinitiator 75-&lt;85%,Noncrystalline silica 1-&lt;5%</t>
  </si>
  <si>
    <t>Threebond TB3034 UV Glue</t>
  </si>
  <si>
    <t>Nước cất (công thức hóa học H2O, nước trải qua quy trình chưng cất 2 lần, độ tinh khiết 99.9%, dùng để kiểm tra hoạt động bộ phận bơm của quạt hơi nước, CAS: 7732-18-5 (1 can= 5l))</t>
  </si>
  <si>
    <t>Distilled water (chemical formula H2O, water that has undergone double distillation, 99.9% purity, used to check the operation of the pump of the steam fan, packed in a clean can  CAS: 7732-18-5  (1 can = 5l))</t>
  </si>
  <si>
    <t>Ruy băng dùng cho máy in nhãn, mã hàng H-610 (bằng nhựa PET, đã phủ mực, mực bám mặt ngoài, được cuộn vào lõi, kích thước 35mmx200m, màu đen)</t>
  </si>
  <si>
    <t>Maky Engineering Tape (Foil Tape)</t>
  </si>
  <si>
    <t>Giấy khổ A5 70GSM (DLL-01), dạng tờ, đã in trên 1 mặt, định lượng 70g/m2 (500 tờ/ream), để kiểm tra tính năng đầu ADF</t>
  </si>
  <si>
    <t>Printing paper A5 70GSM (DLL-01)</t>
  </si>
  <si>
    <t>Giấy in khổ A5, định lượng 70gsm, màu trắng, dạng tờ, loại 1 lớp, chưa tráng phủ, đã in 1 mặt thông tin kiểm tra tính năng cụm nạp giấy tự động của máy in (500 tờ/ram)</t>
  </si>
  <si>
    <t>A5 size printing paper, 70gsm, white, sheet type, 1-ply, uncoated, printed on one side with information for checking the automatic paper feeding unit function (500 sheets/ream).</t>
  </si>
  <si>
    <t>Tem nhãn bằng giấy màu trắng (40mmx26mm, 5000 tem/cuộn), mã YUPO 80(UV) PAT1 8LK</t>
  </si>
  <si>
    <t>Label 40mmx26mm (Colour: White; 5000 pcs/roll) Material: YUPO 80(UV) PAT1 8LK</t>
  </si>
  <si>
    <t>Keo THRLOK-DOS MDSTRTH-50G (thành phần chính Poly dimethacrylate, dạng lỏng, màu xanh da trời, để cố định các mối ren như bu lông, đai ốc, đóng gói để bán lẻ 50g/lọ)</t>
  </si>
  <si>
    <t>Threadlocker medium strength THRLOK-DOS MDSTRTH-50G</t>
  </si>
  <si>
    <t>Keo ThreeBond, mã 2202 (dạng lỏng, màu đen, thành phần chính là nhựa Epoxy bisphenol F và chất đóng rắn Aliphatic polyamine giúp kết dính và có độ bền tốt, đóng gói 1kg/Lon)</t>
  </si>
  <si>
    <t>Threebond TB2202 UV Adhesive</t>
  </si>
  <si>
    <t>Băng keo nhựa một mặt No.2117TVH (chất liệu nhựa PVC, đã phủ chất kết dính 1 mặt, không in hình và chữ trên bề mặt, kích thước 0.07mm x 19mm x 35m, dạng cuộn, màu đen)</t>
  </si>
  <si>
    <t>ADHESIVE HOLDING TAPE (POLYESTER) 2117TVH (0.07mm x 19mm x 35m NL) BLACK</t>
  </si>
  <si>
    <t>Tem nhãn (bằng giấy màu trắng, loại cắt sẵn, chưa in, kích thước dài 80mm, rộng 45mm, 2000 chiếc/gói, một mặt có phủ lớp keo acrylic tự dính)</t>
  </si>
  <si>
    <t>CaseMark 80x45x10</t>
  </si>
  <si>
    <t>Tem nhãn IDL-45x22 (bằng giấy màu trắng, loại cắt sẵn, chưa in, kích thước dài 45mm, rộng 22mm, 4000 chiếc/cuộn, một mặt có phủ lớp keo acrylic tự dính)</t>
  </si>
  <si>
    <t>Label 45x22</t>
  </si>
  <si>
    <t>Tem nhãn bằng giấy màu trắng (48mmx15mm, 5000 tem/cuộn), Mã vật liệu AW0331</t>
  </si>
  <si>
    <t>Label 48mmx15mm (Colour: White; 5000 pcs/roll) Material: AW0331</t>
  </si>
  <si>
    <t>Dung dịch làm sạch linh kiện hộp mực Elease K1248 (18kg/can, gồm triethanolamine(102-71-6),C12-14(84133-50-6;68439-51-0),nonanoic acid(112-05-0),benzotriazole(95-14-7),tetrasodium EDTA(64-02-8),nước)</t>
  </si>
  <si>
    <t>Cleaning detergent K1248</t>
  </si>
  <si>
    <t>Giấy in khổ A5, định lượng 58gsm, dạng tờ, loại 1 lớp, chưa tráng phủ, đã in 2 mặt thông tin hiển thị model DLL-PRT trên chuyền sản xuất (500 tờ/ram)</t>
  </si>
  <si>
    <t>A5 printing paper, 58gsm, sheet form, 1-layer type, uncoated, printed on 2 sides with information displaying model DLL-PRT on the production line (500 sheets/ream)</t>
  </si>
  <si>
    <t>Giấy in khổ A5, định lượng 58gsm, dạng tờ, loại 1 lớp, chưa tráng phủ, đã in 2 mặt thông tin hiển thị model DLL-FB trên chuyền sản xuất (500 tờ/ram)</t>
  </si>
  <si>
    <t>A5 printing paper, 58gsm, sheet form, 1-layer type, uncoated, printed on 2 sides with information displaying model DLL-FB on the production line (500 sheets/ream)</t>
  </si>
  <si>
    <t>Khăn lau bằng vải không dệt WU-1002P từ hạt nhựa PP, đã ngâm tẩm, tráng phủ, định lượng 40g/m2, kích thước 200mmx260mm, (30 cái/1 gói), hiệu ASHAHI KASEI</t>
  </si>
  <si>
    <t>Asahi Kasei Wet Wiper NEW Rack Wipe Finishing Wipe Pouch WU-1002P</t>
  </si>
  <si>
    <t>Băng dính xốp PE (kích thước 45mm*45mm (+-3mm), độ dày 2mm (+-0.1mm), hai mặt phủ keo tự dính, đã cắt sẵn, 6 chiếc/ tấm)</t>
  </si>
  <si>
    <t>PE foam tape (size 45mm*45mm (+-3mm), thickness 2mm (+- 0.1mm), double-sided self-adhesive coating, pre-cut, 6 pieces/sheet)</t>
  </si>
  <si>
    <t>Giấy in khổ A4, định lượng 80gsm, màu trắng, dạng tờ, loại 1 lớp, chưa tráng phủ, đã in 2 mặt thông tin hiển thị model FC-FB trên chuyền sản xuất (500 tờ/ram)</t>
  </si>
  <si>
    <t>A4 size printing paper, 80gsm, white, sheet type, 1- ply, uncoated, printed on both sides with production line model FC-FB display information (500 sheets/ream)</t>
  </si>
  <si>
    <t>Giấy in khổ A4, định lượng 80gsm, màu xanh lá, dạng tờ, loại 1 lớp, chưa tráng phủ, đã in 2 mặt thông tin hiển thị model FC-FB trên chuyền sản xuất (500 tờ/ram)</t>
  </si>
  <si>
    <t>A4 size printing paper, 80gsm, green, sheet type, 1- ply, uncoated, printed on both sides with production line model FC-FB display information (500 sheets/ream)</t>
  </si>
  <si>
    <t>Giấy in khổ A4, định lượng 80gsm, màu xanh dương, dạng tờ, loại 1 lớp, chưa tráng phủ, đã in 2 mặt thông tin hiển thị model FC-FB trên chuyền sản xuất (500 tờ/ram)</t>
  </si>
  <si>
    <t>A4 size printing paper, 80gsm, blue, sheet type, 1- ply, uncoated, printed on both sides with production line model FC-FB display information (500 sheets/ream)</t>
  </si>
  <si>
    <t>Giấy in khổ A4, định lượng 80gsm, màu cam, dạng tờ, loại 1 lớp, chưa tráng phủ, đã in 2 mặt thông tin hiển thị model FC-FB trên chuyền sản xuất (500 tờ/ram)</t>
  </si>
  <si>
    <t>A4 size printing paper, 80gsm, orange, sheet type, 1-ply, uncoated, printed on both sides with production line model FC-FB display information (500 sheets/ream)</t>
  </si>
  <si>
    <t>Giấy in khổ A4, định lượng 80gsm, màu vàng, dạng tờ, loại 1 lớp, chưa tráng phủ, đã in 2 mặt thông tin hiển thị model FC-FB trên chuyền sản xuất (500 tờ/ram)</t>
  </si>
  <si>
    <t>A4 size printing paper, 80gsm, yellow, sheet type, 1-ply, uncoated, printed on both sides with production line model FC-FB display information (500 sheets/ream)</t>
  </si>
  <si>
    <t>Giấy in khổ A4, định lượng 80gsm, màu trắng, dạng tờ, loại 1 lớp, chưa tráng phủ, đã in 2 mặt thông tin hiển thị model FC-PRT trên chuyền sản xuất (500 tờ/ram)</t>
  </si>
  <si>
    <t>A4 size printing paper, 80gsm, white, sheet type, 1- ply, uncoated, printed on both sides with production line model FC-PRT display information (500 sheets/ream)</t>
  </si>
  <si>
    <t>Giấy in khổ A4, định lượng 80gsm, màu xanh lá, dạng tờ, loại 1 lớp, chưa tráng phủ, đã in 2 mặt thông tin hiển thị model FC-PRT trên chuyền sản xuất (500 tờ/ram)</t>
  </si>
  <si>
    <t>A4 size printing paper, 80gsm, green, sheet type, 1- ply, uncoated, printed on both sides with production line model FC-PRT display information (500 sheets/ream)</t>
  </si>
  <si>
    <t>Giấy in khổ A4, định lượng 80gsm, màu xanh dương, dạng tờ, loại 1 lớp, chưa tráng phủ, đã in 2 mặt thông tin hiển thị model FC-PRT trên chuyền sản xuất (500 tờ/ram)</t>
  </si>
  <si>
    <t>A4 size printing paper, 80gsm, blue, sheet type, 1- ply, uncoated, printed on both sides with production line model FC-PRT display information (500 sheets/ream)</t>
  </si>
  <si>
    <t>Giấy in khổ A4, định lượng 80gsm, màu cam, dạng tờ, loại 1 lớp, chưa tráng phủ, đã in 2 mặt thông tin hiển thị model FC-PRT trên chuyền sản xuất (500 tờ/ram)</t>
  </si>
  <si>
    <t>A4 size printing paper, 80gsm, orange, sheet type, 1-ply, uncoated, printed on both sides with production line model FC-PRT display information (500 sheets/ream)</t>
  </si>
  <si>
    <t>Giấy in khổ A4, định lượng 80gsm, màu vàng, dạng tờ, loại 1 lớp, chưa tráng phủ, đã in 2 mặt thông tin hiển thị model FC-PRT trên chuyền sản xuất (500 tờ/ram)</t>
  </si>
  <si>
    <t>A4 size printing paper, 80gsm, yellow, sheet type, 1-ply, uncoated, printed on both sides with production line model FC-PRT display information (500 sheets/ream)</t>
  </si>
  <si>
    <t>Giấy in khổ A4 BP60PA LF5462001, định lượng 72.5g/m2, dung sai 3g/m2, màu trắng, dạng tờ, loại 1 lớp, chưa tráng phủ bề mặt (250 tờ/ tập, 10 tập/ hộp)</t>
  </si>
  <si>
    <t>Brother brand paper BP60PA LF5462001</t>
  </si>
  <si>
    <t>Giấy in khổ A4 LBA394001, chất liệu giấy in nhiệt, định lượng 73g/m2, dung sai 5g/m2, màu trắng, dạng tờ, loại 4 lớp, đã tráng phủ bề mặt (100 tờ/ gói)</t>
  </si>
  <si>
    <t>PA-C-411 ASSY LBA394001</t>
  </si>
  <si>
    <t>Giấy in khổ A4 D03A9R001, chất liệu giấy in nhiệt, định lượng 132g/m2, dung sai 8g/m2, màu trắng, dạng tờ, loại 3 lớp, đã tráng phủ bề mặt (50 tờ/ gói)</t>
  </si>
  <si>
    <t>P220AE-1 ASSY D03A9R001</t>
  </si>
  <si>
    <t>Ruy băng dùng cho máy in nhãn, mã hàng B110C (bằng nhựa PET, đã phủ mực, mực bám mặt trong, được cuộn vào lõi, kích thước 110mmx300m, màu đen)</t>
  </si>
  <si>
    <t>Ribbon Type: Inner Ribbon 110mm*300M</t>
  </si>
  <si>
    <t>Hộp mực của máy in S9 D03JD1001 (là mực than đen, dùng cho máy in tem nhãn hiệu Brother)</t>
  </si>
  <si>
    <t>Tape assy S9 BK/WHI ZH Tool</t>
  </si>
  <si>
    <t>Hộp mực của máy in 18 D03JD2001 (là mực than đen, dùng cho máy in tem nhãn hiệu Brother)</t>
  </si>
  <si>
    <t>Tape assy 18 BK/WHI ZH Tool</t>
  </si>
  <si>
    <t>Chế phẩm bôi trơn dạng mỡ BS-UF24 (1kg/can, thành phần: Synthetic oil-dầu gốc tổng hợp fluorinated-CAS 113114-19-5: 70-80%; Ethene, 1,1,2,2-tetrafluoro-, homopolymer-CAS 9002-84-0: 20-30%)</t>
  </si>
  <si>
    <t>GREASE BS-UF24</t>
  </si>
  <si>
    <t>Giấy in khổ A4, định lượng 80gsm, màu trắng, dạng tờ, loại 1 lớp, chưa tráng phủ, đã in 1 mặt thông tin kiểm tra cho model FC-LT để hiển thị trên chuyền sản xuất (500 tờ/ram)</t>
  </si>
  <si>
    <t>A4 size printing paper, 80gsm, white, sheet form, 1-ply, uncoated, printed with 1 side of inspection information for model FC-LT for display on production line (500 sheets/ream)</t>
  </si>
  <si>
    <t>Giấy in khổ A5, định lượng 70gsm, màu trắng, dạng tờ (+-0.3mm), loại 1 lớp, chưa tráng phủ, đã in 1 mặt thông tin hướng dẫn thao tác model FC-01 để hiển thị trên chuyền sản xuất (500 tờ/ram)</t>
  </si>
  <si>
    <t>A5 printing paper, 70gsm, white, sheet form (+-0.3mm), 1-layer type, uncoated, printed with operating instructions on one side of model FC-01 for display on the production line (500 sheets/ream)</t>
  </si>
  <si>
    <t>Ruy băng dùng cho máy in nhãn, mã hàng TR-R60300 (bằng nhựa PET, đã phủ mực, mực bám mặt trong, được cuộn vào lõi, kích thước 60mmx300m, màu đen, 10 cuộn/ hộp)</t>
  </si>
  <si>
    <t>Ribbon Printer TR-R60300 (60mm*300m)</t>
  </si>
  <si>
    <t>Dây đồng mạ thiếc JPL060, dạng cuộn, 20kg/cuộn, đường kính lõi 0.60 mm, không cách điện, dùng để gắn trên nền bản mạch điện tử</t>
  </si>
  <si>
    <t>JUMPER WIRE ROLL JPL060</t>
  </si>
  <si>
    <t>Băng keo nhựa một mặt No.223SH (chất liệu nhựa PVC, đã phủ chất kết dính 1 mặt, không in hình và chữ trên bề mặt, kích thước 0.19mm x 20mm x 20m, dạng cuộn, màu đen)</t>
  </si>
  <si>
    <t>ADHESIVE HOLDING TAPE (POLYESTER) 223SH (0.19mm x 20mm x 20m) BLACK</t>
  </si>
  <si>
    <t>Bút lông dầu ZEBRA MO150 (màu đen, 10pcs/hộp)</t>
  </si>
  <si>
    <t>Permanent maker pen ZEBRA MO-150 (black colour,10pcs/box)</t>
  </si>
  <si>
    <t>Bút lông dầu ZEBRA MO150 (màu xanh lá cây, 10pcs/hộp)</t>
  </si>
  <si>
    <t>Permanent maker pen ZEBRA MO-150 (Green colour, 10pcs/box)</t>
  </si>
  <si>
    <t>Bút lông dầu ZEBRA MO150 (màu cam, loại 2 đầu, bút dùng để đánh dấu lên linh kiện, 10pcs/hộp)</t>
  </si>
  <si>
    <t>Permanent maker pen ZEBRA MO-150 (Orange colour, 10pcs/box)</t>
  </si>
  <si>
    <t>Bút lông dầu ZEBRA MO150 (màu tím, 10pcs/hộp)</t>
  </si>
  <si>
    <t>Permanent maker pen ZEBRA MO-150 (Purple colour, 10pcs/box)</t>
  </si>
  <si>
    <t>Keo epoxy một thành phần NE7250H-C, dạng kem, màu đỏ, 1kg/lọ, dùng để gắn linh kiện điện tử, gồm CAS: 9003-36-5: 25%, 25068-38-6: 25%, 134091-76-2: 19%, 471-34-1: 30%, 4948-15-6: 1%</t>
  </si>
  <si>
    <t>Seal-glo NE7250H-C</t>
  </si>
  <si>
    <t>Băng keo giấy 2 mặt không in hình, chữ No.5000NS 0.65M2(13MM X 50M)</t>
  </si>
  <si>
    <t>DOUBLE COATED ACRYLIC
ADHESIVE TAPE  No.5000NS 0.65M2(13MM X 50M)</t>
  </si>
  <si>
    <t>Keo kỵ khí, dùng khóa ren cho bulong, đai ốc LOCTITE 272</t>
  </si>
  <si>
    <t>Anaerobic adhesive, used for thread locking of bolts and nuts LOCTITE 272</t>
  </si>
  <si>
    <t>Keo CA khô nhanh, màu đen dùng dán cao su LOCTITE 480</t>
  </si>
  <si>
    <t>CA glue, fast-drying, black, used for bonding rubber LOCTITE 480</t>
  </si>
  <si>
    <t>Tem nhãn tự dính bằng giấy trắng chưa in AW0331F, đã cắt sẵn, dạng cuộn, kích thước dài 24mm, rộng 12mm, một mặt phủ keo acrylic tự dính, chiều dài cuộn 200m ( 13575 chiếc/ cuộn)</t>
  </si>
  <si>
    <t>Label Size 24x12mm</t>
  </si>
  <si>
    <t>Wire Cadisun 3*1.5</t>
  </si>
  <si>
    <t>Bao ngón tay Trufit màu trắng, không vòng, cỡ M</t>
  </si>
  <si>
    <t>WHITE FINGERCOT ROLL TYPE ( 1440 Pcs/ Bag ) Size M</t>
  </si>
  <si>
    <t>Bao ngón tay cao su Trufit màu hồng,  cỡ M</t>
  </si>
  <si>
    <t>PINK FINGERCOT ROLL TYPE ( 1440 Pcs/ Bag ) Size M　</t>
  </si>
  <si>
    <t>Bánh xe có khóa</t>
  </si>
  <si>
    <t xml:space="preserve">"HAMMER" Caster with Lock 415-8EX-R75 </t>
  </si>
  <si>
    <t xml:space="preserve">Bánh xe không khóa </t>
  </si>
  <si>
    <t xml:space="preserve">"HAMMER" Caster withuot Lock 420-8EX-R75 </t>
  </si>
  <si>
    <t>Tấm nhựa 1220*2440*4mm (màu trắng)</t>
  </si>
  <si>
    <t>Plastic Sheets( KT: 1220 x 2440 x 4mm) white</t>
  </si>
  <si>
    <t>Thước cuộn Gofuther 3m</t>
  </si>
  <si>
    <t xml:space="preserve">Tape measure </t>
  </si>
  <si>
    <t>Thước sắt 30 cm</t>
  </si>
  <si>
    <t>Ruler 30cm</t>
  </si>
  <si>
    <t>Thước kẻ 50cm　</t>
  </si>
  <si>
    <t>Ruler 50cm</t>
  </si>
  <si>
    <t>Bu lông WB-0625 HBL</t>
  </si>
  <si>
    <t xml:space="preserve">Bulong Model: WB-0625 HBL  </t>
  </si>
  <si>
    <t>Đai ốc NU-0600 HBL</t>
  </si>
  <si>
    <t xml:space="preserve">Ecu Model: NU-0600 HBL  </t>
  </si>
  <si>
    <t>Ống thép bọc nhựa CP2807-I (0.7x4000mm)</t>
  </si>
  <si>
    <t>D-Coated Pipe -Ivory colour CP2807-I (0.7x4000mm) GSACE</t>
  </si>
  <si>
    <t xml:space="preserve">Khớp nối H-1 HBL </t>
  </si>
  <si>
    <t xml:space="preserve">Joint Metal  Model: H-1 HBL </t>
  </si>
  <si>
    <t>Khớp nối H-2 HBL</t>
  </si>
  <si>
    <t xml:space="preserve">Joint Metal  Model: H-2 HBL </t>
  </si>
  <si>
    <t>Khớp nối H-3 HBL</t>
  </si>
  <si>
    <t xml:space="preserve">Joint Metal  Model: H-3 HBL </t>
  </si>
  <si>
    <t>Khớp nối H-4 HBL</t>
  </si>
  <si>
    <t xml:space="preserve">Joint Metal  Model: H-4 HBL </t>
  </si>
  <si>
    <t>Khớp nối H-5 HBL</t>
  </si>
  <si>
    <t xml:space="preserve">Joint Metal  Model: H-5 HBL </t>
  </si>
  <si>
    <t>Khớp nối H-6 HBL</t>
  </si>
  <si>
    <t xml:space="preserve">Joint Metal  Model: H-6 HBL </t>
  </si>
  <si>
    <t>Khớp nối H-7 HBL</t>
  </si>
  <si>
    <t>Joint Metal  Model: H-7 HBL</t>
  </si>
  <si>
    <t>Khớp nối H-8 HBL</t>
  </si>
  <si>
    <t xml:space="preserve">Joint Metal  Model: H-8 HBL </t>
  </si>
  <si>
    <t>Kìm cắt 60s-125</t>
  </si>
  <si>
    <t xml:space="preserve">NIPPER 60s-125 Fujiya Japan  </t>
  </si>
  <si>
    <t>Dây điện Cadisun 1 x 1.5 màu xanh 　</t>
  </si>
  <si>
    <t>Wire Cadisun 1 * 1.5 blue</t>
  </si>
  <si>
    <t>Dây điện cadisun 3x0.75</t>
  </si>
  <si>
    <t>Wire Cadisun 3*0.75</t>
  </si>
  <si>
    <t>Dây rút nhựa 3 x100mm</t>
  </si>
  <si>
    <t>Cable tie</t>
  </si>
  <si>
    <t>Dây rút nhựa 4 x200mm</t>
  </si>
  <si>
    <t>Dây rút nhựa 5 x300mm</t>
  </si>
  <si>
    <t>Dây rút nhựa 10 x500mm</t>
  </si>
  <si>
    <t>Công tắc quả nhót　</t>
  </si>
  <si>
    <t>Pendant Switch (3A 250V) WH5203W</t>
  </si>
  <si>
    <t>Giẻ lau mầu</t>
  </si>
  <si>
    <t>Cleaning cloth</t>
  </si>
  <si>
    <t>Khăn lau trắng</t>
  </si>
  <si>
    <t>White towel</t>
  </si>
  <si>
    <t xml:space="preserve">Thảm dính bụi </t>
  </si>
  <si>
    <t xml:space="preserve">Sticky mat China </t>
  </si>
  <si>
    <t>Nam châm lá A4</t>
  </si>
  <si>
    <t>Magnet A4</t>
  </si>
  <si>
    <t>Chổi sơn số 6</t>
  </si>
  <si>
    <t>Paint Brush # 6</t>
  </si>
  <si>
    <t xml:space="preserve">Thanh nhựa </t>
  </si>
  <si>
    <t xml:space="preserve">Plastic Channel AL-1  </t>
  </si>
  <si>
    <t>Nắp đậy bằng nhựa PJ-110E, màu ngà</t>
  </si>
  <si>
    <t>Pipe inner cap PJ-110E</t>
  </si>
  <si>
    <t>Nắp đậy bằng nhựa PJ-149</t>
  </si>
  <si>
    <t>Pipe outer cap model PJ-149</t>
  </si>
  <si>
    <t>Kẹp ống bằng thép, kiểu B, MT-5111</t>
  </si>
  <si>
    <t>Pipe Clamp-B Model: MT-5111</t>
  </si>
  <si>
    <t>Kẹp ống bằng thép, kiểu C, MT-5112</t>
  </si>
  <si>
    <t>Pipe Clamp- C model MT-5112</t>
  </si>
  <si>
    <t>Đầu đỡ thanh truyền (korokon không chặn) PM-4010A</t>
  </si>
  <si>
    <t>Placon mount-A PM-4010A</t>
  </si>
  <si>
    <t>Đầu đỡ thanh truyền (korokon chặn) PM-4010B</t>
  </si>
  <si>
    <t>Placon mount-B PM-4010B</t>
  </si>
  <si>
    <t>Thanh truyền PL-3111</t>
  </si>
  <si>
    <t xml:space="preserve">Placon Model :PL-3111 HBL Korea </t>
  </si>
  <si>
    <t>Pin vuông 9V</t>
  </si>
  <si>
    <t>9V Battery (Retangle Shape)</t>
  </si>
  <si>
    <t>Giấy Double A3</t>
  </si>
  <si>
    <t>A3 Double Paper</t>
  </si>
  <si>
    <t xml:space="preserve"> MŨI VÍT BP-H5-2(5.0)-A-100</t>
  </si>
  <si>
    <t>BIT BP-H5-2(5.0)-A-100</t>
  </si>
  <si>
    <t>Dụng cụ cầm tay lấy vòng  ETH-3</t>
  </si>
  <si>
    <t xml:space="preserve">OCHIAI E-TYPE HOLDER ETH-3 </t>
  </si>
  <si>
    <t>MŨI VÍT 80  BP-H5-2(5.0)-A-80</t>
  </si>
  <si>
    <t xml:space="preserve">
BIT BP-H5-2(5.0)-A-80</t>
  </si>
  <si>
    <t xml:space="preserve">Lọ nhựa 150ml  LLV.L 0059 </t>
  </si>
  <si>
    <t xml:space="preserve"> Plastic Box Model: 150ml  LLV.L 0059 </t>
  </si>
  <si>
    <t>Lọ đựng dung dịch bằng nhựa T0084 250ml (10 cái/ gói)</t>
  </si>
  <si>
    <t xml:space="preserve">Bottles T0084 Type: 250ml D: 63 X 123 mm 10 pcs/pack MIZUHO   </t>
  </si>
  <si>
    <t>Bình nhựa 293-9142 (307)</t>
  </si>
  <si>
    <t xml:space="preserve">"Furupla" Jet Oiler 293-9142 (307) </t>
  </si>
  <si>
    <t xml:space="preserve">Bình nhựa 303B </t>
  </si>
  <si>
    <t xml:space="preserve"> Plastic 303B (Furupla)　</t>
  </si>
  <si>
    <t xml:space="preserve"> Thước lá inox Shinwa</t>
  </si>
  <si>
    <t xml:space="preserve">Ruller Model: 14001 Shinwa Japan </t>
  </si>
  <si>
    <t>Dụng cụ tháo lò xo P-64</t>
  </si>
  <si>
    <t>Sping hook P-64 Hozan</t>
  </si>
  <si>
    <t>Mỏ hàn T18-B</t>
  </si>
  <si>
    <t>Soldering tip T18-B Hakko</t>
  </si>
  <si>
    <t>Kim chiết keo ( Xanh) PNC-15G-13</t>
  </si>
  <si>
    <t xml:space="preserve">Iwashita Plastic Needle PNC-15G-13 (20 pcs/pack) </t>
  </si>
  <si>
    <t>Kim chiết keo (Đen) PNC-17G-13</t>
  </si>
  <si>
    <t xml:space="preserve">Iwashita Plastic Needle PNC-17G-13 (20 pcs/pack) </t>
  </si>
  <si>
    <t>Kim chiết keo (Trắng) PNC-18G-13</t>
  </si>
  <si>
    <t xml:space="preserve">Iwashita Plastic Needle PNC-18G-13 (20 pcs/pack) </t>
  </si>
  <si>
    <t>Lọc khí A1309</t>
  </si>
  <si>
    <t xml:space="preserve">Filter A1309 HAKKO </t>
  </si>
  <si>
    <t>Đầu vặn vít dùng cho máy vặn vít (10 cái/bộ) 37S275</t>
  </si>
  <si>
    <t>"NAC" Screw Driver Bit 37S275 (10 pcs/set)　</t>
  </si>
  <si>
    <t xml:space="preserve">Gá kẹp đầu vít  400 (469-7642) </t>
  </si>
  <si>
    <t>Magnet Catcher   400 (469-7642)  Kaneko Seisakusho</t>
  </si>
  <si>
    <t>Dây dẫn keo AA30N</t>
  </si>
  <si>
    <t>Adapter  Assembly AA30N</t>
  </si>
  <si>
    <t>Công tắc tra dầu VS14</t>
  </si>
  <si>
    <t>Switch VS14</t>
  </si>
  <si>
    <t>Đầu đo</t>
  </si>
  <si>
    <t>Test Probe Model: LP01-TOS Kikusui</t>
  </si>
  <si>
    <t>Ống đựng keo PS30S</t>
  </si>
  <si>
    <t>Barrel PS30S</t>
  </si>
  <si>
    <t>Ống đựng keo 50ml có vạch giới hạn</t>
  </si>
  <si>
    <t>Plastic barrel 50ml with lines (transparency white)</t>
  </si>
  <si>
    <t>MŨI VÍT BP-H4-2(4.0)-A-60</t>
  </si>
  <si>
    <t>Bit BP-H4-2(4.0)-A-60</t>
  </si>
  <si>
    <t>MŨI VÍT  BP-H4-2(4.0)-A-80</t>
  </si>
  <si>
    <t>Bit BP-H4-2(4.0)-A-80</t>
  </si>
  <si>
    <t>MŨI VÍT BP-H4-2(4.0)-A-100</t>
  </si>
  <si>
    <t>Bit BP-H4-2(4.0)-A-100</t>
  </si>
  <si>
    <t>MŨI VÍT BP-H4-2(4.0)-A-120</t>
  </si>
  <si>
    <t>Bit  BP-H4-2(4.0)-A-120</t>
  </si>
  <si>
    <t>MŨI VÍT BP-H4-2(4.0)-A-150</t>
  </si>
  <si>
    <t>Bit  BP-H4-2(4.0)-A-150</t>
  </si>
  <si>
    <t>Giá đỡ (ETSK-5)</t>
  </si>
  <si>
    <t xml:space="preserve">OCHIAI E-TYPE STAND ETSK-5 Japan </t>
  </si>
  <si>
    <t>Giá đỡ ( ETSK-3)</t>
  </si>
  <si>
    <t xml:space="preserve">OCHIAI E-TYPE STAND ETSK-3 Japan </t>
  </si>
  <si>
    <t>Con lăn EA523M-21</t>
  </si>
  <si>
    <t>HARD URETHAN ROLLER EA523M-21 Esco</t>
  </si>
  <si>
    <t>Nút nhựa PP30ND</t>
  </si>
  <si>
    <t xml:space="preserve">Non Drip Plunger PP30ND (For PS30S)50 pcs/box IWASHITA  </t>
  </si>
  <si>
    <t>Ống đựng keo có vạch giới hạn PS70S-L</t>
  </si>
  <si>
    <t>Plastic barrel with lines PS70S-L</t>
  </si>
  <si>
    <t>Tua vít Đức Goodman (+)no.2x100mm</t>
  </si>
  <si>
    <t>Screwdriver</t>
  </si>
  <si>
    <t>Tua vít  Đức Goodman (-)3.2x75mm</t>
  </si>
  <si>
    <t>Chân đế cao su　</t>
  </si>
  <si>
    <t>Rubber Feet</t>
  </si>
  <si>
    <t xml:space="preserve">Phích cắm 3 chân </t>
  </si>
  <si>
    <t>Three - pin plug</t>
  </si>
  <si>
    <t>Đèn xoay cảnh báo phi 100 LTE-1101(AC220V,R)</t>
  </si>
  <si>
    <t>Warning light</t>
  </si>
  <si>
    <t>Dây kiểm tra của máy Fluke 177</t>
  </si>
  <si>
    <t>Test leads set TL 175</t>
  </si>
  <si>
    <t>Thanh nẹp nhựa Màu xanh, kt: 40x120cm</t>
  </si>
  <si>
    <t xml:space="preserve">Plastic Clip China </t>
  </si>
  <si>
    <t>MŨI VÍT BP-H5-2(5.0)-A-120</t>
  </si>
  <si>
    <t>BIT BP-H5-2(5.0)-A-120</t>
  </si>
  <si>
    <t>Ổ cắm đen</t>
  </si>
  <si>
    <t xml:space="preserve">OUTLET WCF5901 Panasonic  </t>
  </si>
  <si>
    <t>Ống luồn dẹt 100x60 (2m /Ống)）</t>
  </si>
  <si>
    <t xml:space="preserve">Cable Trunking 100mm*60mm </t>
  </si>
  <si>
    <t xml:space="preserve">Ống luồn dẹt 60x40 (2m /ống) </t>
  </si>
  <si>
    <t xml:space="preserve">Cable Trunking 60mm*40mm   </t>
  </si>
  <si>
    <t xml:space="preserve">Ống dây khí TU0805BU-100 </t>
  </si>
  <si>
    <t>Air tube</t>
  </si>
  <si>
    <t>Ống dây khí TU0604BU-100</t>
  </si>
  <si>
    <t>Tấm nhựa  ( KT: 1220 x 2440x 6mm) màu xanh</t>
  </si>
  <si>
    <t>Plastic Sheets ( Size: 1220 x 2440x 6mm) Blue</t>
  </si>
  <si>
    <t>Vít phá 10 mm　</t>
  </si>
  <si>
    <t>Screwclearance 10mm</t>
  </si>
  <si>
    <t>Vít phá 30 mm　</t>
  </si>
  <si>
    <t>Screwclearance 30mm</t>
  </si>
  <si>
    <t>Nẹp 6 màu đen (nẹp mỏng, 1 thanh = 4m)</t>
  </si>
  <si>
    <t>Splints 6 black</t>
  </si>
  <si>
    <t>Tay cầm màu đen (1 bộ=2 cái)</t>
  </si>
  <si>
    <t>Handle - Black</t>
  </si>
  <si>
    <t>Góc Nhựa màu đen (1 bộ=4 cái)</t>
  </si>
  <si>
    <t>Plastic corner - Black</t>
  </si>
  <si>
    <t>Bao ngón tay cao su, loại cuộn màu vàng size M Xuất xứ: Việt Nam</t>
  </si>
  <si>
    <t>Finger Cot BN046-M　</t>
  </si>
  <si>
    <t>Vít đen 15mm</t>
  </si>
  <si>
    <t>Screw black 15mm</t>
  </si>
  <si>
    <t>Vít đen 30mm</t>
  </si>
  <si>
    <t>Screw black 30mm</t>
  </si>
  <si>
    <t>Nắp ống đựng keo TC30N</t>
  </si>
  <si>
    <t>Barrel Cap TC30N (50pcs/pack)</t>
  </si>
  <si>
    <t>Nắp bịt ống đựng keo TC02-2</t>
  </si>
  <si>
    <t>Tip cap TC02-2 (50pc/Pack)</t>
  </si>
  <si>
    <t>Dụng cụ bơm cồn</t>
  </si>
  <si>
    <t>Plastic Syphon Pump GJ-10-1P (TRUSCO)</t>
  </si>
  <si>
    <t>Miếng xốp bằng xenlulo A1042</t>
  </si>
  <si>
    <t>CLEANING SPONGE A1042  Hakko</t>
  </si>
  <si>
    <t>Đầu mũi vít siết ốc 80</t>
  </si>
  <si>
    <t>Screw bit (BITS 2#*5.0*80*ɸ 5 JIYAN)</t>
  </si>
  <si>
    <t>Đầu mũi vít siết ốc 120</t>
  </si>
  <si>
    <t>Screw bit (BITS 2#*5.0*120*ɸ 5 JIYAN)</t>
  </si>
  <si>
    <t>Đầu mũi vít siết ốc 150</t>
  </si>
  <si>
    <t>Screw bit (BITS 2#*5.0*150*ɸ 5 JIYAN)</t>
  </si>
  <si>
    <t>Bông tăm　</t>
  </si>
  <si>
    <t>Cotton bath</t>
  </si>
  <si>
    <t xml:space="preserve">Pin Energizer AA </t>
  </si>
  <si>
    <t>Energizer Battery</t>
  </si>
  <si>
    <t xml:space="preserve">Pin Energizer AAA </t>
  </si>
  <si>
    <t>Mỏ hàn T20-K</t>
  </si>
  <si>
    <t xml:space="preserve">Soldering tip T20-K HAKKO </t>
  </si>
  <si>
    <t>Giấy Paper one A4</t>
  </si>
  <si>
    <t>Paper one A4</t>
  </si>
  <si>
    <t>Screw bit (BITS 2#*5.0*80*ɸ 5 SUNSEEK)</t>
  </si>
  <si>
    <t xml:space="preserve">Nhãn giấy in mũi tên hiển thị lỗi </t>
  </si>
  <si>
    <t>Paper arrows show errors</t>
  </si>
  <si>
    <t>Nẹp 8 màu đen (nẹp dày,1 thanh = 4m)</t>
  </si>
  <si>
    <t>Splints 8 black</t>
  </si>
  <si>
    <t xml:space="preserve"> Lưỡi dao máy cắt băng dính</t>
  </si>
  <si>
    <t>BLADE UNIT FOR ZCUT-9GR No.2001 YAESU</t>
  </si>
  <si>
    <t>Vòng đeo tay triệt tĩnh điện  Blue</t>
  </si>
  <si>
    <t>WRIST TRAP TEI  Blue</t>
  </si>
  <si>
    <t>Ròng rọc treo dụng cụ KT-15</t>
  </si>
  <si>
    <t>Tool Balancer ( KT-15) TRUSCO</t>
  </si>
  <si>
    <t>Ròng rọc treo dụng cụ NTW-1R (0,5-1,5KG)</t>
  </si>
  <si>
    <t>Nitto Tool Balancer NTW-1R (Capacity 0,5-1,5KG)</t>
  </si>
  <si>
    <t>Con trượt 32-R TOSO</t>
  </si>
  <si>
    <t>Runner (32-R)</t>
  </si>
  <si>
    <t>Con chặn 32-S TOSO</t>
  </si>
  <si>
    <t>STOP (32-S)</t>
  </si>
  <si>
    <t>Đầu in cho máy in Sato CL4NX (305 dpi)</t>
  </si>
  <si>
    <t xml:space="preserve">PRINT HEAD for Sato CL4NX printer (305 dpi) </t>
  </si>
  <si>
    <t>Dây cáp nối đất</t>
  </si>
  <si>
    <t>WRIST TRAP SOCKET TEI　</t>
  </si>
  <si>
    <t>Đèn pin HY575</t>
  </si>
  <si>
    <t>Torch HY575</t>
  </si>
  <si>
    <t>Pin ( dùng cho đèn HY575 )</t>
  </si>
  <si>
    <t>Dry battery</t>
  </si>
  <si>
    <t>Vít phá 20mm</t>
  </si>
  <si>
    <t>Screw Clearance</t>
  </si>
  <si>
    <t>Vít đen 20mm</t>
  </si>
  <si>
    <t>Cầu đơn TBR-20 20A</t>
  </si>
  <si>
    <t>TBR-20 20A Rail-Mount ter Block</t>
  </si>
  <si>
    <t>Móc treo dụng cụ bằng thép EA638CV-11</t>
  </si>
  <si>
    <t xml:space="preserve"> Screw Joint EA638CV-11 ESCO </t>
  </si>
  <si>
    <t>Thanh chặn cầu đấu</t>
  </si>
  <si>
    <t>TBR-F Stop plet</t>
  </si>
  <si>
    <t>Nắp đậy TBR-20</t>
  </si>
  <si>
    <t>End plate for TBR-20</t>
  </si>
  <si>
    <t>Aptomat 15A LS 250V -15A</t>
  </si>
  <si>
    <t>Circuit bkeaker</t>
  </si>
  <si>
    <t>Rơ le trung gian 14 chân JZX-22FD/4Z-110VAC</t>
  </si>
  <si>
    <t>Relay JZX-22FD/4Z-110VAC</t>
  </si>
  <si>
    <t xml:space="preserve">Rơ le thời gian 110 V
</t>
  </si>
  <si>
    <t>Relay Model: H3YN-4 AC100-110</t>
  </si>
  <si>
    <t>Chân đế rơ le JZX-22FD/4Z-24VDC</t>
  </si>
  <si>
    <t>Relay socket  JZX-22FD/4Z-24VDC</t>
  </si>
  <si>
    <t>Rơ le trung gian 14 chân 4 cặp tiếp điểm MY4N 12VAC</t>
  </si>
  <si>
    <t>Relay</t>
  </si>
  <si>
    <t>Hộp công tắc</t>
  </si>
  <si>
    <t>CONTROL BOX KGN211Y</t>
  </si>
  <si>
    <t>Đèn LED tín hiệu LR6-2M2LJBW-RY Patlite</t>
  </si>
  <si>
    <t>Signal Tower Light LR6-2M2LJBW-RY Palite</t>
  </si>
  <si>
    <t xml:space="preserve">Đèn xoay cảnh báo phi 100 LTE-1101(AC220V,BL)	</t>
  </si>
  <si>
    <t>Đèn xoay cảnh báo phi 100 LTE-1101(AC220V,YL)</t>
  </si>
  <si>
    <t>Ổ cắm điện đôi WK3004W</t>
  </si>
  <si>
    <t>Double Outlet 15A, 125V WK3004W</t>
  </si>
  <si>
    <t>Công tắc B loại nổi WSG3001</t>
  </si>
  <si>
    <t>Single switch WSG3001</t>
  </si>
  <si>
    <t>Bảng điều khiển điện tử TT-S300x250 Kích thước:
300x250x150mm</t>
  </si>
  <si>
    <t>Tact time TT-S300x250 Size:
300x250x150mm</t>
  </si>
  <si>
    <t>Bảng điều khiển điện tử TT-S600x500 Kích thước:
600x500x150mm</t>
  </si>
  <si>
    <t>Tact time TT-S600x500 Size:
600x500x150mm</t>
  </si>
  <si>
    <t>Cuộn PVC trong (kt: 30m * 1.4m * 0.5mm)</t>
  </si>
  <si>
    <t>PVC roll</t>
  </si>
  <si>
    <t xml:space="preserve">Thảm chống tĩnh điện 
</t>
  </si>
  <si>
    <t>Rubber mat Size:
10mx1.2mx2mm</t>
  </si>
  <si>
    <t>Gen cách điện LMTU332N2</t>
  </si>
  <si>
    <t>Tube Marker (3.2mm x 100m) LMTU332N2</t>
  </si>
  <si>
    <t>Dây chun</t>
  </si>
  <si>
    <t>Rubberband</t>
  </si>
  <si>
    <t>Máng điện nhựa
(kt: 33x33x1700mm)</t>
  </si>
  <si>
    <t>Platic electrical trough</t>
  </si>
  <si>
    <t>Thanh cài chân đế Rơ le (1m/Thanh)</t>
  </si>
  <si>
    <t>Installed role bracket</t>
  </si>
  <si>
    <t xml:space="preserve">Thanh treo tôvit điện S32-3000
</t>
  </si>
  <si>
    <t>Medium- size curtain rail 3M S32-3000 (Tosoh)</t>
  </si>
  <si>
    <t>Rơ le trung gian 14 chân JZX-22FD/4Z-24VDC</t>
  </si>
  <si>
    <t>Relay JZX-22FD/4Z-24VDC (14 pins)</t>
  </si>
  <si>
    <t>Khớp nối H-15A, màu bạc</t>
  </si>
  <si>
    <t>Metal Joint H-15A</t>
  </si>
  <si>
    <t>Khớp nối H-15B, màu bạc</t>
  </si>
  <si>
    <t>Metal Joint H-15B</t>
  </si>
  <si>
    <t>Ống thép bọc nhựa chống tĩnh điện, phi 28 màu đen MP-1070</t>
  </si>
  <si>
    <t>ESD pipe, ∅28, black (1 pipe = 4 Met) MP-1070</t>
  </si>
  <si>
    <t>Thanh truyền chống tĩnh điện PL-401F-EM</t>
  </si>
  <si>
    <t>ESD Placon PL-401F-EM</t>
  </si>
  <si>
    <t>Nắp đậy bằng nhựa PJ-110C, màu đen</t>
  </si>
  <si>
    <t>Pipe inner Cap PJ-110C, black</t>
  </si>
  <si>
    <t>Khớp nối H-1, màu đen</t>
  </si>
  <si>
    <t>Metal Joint H-1, black</t>
  </si>
  <si>
    <t>Khớp nối H-2, màu đen</t>
  </si>
  <si>
    <t>Metal Joint H-2, black</t>
  </si>
  <si>
    <t>Khớp nối H-3, màu đen</t>
  </si>
  <si>
    <t>Metal Joint H-3, black</t>
  </si>
  <si>
    <t>Khớp nối H-4, màu đen</t>
  </si>
  <si>
    <t>Metal Joint H-4, black</t>
  </si>
  <si>
    <t>Khớp nối H-5, màu đen</t>
  </si>
  <si>
    <t>Metal Joint H-5, black</t>
  </si>
  <si>
    <t>Khớp nối H-6, màu đen</t>
  </si>
  <si>
    <t>Metal Joint H-6, black</t>
  </si>
  <si>
    <t>Khớp nối H-7, màu đen</t>
  </si>
  <si>
    <t>Metal Joint H-7, black</t>
  </si>
  <si>
    <t>Khớp nối H-8, màu đen</t>
  </si>
  <si>
    <t>Metal Joint H-8, black</t>
  </si>
  <si>
    <t>Bu lông WB-0625, màu đen</t>
  </si>
  <si>
    <t>Bolt WB-0625, black</t>
  </si>
  <si>
    <t>Đai ốc NU-0600, màu đen</t>
  </si>
  <si>
    <t>Nut NU-0600, black</t>
  </si>
  <si>
    <t>Dao cắt EA589CZ-11A</t>
  </si>
  <si>
    <t>Cutter (EA589CZ-11A)</t>
  </si>
  <si>
    <t>Hộp đựng linh kiện size S
( màu vàng)</t>
  </si>
  <si>
    <t>Carrying components size S</t>
  </si>
  <si>
    <t>Hộp đựng linh kiện size S
( màu đỏ)</t>
  </si>
  <si>
    <t>Hộp đựng linh kiện size S
( màu xanh)</t>
  </si>
  <si>
    <t>Dụng cụ mài mực</t>
  </si>
  <si>
    <t>Grinding tools ink</t>
  </si>
  <si>
    <t xml:space="preserve">Bánh xe xoay D25mm </t>
  </si>
  <si>
    <t>Trundle 25mm</t>
  </si>
  <si>
    <t>Kim tra dầu đôi</t>
  </si>
  <si>
    <t>TWIN NEEDLE DN-17G</t>
  </si>
  <si>
    <t>Xe nâng tay thủy lực dùng nâng và vận chuyển hàng hóa, vận hành bằng tay, không động cơ, tải trọng nâng 2.500kg, hiệu Bishamon, Model BM25LL</t>
  </si>
  <si>
    <t>Hand lift Bishamon</t>
  </si>
  <si>
    <t>Bộ nguồn cung cấp cho máy vặn vít BLC-70-TH (Chân cắm loại: A3; 220~240V)</t>
  </si>
  <si>
    <t>POWER SUPPLY FOR ELECTRIC SCREW DRIVER (PLUG TYPE: A3, 220-240V)</t>
  </si>
  <si>
    <t>Lưỡi dao cắt EA589CZ-11K</t>
  </si>
  <si>
    <t>Cutter Blade EA589CZ-11K (3pcs/set)</t>
  </si>
  <si>
    <t>Dao cắt DC-15</t>
  </si>
  <si>
    <t>Cutter for packing DC-15</t>
  </si>
  <si>
    <t>Lưỡi dao cắt DC-15B2 (2 pcs/box)</t>
  </si>
  <si>
    <t>Blade for  DC-15B2</t>
  </si>
  <si>
    <t>Còi báo hiệu BD-100AA-J</t>
  </si>
  <si>
    <t>Signal Horn Model :
BD-100AA-J</t>
  </si>
  <si>
    <t>Quạt hút Commonwealth FP-108EX-S1-B</t>
  </si>
  <si>
    <t>Commonwealth FP-108EX-S1-B, 220VAC.</t>
  </si>
  <si>
    <t>Thiết bị hút khí 420-1 (điện áp 100v)</t>
  </si>
  <si>
    <t>Smoke absorber  420-1 (Voltage 100v)</t>
  </si>
  <si>
    <t>Thiết bị thổi ion SL-028</t>
  </si>
  <si>
    <t>Ionizing Air Blower SL-028</t>
  </si>
  <si>
    <t>Máy cắt băng dính</t>
  </si>
  <si>
    <t>Tape cut Dispenser Zcut -9GR 220V</t>
  </si>
  <si>
    <t>Quạt thổi khí Ion AE-116DC</t>
  </si>
  <si>
    <t>Onizing air blower AE-116DC</t>
  </si>
  <si>
    <t>Lọc khí</t>
  </si>
  <si>
    <t>Air Filter  Model AF30-03-A</t>
  </si>
  <si>
    <t>Air Filter Model  AFM30-03-A</t>
  </si>
  <si>
    <t>Air Filter  Model  AR30-03-A</t>
  </si>
  <si>
    <t>Đồng hồ áp suất</t>
  </si>
  <si>
    <t>Pressure Clock  G36-10-01</t>
  </si>
  <si>
    <t>Gá bầu lọc</t>
  </si>
  <si>
    <t>Bracket Y300T-A</t>
  </si>
  <si>
    <t>Tua vít điện</t>
  </si>
  <si>
    <t>Electric Screw driver HFB-512PAD/1.5~12kgf.cm/1000T</t>
  </si>
  <si>
    <t>Thiết bị nguồn SKP-32B-60W</t>
  </si>
  <si>
    <t>Power  SKP-32B-60WW</t>
  </si>
  <si>
    <t>Đầu đọc mã vạch LS2208(USB)</t>
  </si>
  <si>
    <t>Barcode Reader
LS2208 (USB)
Đầu đọc mã vạch</t>
  </si>
  <si>
    <t>Đầu đọc mã vạch LS2208(RS232)</t>
  </si>
  <si>
    <t>Barcode Reader
LS2208 (RS232)</t>
  </si>
  <si>
    <t>Đầu đọc mã vạch LI4278 (RS232)</t>
  </si>
  <si>
    <t>Barcode Reader
LI4278 (RS232)</t>
  </si>
  <si>
    <t>Đầu đọc mã vạch Honeywell Xenon 1950GHD (USB)</t>
  </si>
  <si>
    <t>Barcode Scanner Xenon 1950GHD-2 (USB)</t>
  </si>
  <si>
    <t>Bộ nguồn AE-500 của súng bắn khí hoạt động bằng khí nén</t>
  </si>
  <si>
    <t>AE-500 power
supply</t>
  </si>
  <si>
    <t>Súng bắn khí hoạt động bằng khí nén AE-205</t>
  </si>
  <si>
    <t>AE-205 ionizing air
gun</t>
  </si>
  <si>
    <t>Súng bắn khí hoạt động bằng khí nén 6-6602-01+03 (AS ONE)</t>
  </si>
  <si>
    <t>Air Gun 6-6602-01
&amp;6-6602-03</t>
  </si>
  <si>
    <t>Màng ép khổ 220*315mm, dày 80 mic</t>
  </si>
  <si>
    <t>Laminated film size 220*315mm, 80 mic thick</t>
  </si>
  <si>
    <t>Máy sấy khô PJ-214A</t>
  </si>
  <si>
    <t>HEATING GUN (Single-phase, AC220V-1020W, 50/60Hz)  PJ-214A</t>
  </si>
  <si>
    <t>Thước đo khe hở  EA725RA-15</t>
  </si>
  <si>
    <t>Thickness gauges EA725RA-15 (Esco)</t>
  </si>
  <si>
    <t>Đồng hồ đo nhiệt độ, độ ẩm NHP-2099TH</t>
  </si>
  <si>
    <t>Thermo-hygrometer NHP-2099TH</t>
  </si>
  <si>
    <t>Giác hút chân không bằng cao su EA950SP-1</t>
  </si>
  <si>
    <t>Suction lifter EA950SP-1</t>
  </si>
  <si>
    <t>Đầu nối khí KQ2H06-08A</t>
  </si>
  <si>
    <t>Air Connection</t>
  </si>
  <si>
    <t>Đầu nối khí KQ2H08-03AS</t>
  </si>
  <si>
    <t>Lưới nhựa màu xanh lá cây khổ lưới rộng 1M, mắt lưới 12mm</t>
  </si>
  <si>
    <t>Reinforced plastics</t>
  </si>
  <si>
    <t>Dụng cụ cắt băng dính Sunny 2004</t>
  </si>
  <si>
    <t>Cutting tape tool Sunny 2004</t>
  </si>
  <si>
    <t>Dụng cụ cắt băng dính Dân Hoa</t>
  </si>
  <si>
    <t xml:space="preserve"> Cutting tape tool Dan Hoa</t>
  </si>
  <si>
    <t>Tấm nhựa Mica (KT: 1220x2440x5mm)</t>
  </si>
  <si>
    <t>Plastic Mica sheet</t>
  </si>
  <si>
    <t>Xóa bảng</t>
  </si>
  <si>
    <t>Plus BF-035SA 51-058</t>
  </si>
  <si>
    <t>Băng tan dài 10m</t>
  </si>
  <si>
    <t>Roll melt</t>
  </si>
  <si>
    <t>Kính lúp  1983</t>
  </si>
  <si>
    <t>Peak loupe Reticle scale 1983</t>
  </si>
  <si>
    <t>Vòng tạo từ</t>
  </si>
  <si>
    <t>RING MAGNET MAG POWER-4</t>
  </si>
  <si>
    <t>RING MAGNET MAG POWER-5</t>
  </si>
  <si>
    <t>Máy hút bụi công nghiệp FV52WS</t>
  </si>
  <si>
    <t>Industrial Vacuum Cleaner FV52WS JIE YTALY</t>
  </si>
  <si>
    <t>Đầu nối khí YPC 8-01</t>
  </si>
  <si>
    <t>Đầu nối khí YPC 8-02</t>
  </si>
  <si>
    <t>Đầu nối khí YPC 6-02</t>
  </si>
  <si>
    <t>Đầu nối khí YPE 8-8-8 STNC
Taiwan</t>
  </si>
  <si>
    <t>Cuộn PVC mắt cáo chống tĩnh điện (KT:0.5mmx1.37mx30m)</t>
  </si>
  <si>
    <t>Antistatic PVC roll</t>
  </si>
  <si>
    <t>Chổi sơn số 4</t>
  </si>
  <si>
    <t xml:space="preserve"> Paint Brush # 4</t>
  </si>
  <si>
    <t>Quạt Orix MU1225S-11( Khung nhôm, AC100V)</t>
  </si>
  <si>
    <t>Orix Fan</t>
  </si>
  <si>
    <t>Đầu đọc mã vạch Honeywell Xenon 1950GHD (RS232)</t>
  </si>
  <si>
    <t>Barcode Scanner Xenon 1950GHD-2 (RS232)</t>
  </si>
  <si>
    <t>Electric Screw driver HFB-512PFAD/1.5~12kgf.cm/2000T</t>
  </si>
  <si>
    <t>Đèn báo ( Đèn Led tròn phi 22mm, Màu xanh lá cây 220V)</t>
  </si>
  <si>
    <t>Led light ( Green AC - 220V)</t>
  </si>
  <si>
    <t>Bóng Đèn Led T8 Ecofit 16W 1.2M</t>
  </si>
  <si>
    <t>LED Light T8 Ecofit 16W 1.2M</t>
  </si>
  <si>
    <t>Máng đèn đôi chữ V 1.2</t>
  </si>
  <si>
    <t>Led tray 1.2M</t>
  </si>
  <si>
    <t>Tấm nhựa Mica (KT: 1220x2440x3mm )</t>
  </si>
  <si>
    <t>Cân điện tử Exell AWH4 -3KG/0.1G</t>
  </si>
  <si>
    <t>High Resolution Weighing Scale AWH4</t>
  </si>
  <si>
    <t>Móc tròn treo bảng chỉ dẫn 34mm</t>
  </si>
  <si>
    <t>Hook</t>
  </si>
  <si>
    <t>Giẻ lau trắng</t>
  </si>
  <si>
    <t>Đầu đọc mã vạch DS8178 (RS232)</t>
  </si>
  <si>
    <t>Barcode Reader Symbol DS8178 (RS232) ZEBRA</t>
  </si>
  <si>
    <t>Điện cực tiếp địa (Model F-27)</t>
  </si>
  <si>
    <t>Grouding Cord  (Model F-27)</t>
  </si>
  <si>
    <t>Máy nhỏ keo AD2200C</t>
  </si>
  <si>
    <t>AD 2200C Dispenser</t>
  </si>
  <si>
    <t>Máy hàn thiếc FX838-06 (điện áp 220V)</t>
  </si>
  <si>
    <t>Soldering Station FX838-06 (Voltage 220V)</t>
  </si>
  <si>
    <t>Máy cấp chẻ dây thiếc hàn tự động 374-4 (điện áp 100v)</t>
  </si>
  <si>
    <t>Selt Freeder 374-4 ( Voltage100V)</t>
  </si>
  <si>
    <t>Đầu cấp thiếc hàn C1235</t>
  </si>
  <si>
    <t>Feeder pen B 1.2-1.6mm C1235</t>
  </si>
  <si>
    <t xml:space="preserve">Cảm biến nhận biết dây thiếc hàn B2124 </t>
  </si>
  <si>
    <t>Feeder swich B2124</t>
  </si>
  <si>
    <t>Dụng cụ cầm tay lấy vòng ETH-4</t>
  </si>
  <si>
    <t>E-TYPE HOLDER ETH -4</t>
  </si>
  <si>
    <t>Bao ngón tay màu trắng dạng cắt size S</t>
  </si>
  <si>
    <t>White Fingercot cut Size S</t>
  </si>
  <si>
    <t>Phim đo lường áp lực 270mmx4m LLLW</t>
  </si>
  <si>
    <t>Prescale Film 270mm x 4m (2rolls/box) LLLW</t>
  </si>
  <si>
    <t>Máy tách nhãn tự động MAS-1150D</t>
  </si>
  <si>
    <t>Automatic label Dispenser
Model: MAS-1150D</t>
  </si>
  <si>
    <t>Đầu in cho Máy in Sato CL4NX (609 dpi)</t>
  </si>
  <si>
    <t>Print head for Sato CL4NX printer ( 609 dpi)</t>
  </si>
  <si>
    <t>Lọc khí VFE2</t>
  </si>
  <si>
    <t>Vaccum Filter VFE2</t>
  </si>
  <si>
    <t>Nhíp tre P-863-150</t>
  </si>
  <si>
    <t xml:space="preserve">TWEEZERS Hozan P-863-150 ESD BAMBOO
</t>
  </si>
  <si>
    <t>Kim tra dầu SNA-19G-C</t>
  </si>
  <si>
    <t>METAL NEEDLE SNA-19G-C</t>
  </si>
  <si>
    <t>Xi lanh 30cc màu cam PSY-30FU-OR</t>
  </si>
  <si>
    <t>SYRINGE 30cc (Orange) PSY-30FU-OR</t>
  </si>
  <si>
    <t>Pít tông (màu vàng) FLP-50E</t>
  </si>
  <si>
    <t>PLUNGER  (Yellow)  FLP-50E</t>
  </si>
  <si>
    <t>Miếng xốp bằng Xenlulô A1519</t>
  </si>
  <si>
    <t>Cleaning sponge A1519</t>
  </si>
  <si>
    <t>Mỏ hàn T12-B</t>
  </si>
  <si>
    <t>Soldering tip T12-B</t>
  </si>
  <si>
    <t>Ống đựng keo PS50S-UV</t>
  </si>
  <si>
    <t>Barrel PS50S-UV</t>
  </si>
  <si>
    <t>Ống đựng keo PS30S-UV</t>
  </si>
  <si>
    <t>Barrel PS30S-UV</t>
  </si>
  <si>
    <t>Kim chiết keo  MN-17G-13</t>
  </si>
  <si>
    <t>Metal Needle MN-17G-13</t>
  </si>
  <si>
    <t>Dao an toàn DC-191C</t>
  </si>
  <si>
    <t>CUTTERWITH CAP DC-191C</t>
  </si>
  <si>
    <t>Máy bắn vít dùng pin TD090DWE</t>
  </si>
  <si>
    <t>Cordless impact driver TD090DWE</t>
  </si>
  <si>
    <t>Đèn báo màu xanh YW1P-1EQ4G</t>
  </si>
  <si>
    <t>Pilot Light YW1P-1EQ4G</t>
  </si>
  <si>
    <t>Ổ cắm đơn 15A,125V WK3001W</t>
  </si>
  <si>
    <t>Single Outlet 15A , 125V WK3001W</t>
  </si>
  <si>
    <t>Cảm biến EE-SPY412</t>
  </si>
  <si>
    <t>Sensor EE - SPY412</t>
  </si>
  <si>
    <t>Kim tra dầu SNA-17G-C</t>
  </si>
  <si>
    <t>METAL NEEDLE  SNA-17G-C</t>
  </si>
  <si>
    <t>Lọ nhựa 250ml</t>
  </si>
  <si>
    <t>PP bottle wide Mouth 250 ML</t>
  </si>
  <si>
    <t>Bóng led tuýp T8-0.6m 10W</t>
  </si>
  <si>
    <t>LED tube T8-0.6m 10W</t>
  </si>
  <si>
    <t>Máng đèn tuýp led công nghiệp chóa phản quang T8 0.6M</t>
  </si>
  <si>
    <t>Industrial T8 0.6M LED reflector lamp</t>
  </si>
  <si>
    <t>Dao cắt ống N30S 427230 (338-4039)</t>
  </si>
  <si>
    <t>TUBE CUTTER  N30S 427230 (338-4039)</t>
  </si>
  <si>
    <t>Cuộn ruy băng bằng giấy cho máy đếm giấy 5mm(W)*100m(L) (30 cuộn / Hộp)</t>
  </si>
  <si>
    <t>Inserting Tape for Countron 5mm(W)*100m(L) 30rolls/box</t>
  </si>
  <si>
    <t>Màng lọc màu đen</t>
  </si>
  <si>
    <t>RD-DE-190302 Cushion Material used: Lumirror X30 t0.188 black</t>
  </si>
  <si>
    <t>Chổi cọ vẽ số 3-NT828</t>
  </si>
  <si>
    <t>Paint Brush No.3- NT828</t>
  </si>
  <si>
    <t>Chổi cọ sơn đầu dẹt</t>
  </si>
  <si>
    <t>Flat point paint brush No4</t>
  </si>
  <si>
    <t>Nắp lọ đựng cồn 150 ml</t>
  </si>
  <si>
    <t>Dispenser Cap</t>
  </si>
  <si>
    <t>Thảm dính bụi (Kích thước 30cm x 45cm x 0.04mm)</t>
  </si>
  <si>
    <t>Sticky mat (30cm x 45cm x0.04mm)</t>
  </si>
  <si>
    <t>Thảm dính bụi (Kích thước 30cm x 60cm x 0.04mm)</t>
  </si>
  <si>
    <t>Sticky mat (30cm x 60 cm x 0.04mm)</t>
  </si>
  <si>
    <t>Màng nhựa PVC trong, độ dày 0.3mm x 1.4m x 50m</t>
  </si>
  <si>
    <t>PVC roll 0.3mm x 1.4m x 50m</t>
  </si>
  <si>
    <t>Bộ sạc pin  Lii-500</t>
  </si>
  <si>
    <t>Lii-500 Smart Charger</t>
  </si>
  <si>
    <t>Ổ cắm lioa 6D33N</t>
  </si>
  <si>
    <t>Socket Lioa 6D33N</t>
  </si>
  <si>
    <t>Ổ cắm lioa 3D33N</t>
  </si>
  <si>
    <t>Socket lioa 3D33N</t>
  </si>
  <si>
    <t>Tấm nhựa Danpla màu xanh Blue,KT:1220*2440*5mm</t>
  </si>
  <si>
    <t>Danpla plastic sheet Blue,KT:1220*2440*5mm</t>
  </si>
  <si>
    <t>Tấm nhựa Danpla màu xanh Blue,KT:1220*2440*3mm</t>
  </si>
  <si>
    <t>Danpla plastic sheet Blue,KT:1220*2440*3mm</t>
  </si>
  <si>
    <t>Miếng nhựa PET D01PXE001,Kích thước: 0.35mm x 13.5mm x 50mm</t>
  </si>
  <si>
    <t>Plastic Sheet BLADE SHIM 0.35 BELT CLN FCL D01PXE001</t>
  </si>
  <si>
    <t>Miếng nhựa PET D01PXF001,Kích thước: 0.25mm x 13.5mm x 50mm</t>
  </si>
  <si>
    <t>Plastic Sheet BLADE SHIM 0.25 BELT CLN FCL D01PXF001</t>
  </si>
  <si>
    <t>Miếng nhựa PET D01PXG001,Kích thước: 0.1mm x 13.5mm x 50mm</t>
  </si>
  <si>
    <t>Plastic Sheet BLADE SHIM 0.1 BELT CLN FCL D01PXG001</t>
  </si>
  <si>
    <t>Miếng nhựa PET D01PXH001,Kích thước: 0.05mm x 13.5mm x 50mm</t>
  </si>
  <si>
    <t>Plastic Sheet BLADE SHIM 0.05 BELT CLN FCL D01PXH001</t>
  </si>
  <si>
    <t>Miếng nhựa PET D01W1G001,Kích thước: 0.2mm x 7.5mm x 9.8mm</t>
  </si>
  <si>
    <t>Plastic Sheet LED SHIM 0.2 D01W1G001</t>
  </si>
  <si>
    <t xml:space="preserve">Miếng nhựa PET D01W1F001,Kích thước: 7.5x9.8x0.15mm </t>
  </si>
  <si>
    <t>Plastic Sheet LED SHIM 0.15 D01W1F001</t>
  </si>
  <si>
    <t>Miếng nhựa PET D01W1D001,Kích thước: 7.5x9.8x0.075mm</t>
  </si>
  <si>
    <t>Plastic Sheet LED SHIM 0.075 D01W1D001</t>
  </si>
  <si>
    <t xml:space="preserve">Miếng nhựa PET D01XSD001,Kích thước: 7.5x9.8x0.05mm </t>
  </si>
  <si>
    <t>Plastic Sheet LED SHIM FCL 0.05 D01XSD001</t>
  </si>
  <si>
    <t xml:space="preserve">Miếng nhựa PET D01W1E001,Kích thước: 7.5x9.8x0.125mm </t>
  </si>
  <si>
    <t>Plastic Sheet LED SHIM 0.125 D01W1E001</t>
  </si>
  <si>
    <t>Miếng nhựa PET LU5790001,Kích thước: 0.1mm X 12mm X 50mm</t>
  </si>
  <si>
    <t>Plastic Sheet BLADE SHIM 0.1</t>
  </si>
  <si>
    <t>Ống đựng keo 50ml có vạch giới hạn (màu vàng chanh)</t>
  </si>
  <si>
    <t>Plastic barrel 50ml with lines (Lemon Yellow)</t>
  </si>
  <si>
    <t>Ống đựng keo 50ml có vạch giới hạn (màu đỏ nhạt)</t>
  </si>
  <si>
    <t>Plastic barrel 50ml with lines (Transparency Red)</t>
  </si>
  <si>
    <t>Ống đựng keo 50ml có vạch giới hạn (màu cam)</t>
  </si>
  <si>
    <t>Plastic barrel 50ml with lines (Orange)</t>
  </si>
  <si>
    <t>Ống đựng keo 50ml có vạch giới hạn (màu xanh rêu)</t>
  </si>
  <si>
    <t>Plastic barrel 50ml with lines (Moss Green)</t>
  </si>
  <si>
    <t>Ống đựng keo 50ml có vạch giới hạn (màu xanh cô ban)</t>
  </si>
  <si>
    <t>Plastic barrel 50ml with lines (Cobalt Blue)</t>
  </si>
  <si>
    <t>Ống đựng keo 50ml có vạch giới hạn (màu xanh ngọc)</t>
  </si>
  <si>
    <t>Plastic barrel 50ml with lines (Turquoise)</t>
  </si>
  <si>
    <t>Ống đựng keo 50ml có vạch giới hạn (màu xanh lơ nhạt)</t>
  </si>
  <si>
    <t>Plastic barrel 50ml with lines (light Blue)</t>
  </si>
  <si>
    <t>Ống đựng keo 50ml có vạch giới hạn (màu vàng nhạt)</t>
  </si>
  <si>
    <t>Plastic barrel 50ml with lines (light Yellow)</t>
  </si>
  <si>
    <t>Miếng nhựa PET D02B2C001,Kích thước: L50mm*W13.5mm*T0.075mm</t>
  </si>
  <si>
    <t>Plastic Sheet BLADE SHIM 0.075 BELT CLN FCL D02B2C001</t>
  </si>
  <si>
    <t>Súng bắn nóng chảy keo 3M TC/TCQ GEN II</t>
  </si>
  <si>
    <t>HOT MELT APPLICATOR (100V) TC/TCQ GEN II</t>
  </si>
  <si>
    <t>Súng gắn keo 804-6</t>
  </si>
  <si>
    <t>Melter 804-6 (Voltage 220V)</t>
  </si>
  <si>
    <t>Dây điện cadisun 3*1.5(200m/cuộn)</t>
  </si>
  <si>
    <t>Dây điện cadisun 2x1.0(Màu vàng,100m/cuộn)</t>
  </si>
  <si>
    <t>2x1.0 cadisun power cord(Yellow,100m/roll)</t>
  </si>
  <si>
    <t>Tấm nhựa Danpla màu đen chống tĩnh điện( KT: 1220x2440x4mm)</t>
  </si>
  <si>
    <t>Anti-static black Danpla plastic sheet (KT: 1220x2440x4mm)</t>
  </si>
  <si>
    <t>Keo nến</t>
  </si>
  <si>
    <t>Glue</t>
  </si>
  <si>
    <t>Dây thép phi 2</t>
  </si>
  <si>
    <t>Galvanized steelwire Ø2mm</t>
  </si>
  <si>
    <t>Hộp mực in Epson LQ2190</t>
  </si>
  <si>
    <t>Ribbon Cartridge Epson LQ2190</t>
  </si>
  <si>
    <t>Giấy Photo copy Paper One, khổ A5, 70g</t>
  </si>
  <si>
    <t>Photocopy Paper one Size A5, 70g</t>
  </si>
  <si>
    <t>Mỏ hàn T20-BC4</t>
  </si>
  <si>
    <t>Soldering tip T20-BC4</t>
  </si>
  <si>
    <t>Máy vặn vít điện BLG-5000BC1-18 (Maker: HIOS, xuất xứ: JAPAN)</t>
  </si>
  <si>
    <t>ELECTRIC SCREWDRIVER BLG-5000BC1-18  (Maker: HIOS, origin: JAPAN)</t>
  </si>
  <si>
    <t>Máy vặn vít điện BL-5000 (Maker: HIOS, xuất xứ: JAPAN)</t>
  </si>
  <si>
    <t>ELECTRIC SCREWDRIVER BL-5000  (Maker: HIOS, origin: JAPAN)</t>
  </si>
  <si>
    <t>Nhíp kẹp P-891 (Maker: HOZAN, xuất xứ: PAKISTAN)</t>
  </si>
  <si>
    <t>TWEEZER P-891 (Maker: HOZAN, origin: PAKISTAN)</t>
  </si>
  <si>
    <t>Thảm cao su chống tĩnh điện(đen) YS-231-3-2 (Maker: MIDORI ANZEN, xuất xứ: JAPAN)</t>
  </si>
  <si>
    <t>ANTISTATIC RUBBER SHEET(BLACK) YS-231-3-2  (Maker: MIDORI ANZEN, origin: JAPAN)</t>
  </si>
  <si>
    <t>Kim đôi đường kính trong 1.04MM DN-17G (Maker: MUSASHI, xuất xứ: JAPAN)</t>
  </si>
  <si>
    <t>TWIN NEEDLE INNER DIA.1.04MM DN-17G  (Maker: MUSASHI, origin: JAPAN)</t>
  </si>
  <si>
    <t>Kim đôi đường kính trong 0.86MM DN-18G (Maker: MUSASHI, xuất xứ: JAPAN)</t>
  </si>
  <si>
    <t>TWIN NEEDLE INNER DIA.0.86MM DN-18G  (Maker: MUSASHI, origin: JAPAN)</t>
  </si>
  <si>
    <t>Kim cong đường kính trong 0.84MM (50pcs/pack) CPN-18G-A45 (Maker: MUSASHI, xuất xứ: JAPAN)</t>
  </si>
  <si>
    <t>CURVED NEEDLE INNER DIA.0.84MM (50PCS/PACK) CPN-18G-A45 (Maker: MUSASHI, origin: JAPAN)</t>
  </si>
  <si>
    <t>Nút chặn (đỏ) (50pcs/pack) MLP-R-50E (Maker: MUSASHI, xuất xứ: JAPAN)</t>
  </si>
  <si>
    <t>MIRACLE WIPER PLUNGER(RED) (50PCS/PACK) MLP-R-50E (Maker: MUSASHI, origin: JAPAN)</t>
  </si>
  <si>
    <t>Nút chặn (xanh) (50pcs/pack) MLP-B-50E (Maker: MUSASHI, xuất xứ: JAPAN)</t>
  </si>
  <si>
    <t>MIRACLE WIPER PLUNGER(BLUE) (50PCS/PACK) MLP-B-50E (Maker: MUSASHI, origin: JAPAN)</t>
  </si>
  <si>
    <t>Lọ đựng dầu FD-5015-B (20PCS/BOX)  (Maker: ELMECH, xuất xứ: JAPAN)</t>
  </si>
  <si>
    <t>FLUX DISPENSER FD-5015-B (20PCS/BOX)   (Maker: ELMECH, origin: JAPAN)</t>
  </si>
  <si>
    <t>Nắp lọ đựng dầu FD-5015-NB (40SETS/BOX)  (Maker: ELMECH, xuất xứ: JAPAN)</t>
  </si>
  <si>
    <t>BRUSH &amp; CAP FOR FLUX DISPENSER FD-5015-NB (40SETS/BOX)  (Maker: ELMECH, origin: JAPAN)</t>
  </si>
  <si>
    <t>Bút tra dầu ID-FD-185-S, chiều dài bút 185mm, đầu bút SIZE S</t>
  </si>
  <si>
    <t>Flux Dispenser</t>
  </si>
  <si>
    <t>Bộ khử tĩnh điện IZF31-B-CBS</t>
  </si>
  <si>
    <t>Fan Type Ionizer IZF31-B-CBS</t>
  </si>
  <si>
    <t>Bút tra dầu ID-FD-185-M, chiều dài bút 185mm, đầu bút SIZE M</t>
  </si>
  <si>
    <t>Máy tách nhãn POM-NY101</t>
  </si>
  <si>
    <t>LABEL PEELING MACHINE POM-NY101
(AC100V)</t>
  </si>
  <si>
    <t>Nút nhấn có đèn YW1L-M2E11Q4Y</t>
  </si>
  <si>
    <t>Push button YW1L-M2E11Q4Y</t>
  </si>
  <si>
    <t>Đầu in cho máy in Sato CL6NX(305DPI)</t>
  </si>
  <si>
    <t>Print head for Sato CL6NX printer (305DPI)</t>
  </si>
  <si>
    <t>Công tắc chuyển đổi mode YW1S-3E20</t>
  </si>
  <si>
    <t>Rotaryswitch YW1S-3E20</t>
  </si>
  <si>
    <t>Máy tách nhãn tự động AL-505M</t>
  </si>
  <si>
    <t>Automatic label Dispenser Model: AL-505M</t>
  </si>
  <si>
    <t>THIẾT BỊ KHỬ ION HÓA TĨNH ĐIỆN SJ-E036A</t>
  </si>
  <si>
    <t>STATIC ELIMINATOR SJ-E036A</t>
  </si>
  <si>
    <t>Máy hút bụi Hitachi CV-SF20V 24CV</t>
  </si>
  <si>
    <t>Vaccuum Cleaner CV-SF20V 24CV</t>
  </si>
  <si>
    <t>Máy khuấy KMS-321D-BP</t>
  </si>
  <si>
    <t>Ultra-thin Magnetic Stirrer KMS-321D-BP</t>
  </si>
  <si>
    <t>Máy khuấy PS-1A</t>
  </si>
  <si>
    <t>PASOLINA STIRRER (2-4990-12) PS-1A</t>
  </si>
  <si>
    <t>Thanh khuấy KC300 (ϕ8x30mm)</t>
  </si>
  <si>
    <t>Stirring bar KC300 (ϕ8x30mm)</t>
  </si>
  <si>
    <t>Card nhựa PVC 
KT:120*105mm</t>
  </si>
  <si>
    <t>PVC plastic card size: 120*105mm</t>
  </si>
  <si>
    <t>CẢM BIẾN QUANG LR-W70</t>
  </si>
  <si>
    <t>PHOTOELECTRIC SENSOR LR-W70</t>
  </si>
  <si>
    <t>Tăm bông (thân gỗ đầu to)</t>
  </si>
  <si>
    <t>Giẻ lau trắng cắt nhiệt KT:60*80cm</t>
  </si>
  <si>
    <t>White rag KT:60*80cm</t>
  </si>
  <si>
    <t>THIẾT BỊ KHUẾCH ĐẠI CẢM BIẾN QUANG FS-N43N</t>
  </si>
  <si>
    <t>PHOTOELECTRIC SENSOR (AMPLIFIER UNIT) FS-N43N</t>
  </si>
  <si>
    <t>Tay hàn FX8301-01</t>
  </si>
  <si>
    <t>Soldeirng iron FX8301-01</t>
  </si>
  <si>
    <t>Khay nhựa Danpla L không nắp ( KT ngoài: 385*250*120mm)</t>
  </si>
  <si>
    <t>Danpla L plastic tray is not installed</t>
  </si>
  <si>
    <t>THIẾT BỊ KHUẾCH ĐẠI CẢM BIẾN QUANG FS-N42N</t>
  </si>
  <si>
    <t>PHOTOELECTRIC SENSOR (AMPLIFIER UNIT) FS-N42N</t>
  </si>
  <si>
    <t xml:space="preserve">F1.25-M3 </t>
  </si>
  <si>
    <t>Terminal F1.25-M3 (100pcs/Pack)</t>
  </si>
  <si>
    <t>B-1.25</t>
  </si>
  <si>
    <t>CRIMPING TERMINAL OPTION  B-1.25 (100pcs/Pack)</t>
  </si>
  <si>
    <t>Đầu nối khí KQ2H06-M5A</t>
  </si>
  <si>
    <t>Fitting KQ2H06-M5A</t>
  </si>
  <si>
    <t>CẢM BIẾN QUANG LR-W500</t>
  </si>
  <si>
    <t>PHOTOELECTRIC SENSOR LR-W500</t>
  </si>
  <si>
    <t>Đầu cốt chữ Y F1.25 - 3 (100chiếc/hộp)</t>
  </si>
  <si>
    <t>Cosse</t>
  </si>
  <si>
    <t>Đầu cốt tròn R1.25 - M3.5 (100chiếc/hộp)</t>
  </si>
  <si>
    <t>THẤU KÍNH CHO CẢM BIẾN QUANG ĐIỆN F-3HA</t>
  </si>
  <si>
    <t>FIELD LENS FOR PHOTOELECTRIC SENSOR F-3HA</t>
  </si>
  <si>
    <t>CẢM BIẾN QUANG ĐIỆN PR-MB30N1</t>
  </si>
  <si>
    <t>PHOTOELECTRIC SENSOR PR-MB30N1</t>
  </si>
  <si>
    <t>THIẾT BỊ KHUẾCH ĐẠI CẢM BIẾN QUANG FS-N41N</t>
  </si>
  <si>
    <t>PHOTOELECTRIC SENSOR (AMPLIFIER UNIT) FS-N41N</t>
  </si>
  <si>
    <t>CẢM BIẾN LASER LR-X250</t>
  </si>
  <si>
    <t>LASER SENSOR LR-X250</t>
  </si>
  <si>
    <t>CẢM BIẾN LASER LR-ZB100N</t>
  </si>
  <si>
    <t>LASER SENSOR LR-ZB100N</t>
  </si>
  <si>
    <t>CẢM BIẾN LASER LR-X100</t>
  </si>
  <si>
    <t>LASER SENSOR LR-X100</t>
  </si>
  <si>
    <t>CẢM BIẾN LASER LR-ZB250AN</t>
  </si>
  <si>
    <t>LASER SENSOR LR-ZB250AN</t>
  </si>
  <si>
    <t>CẢM BIẾN LASER LR-X50</t>
  </si>
  <si>
    <t>LASER SENSOR LR-X50</t>
  </si>
  <si>
    <t>ĐẦU CẢM BIẾN SỢI QUANG FU-35TZ</t>
  </si>
  <si>
    <t>PHOTOELECTRIC SENSOR (FIBER SENSOR HEAD) FU-35TZ</t>
  </si>
  <si>
    <t>ĐẦU CẢM BIẾN SỢI QUANG FU-35FZ</t>
  </si>
  <si>
    <t>PHOTOELECTRIC SENSOR (FIBER SENSOR HEAD) FU-35FZ</t>
  </si>
  <si>
    <t>ĐẦU CẢM BIẾN SỢI QUANG FU-35FA</t>
  </si>
  <si>
    <t>PHOTOELECTRIC SENSOR (FIBER SENSOR HEAD) FU-35FA</t>
  </si>
  <si>
    <t>ĐẦU CẢM BIẾN SỢI QUANG FU-77TZ</t>
  </si>
  <si>
    <t>PHOTOELECTRIC SENSOR (FIBER SENSOR HEAD) FU-77TZ</t>
  </si>
  <si>
    <t>CẢM BIẾN MÀN CHẮN QUANG AN TOÀN GL-S20FH</t>
  </si>
  <si>
    <t>SAFETY LIGHT CURTAIN (SENSOR) GL-S20FH</t>
  </si>
  <si>
    <t>CẢM BIẾN MÀN CHẮN QUANG AN TOÀN GL-S16FH</t>
  </si>
  <si>
    <t>SAFETY LIGHT CURTAIN (SENSOR) GL-S16FH</t>
  </si>
  <si>
    <t>CẢM BIẾN MÀN CHẮN QUANG AN TOÀN GL-S24FH</t>
  </si>
  <si>
    <t>SAFETY LIGHT CURTAIN (SENSOR) GL-S24FH</t>
  </si>
  <si>
    <t>CẢM BIẾN MÀN CHẮN QUANG AN TOÀN GL-S12FH</t>
  </si>
  <si>
    <t>SAFETY LIGHT CURTAIN (SENSOR) GL-S12FH</t>
  </si>
  <si>
    <t>CẢM BIẾN MÀN CHẮN QUANG AN TOÀN GL-S08FH</t>
  </si>
  <si>
    <t>SAFETY LIGHT CURTAIN (SENSOR) GL-S08FH</t>
  </si>
  <si>
    <t>CẢM BIẾN MÀN CHẮN QUANG AN TOÀN GL-S32SH</t>
  </si>
  <si>
    <t>SAFETY LIGHT CURTAIN (SENSOR) GL-S32SH</t>
  </si>
  <si>
    <t>ĐẦU CẢM BIẾN HÌNH ẢNH IV2-G500CA</t>
  </si>
  <si>
    <t>VISION SENSOR (HEAD) IV2-G500CA</t>
  </si>
  <si>
    <t>KHỐI KẾT NỐI ETHERNET CỦA BỘ ĐIỀU KHIỂN LOGIC KHẢ TRÌNH KV-NC1EP</t>
  </si>
  <si>
    <t>PROGRAMMABLE LOGIC CONTROLLER (ETHERNET UNIT) KV-NC1EP</t>
  </si>
  <si>
    <t>THIẾT BỊ ĐIỀU KHIỂN LOGIC LẬP TRÌNH KV-N60AT</t>
  </si>
  <si>
    <t>PROGRAMMABLE LOGIC CONTROLLER KV-N60AT</t>
  </si>
  <si>
    <t>THIẾT BỊ ĐIỀU KHIỂN LOGIC LẬP TRÌNH KV-3000</t>
  </si>
  <si>
    <t>PROGRAMMABLE LOGIC CONTROLLER KV-3000</t>
  </si>
  <si>
    <t>THIẾT BỊ ĐIỀU KHIỂN LOGIC KHẢ TRÌNH KV-8000</t>
  </si>
  <si>
    <t>PROGRAMMABLE LOGIC CONTROLLER KV-8000</t>
  </si>
  <si>
    <t>BỘ ĐIỀU KHIỂN LOGIC LẬP TRÌNH KV-N40DT</t>
  </si>
  <si>
    <t>PROGRAMMABLE LOGIC CONTROLLER KV-N40DT</t>
  </si>
  <si>
    <t>THIẾT BỊ KHUẾCH ĐẠI CẢM BIẾN TIỆM CẬN ES-M1</t>
  </si>
  <si>
    <t>PROXIMITY SENSOR (AMPLIFIER UNIT) ES-M1</t>
  </si>
  <si>
    <t>Xy lanh khí MXQ12B-125ZC-M9B</t>
  </si>
  <si>
    <t>Air cylinder MXQ12B-125ZC-M9B</t>
  </si>
  <si>
    <t>Xy lanh khí MHY2-20D</t>
  </si>
  <si>
    <t>Air cylinder MHY2-20D</t>
  </si>
  <si>
    <t>Xy lanh khí MXS6-20A-M9B</t>
  </si>
  <si>
    <t>Air cylinder MXS6-20A-M9B</t>
  </si>
  <si>
    <t>Xy lanh khí MHF2-8D2-M9BM-X83A1</t>
  </si>
  <si>
    <t>Air cylinder MHF2-8D2-M9BM-X83A1</t>
  </si>
  <si>
    <t>Xy lanh khí MGAS8x20-R-12W</t>
  </si>
  <si>
    <t>Air cylinder MGAS8x20-R-12W</t>
  </si>
  <si>
    <t>Xy lanh khí MXQ20-75AS-M9B</t>
  </si>
  <si>
    <t>Air cylinder MXQ20-75AS-M9B</t>
  </si>
  <si>
    <t>Xy lanh khí MGPM25-150Z</t>
  </si>
  <si>
    <t>Air cylinder MGPM25-150Z</t>
  </si>
  <si>
    <t>Xy lanh khí MKB12-20LZ-M9BL</t>
  </si>
  <si>
    <t>Air cylinder MKB12-20LZ-M9BL</t>
  </si>
  <si>
    <t>Xy lanh khí MY1B16-300A</t>
  </si>
  <si>
    <t>Air cylinder MY1B16-300A</t>
  </si>
  <si>
    <t>Xy lanh khí MHZL2-16D-M9B</t>
  </si>
  <si>
    <t>Air cylinder MHZL2-16D-M9B</t>
  </si>
  <si>
    <t>Xy lanh khí MXJ8-20C-M9BW</t>
  </si>
  <si>
    <t>Air cylinder MXJ8-20C-M9BW</t>
  </si>
  <si>
    <t>Xy lanh khí MHZL2-10D-M9B</t>
  </si>
  <si>
    <t>Air cylinder MHZL2-10D-M9B</t>
  </si>
  <si>
    <t>Ống dây khí TU0604B-100</t>
  </si>
  <si>
    <t>Air tube TU0604B-100</t>
  </si>
  <si>
    <t>Thiết bị lọc khí AC30C-02E1-D</t>
  </si>
  <si>
    <t>Air Filter AC30C-02E1-D</t>
  </si>
  <si>
    <t>Van định hướng SYJ512-5LZD-M5-F</t>
  </si>
  <si>
    <t>Solenoid Vavle SYJ512-5LZD-M5-F</t>
  </si>
  <si>
    <t>Van định hướng SY3120-5LZD-C4</t>
  </si>
  <si>
    <t>Solenoid Vavle SY3120-5LZD-C4</t>
  </si>
  <si>
    <t>Van định hướng SY3320-5LZD-C4</t>
  </si>
  <si>
    <t>Solenoid Vavle SY3320-5LZD-C4</t>
  </si>
  <si>
    <t>Van định hướng SY3120-5LZD-C4-F1</t>
  </si>
  <si>
    <t>Solenoid Vavle SY3120-5LZD-C4-F1</t>
  </si>
  <si>
    <t>Van định hướng SY5120-5LZD-C6-F1</t>
  </si>
  <si>
    <t>Solenoid Vavle SY5120-5LZD-C6-F1</t>
  </si>
  <si>
    <t>Van định hướng SY3320-5LZD-C6</t>
  </si>
  <si>
    <t>Solenoid Vavle SY3320-5LZD-C6</t>
  </si>
  <si>
    <t>Van định hướng SY3120-5LZD-C4-F2</t>
  </si>
  <si>
    <t>Solenoid Vavle SY3120-5LZD-C4-F2</t>
  </si>
  <si>
    <t>Van định hướng SY3120-5LZD-C6-F1</t>
  </si>
  <si>
    <t>Solenoid Vavle SY3120-5LZD-C6-F1</t>
  </si>
  <si>
    <t>Van định hướng SY3320-5LZD-C4-F2</t>
  </si>
  <si>
    <t>Solenoid Vavle SY3320-5LZD-C4-F2</t>
  </si>
  <si>
    <t>Van định hướng SY5120-5LZD-01</t>
  </si>
  <si>
    <t>Solenoid Vavle SY5120-5LZD-01</t>
  </si>
  <si>
    <t>Van định hướng SY5320-5LZD-C6-F2</t>
  </si>
  <si>
    <t>Solenoid Vavle SY5320-5LZD-C6-F2</t>
  </si>
  <si>
    <t>Van định hướng SY3320-5LZD-C6-F2</t>
  </si>
  <si>
    <t>Solenoid Vavle SY3320-5LZD-C6-F2</t>
  </si>
  <si>
    <t>Van định hướng SY5120-5LZD-01-F1</t>
  </si>
  <si>
    <t>Solenoid Vavle SY5120-5LZD-01-F1</t>
  </si>
  <si>
    <t>Van điều áp ARM10F2-08G-ZA-N</t>
  </si>
  <si>
    <t>Regulator ARM10F2-08G-ZA-N</t>
  </si>
  <si>
    <t>Van điều áp ARM10F1-08G-ZA-N</t>
  </si>
  <si>
    <t>Regulator ARM10F1-08G-ZA-N</t>
  </si>
  <si>
    <t>Van điều áp ARM10F2-08G</t>
  </si>
  <si>
    <t>Regulator ARM10F2-08G</t>
  </si>
  <si>
    <t>Van điều áp ARM10F1-08G</t>
  </si>
  <si>
    <t>Regulator ARM10F1-08G</t>
  </si>
  <si>
    <t>Van điều áp ARM10F2-08BG-ZA-N</t>
  </si>
  <si>
    <t>Regulator ARM10F2-08BG-ZA-N</t>
  </si>
  <si>
    <t>Van tiết lưu AS1201F-M5-04A</t>
  </si>
  <si>
    <t>Speed Controller AS1201F-M5-04A</t>
  </si>
  <si>
    <t>Van tiết lưu AS1201F-M5-06A</t>
  </si>
  <si>
    <t>Speed Controller AS1201F-M5-06A</t>
  </si>
  <si>
    <t>Van tiết lưu AS2201F-01-06SA</t>
  </si>
  <si>
    <t>Speed Controller AS2201F-01-06SA</t>
  </si>
  <si>
    <t>Van tiết lưu AS1201F-M3-04</t>
  </si>
  <si>
    <t>Speed Controller AS1201F-M3-04</t>
  </si>
  <si>
    <t>Van tiết lưu AS2211F-01-06SA</t>
  </si>
  <si>
    <t>Speed Controller AS2211F-01-06SA</t>
  </si>
  <si>
    <t>Đầu nối khí KQ2U06-00A</t>
  </si>
  <si>
    <t>Fitting KQ2U06-00A</t>
  </si>
  <si>
    <t>Giảm thanh AN05-M5</t>
  </si>
  <si>
    <t>Silencer AN05-M5</t>
  </si>
  <si>
    <t>Giảm thanh AN10-01</t>
  </si>
  <si>
    <t>Silencer AN10-01</t>
  </si>
  <si>
    <t>Giảm thanh AN120-M5</t>
  </si>
  <si>
    <t>Silencer AN120-M5</t>
  </si>
  <si>
    <t>Đèn, loại đèn tháp tín hiệu dùng cho nhà xưởng loại bóng led MES-302A-RYG</t>
  </si>
  <si>
    <t>LED Signal Tower MES-302A-RYG</t>
  </si>
  <si>
    <t>Sơn xịt trắng A200</t>
  </si>
  <si>
    <t>Can of white spray paint (A200)</t>
  </si>
  <si>
    <t>Bánh xe ST-75</t>
  </si>
  <si>
    <t>Caster wheel ST-75</t>
  </si>
  <si>
    <t>Dây điện Cadisun 1 lõi 1*0.75
mm (màu xanh, 200m/cuộn)</t>
  </si>
  <si>
    <t>Wire Cadisun 1*0.75 mm</t>
  </si>
  <si>
    <t>Mũi phay AE-TL-N 6X18 (8557343)</t>
  </si>
  <si>
    <t>End Mill AE-TL-N 6X18 (8557343)</t>
  </si>
  <si>
    <t>Mũi phay AE-TL-N 6X30 (8557353)</t>
  </si>
  <si>
    <t>End Mill AE-TL-N 6X30 (8557353)</t>
  </si>
  <si>
    <t>Mũi phay AE-TL-N 5X25 (8557352)</t>
  </si>
  <si>
    <t>End Mill AE-TL-N 5X25 (8557352)</t>
  </si>
  <si>
    <t>Mũi phay AE-TL-N 4X20 (8557351)</t>
  </si>
  <si>
    <t>End Mill AE-TL-N 4X20 (8557351)</t>
  </si>
  <si>
    <t>Mạch điện tử tích hợp Control V1.6-2</t>
  </si>
  <si>
    <t>PCB</t>
  </si>
  <si>
    <t>Công tắc 2 chân KCD1-101</t>
  </si>
  <si>
    <t>ON/OFF working</t>
  </si>
  <si>
    <t xml:space="preserve"> Đầu nối khí (KQ2U04-00A)</t>
  </si>
  <si>
    <t>Fitting (KQ2U04-00A)</t>
  </si>
  <si>
    <t>Đầu đo điện trở 9465-90</t>
  </si>
  <si>
    <t>Contact Lip 9465-90</t>
  </si>
  <si>
    <t>NA3VC-25-3P-30</t>
  </si>
  <si>
    <t>CABLE  NA3VC-25-3P-30</t>
  </si>
  <si>
    <t>Bộ nguồn SDR-960-24</t>
  </si>
  <si>
    <t>Power Supply SDR-960-24</t>
  </si>
  <si>
    <t>Kim chiết keo MN-15G-13 (1gói / 12chiếc)</t>
  </si>
  <si>
    <t>Metal Needle MN-15G-13 (1Pack/12PCS)</t>
  </si>
  <si>
    <t>Máy cấp vít NJ-2330</t>
  </si>
  <si>
    <t>SCREW FEEDER NJ-2330</t>
  </si>
  <si>
    <t>Pallet nhựa ABS mặt cao su CTĐ KT:580*450mm</t>
  </si>
  <si>
    <t>ABS plastic pallet with CTĐ rubber surface</t>
  </si>
  <si>
    <t>Pallet nhựa ABS mặt cao su CTĐ KT:580*420mm</t>
  </si>
  <si>
    <t>Hộp PC (KT:D*R*C:300*215*130mm)</t>
  </si>
  <si>
    <t>PC Box</t>
  </si>
  <si>
    <t>Công tắc AR22PL-210E3W</t>
  </si>
  <si>
    <t>Switch AR22PL-210E3W</t>
  </si>
  <si>
    <t>Băng từ 5cm GS50</t>
  </si>
  <si>
    <t>Tape GS50</t>
  </si>
  <si>
    <t>Thiết bị cảm biến STN-22E-005</t>
  </si>
  <si>
    <t>Sensor STN-22E-005 (5pcs/pack)</t>
  </si>
  <si>
    <t>Cảm biến quang HG-C1050</t>
  </si>
  <si>
    <t>Photoelectric sensor HG-C1050</t>
  </si>
  <si>
    <t>Cảm biến quang EX-22A</t>
  </si>
  <si>
    <t>Photoelectric sensor EX-22A</t>
  </si>
  <si>
    <t>Cảm biến quang E3FA-DN12</t>
  </si>
  <si>
    <t>Photoelectric sensor E3FA-DN12</t>
  </si>
  <si>
    <t>Cảm biến quang EX-19B</t>
  </si>
  <si>
    <t>Photoelectric sensor EX-19B</t>
  </si>
  <si>
    <t>Cảm biến quang PM2-LH10 (bao gồm dây cảm biến CN-13-C3)</t>
  </si>
  <si>
    <t>Photoelectric sensor PM2-LH10 (includes Connector attached cable CN-13-C3)</t>
  </si>
  <si>
    <t>Cảm biến quang EX-13B</t>
  </si>
  <si>
    <t>Photoelectric sensor EX-13B</t>
  </si>
  <si>
    <t>Van tay (VHK3A-06F-06F)</t>
  </si>
  <si>
    <t>Finger valve (VHK3A-06F-06F)</t>
  </si>
  <si>
    <t>Đèn OPS-S20W</t>
  </si>
  <si>
    <t>Spot Lighting OPS-S20W</t>
  </si>
  <si>
    <t>Bộ nguồn điều chỉnh ánh sáng dùng cho đèn chiếu điểm OPPW-30-2V</t>
  </si>
  <si>
    <t>Power Spot Lighting OPPW-30-2V</t>
  </si>
  <si>
    <t>Dây cáp tín hiệu (CN-13-C3)</t>
  </si>
  <si>
    <t>Cable (CN-13-C3)</t>
  </si>
  <si>
    <t>Máy quét mã vạch WELLCOME Z-5130U</t>
  </si>
  <si>
    <t>Thumb-sized stationary CCD barcode scanner, USB WELLCOME DESIGN Z-5130U</t>
  </si>
  <si>
    <t>Kim tra dầu CPN-15G-A45</t>
  </si>
  <si>
    <t>CURVE NEEDLE [15G NEEDLE LENGTH 12.7MM ANGLE45] BODY CPN-15G-A45</t>
  </si>
  <si>
    <t>Kim tra dầu SNA-17G-18L</t>
  </si>
  <si>
    <t>METAL NEEDLE [SNA 17G NEEDLE LENGTH 18MM] SNA-17G-18L</t>
  </si>
  <si>
    <t>Kim tra dầu SNA-17G-25L</t>
  </si>
  <si>
    <t>METAL NEEDLE [SNA 17G NEEDLE LENGTH 25MM] SNA-17G-25L</t>
  </si>
  <si>
    <t>CSJ055A-L</t>
  </si>
  <si>
    <t>MET CS-TOUCH SWITCHES CS</t>
  </si>
  <si>
    <t>ESP10-25-24</t>
  </si>
  <si>
    <t>POWER SUPPLY</t>
  </si>
  <si>
    <t>HHPSNC5</t>
  </si>
  <si>
    <t>ALUMINUM HINGES</t>
  </si>
  <si>
    <t>SCB3-10</t>
  </si>
  <si>
    <t>BOLTS</t>
  </si>
  <si>
    <t>SCB3-20</t>
  </si>
  <si>
    <t>SCB3-25</t>
  </si>
  <si>
    <t>SCB3-5</t>
  </si>
  <si>
    <t>SCB4-12</t>
  </si>
  <si>
    <t>SCB4-18</t>
  </si>
  <si>
    <t>SCB4-35</t>
  </si>
  <si>
    <t>SCB5-12</t>
  </si>
  <si>
    <t>SCB5-16</t>
  </si>
  <si>
    <t>SCB5-20</t>
  </si>
  <si>
    <t>SSPWF3</t>
  </si>
  <si>
    <t>WASHERS</t>
  </si>
  <si>
    <t>SSSLW3</t>
  </si>
  <si>
    <t>SPRING WASHER</t>
  </si>
  <si>
    <t>CẢM BIẾN TIỆM CẬN EV-108U</t>
  </si>
  <si>
    <t>PROXIMITY SENSOR EV-108U</t>
  </si>
  <si>
    <t>Nhựa ABS 5mm*1000mm*500mm</t>
  </si>
  <si>
    <t>ABS Plate 5mm*1000mm*500mm</t>
  </si>
  <si>
    <t>Nhựa ABS 10mm*1000mm*500mm</t>
  </si>
  <si>
    <t>ABS Plate 10mm*1000mm*500mm</t>
  </si>
  <si>
    <t>Nhựa ABS 15mm*1000mm*500mm</t>
  </si>
  <si>
    <t>ABS Plate 15mm*1000mm*500mm</t>
  </si>
  <si>
    <t>Nhựa ABS 20mm*1000mm*500mm</t>
  </si>
  <si>
    <t>ABS Plate 20mm*1000mm*500mm</t>
  </si>
  <si>
    <t>Nhựa ABS 25mm*1000mm*500mm</t>
  </si>
  <si>
    <t>ABS Plate 25mm*1000mm*500mm</t>
  </si>
  <si>
    <t>Nhựa ABS 30mm*1000mm*500mm</t>
  </si>
  <si>
    <t>ABS Plate 30mm*1000mm*500mm</t>
  </si>
  <si>
    <t>Nhựa POM 10mm*1000mm*500mm</t>
  </si>
  <si>
    <t>POM Plate 10mm*1000mm*500mm</t>
  </si>
  <si>
    <t>Nhựa POM 15mm*1000mm*500mm</t>
  </si>
  <si>
    <t>POM Plate 15mm*1000mm*500mm</t>
  </si>
  <si>
    <t>Nhựa POM 20mm*1000mm*500mm</t>
  </si>
  <si>
    <t>POM Plate 20mm*1000mm*500mm</t>
  </si>
  <si>
    <t>Nhựa POM 25mm*1000mm*500mm</t>
  </si>
  <si>
    <t>POM Plate 25mm*1000mm*500mm</t>
  </si>
  <si>
    <t>Nhựa POM 30mm*1000mm*500mm</t>
  </si>
  <si>
    <t>POM Plate 30mm*1000mm*500mm</t>
  </si>
  <si>
    <t>Nhựa MC 10mm*500mm*500mm</t>
  </si>
  <si>
    <t>MC Plate 10mm*500mm*500mm</t>
  </si>
  <si>
    <t>Nhựa MC 15mm*500mm*500mm</t>
  </si>
  <si>
    <t>MC Plate 15mm*500mm*500mm</t>
  </si>
  <si>
    <t>Nhựa MC 20mm*500mm*500mm</t>
  </si>
  <si>
    <t>MC Plate 20mm*500mm*500mm</t>
  </si>
  <si>
    <t>Nhựa MC 25mm*500mm*500mm</t>
  </si>
  <si>
    <t>MC Plate 25mm*500mm*500mm</t>
  </si>
  <si>
    <t>Nhựa MC 30mm*500mm*500mm</t>
  </si>
  <si>
    <t>MC Plate 30mm*500mm*500mm</t>
  </si>
  <si>
    <t>Nhựa PC 3mm*2440mm*1220mm</t>
  </si>
  <si>
    <t>PC Plate 3mm*2440mm*1220mm</t>
  </si>
  <si>
    <t>Nhựa PC 5mm*2400mm*1200mm</t>
  </si>
  <si>
    <t>PC Plate 5mm*2400mm*1200mm</t>
  </si>
  <si>
    <t>Nhựa PC 10mm*2400mm*1200mm</t>
  </si>
  <si>
    <t>PC Plate 10mm*2400mm*1200mm</t>
  </si>
  <si>
    <t>Mặt bàn xanh dán cạnh viền KT:1205x600x18mm</t>
  </si>
  <si>
    <t>The face of the table size:1205x600x18mm</t>
  </si>
  <si>
    <t>Mặt bàn xanh dán cạnh viền KT:1205x550x18mm</t>
  </si>
  <si>
    <t>The face of the table size:1205x550x18mm</t>
  </si>
  <si>
    <t>Mặt bàn xanh dán cạnh viền KT:1205x500x18mm</t>
  </si>
  <si>
    <t>The face of the table size:1205x500x18mm</t>
  </si>
  <si>
    <t>Mặt bàn xanh dán cạnh viền KT:1205x350x18mm</t>
  </si>
  <si>
    <t>The face of the table size:1205x350x18mm</t>
  </si>
  <si>
    <t>Mặt bàn xanh dán cạnh viền KT:1305x600x18mm</t>
  </si>
  <si>
    <t>The face of the table size:1305x600x18mm</t>
  </si>
  <si>
    <t>Mặt bàn xanh dán cạnh viền KT:1305x700x18mm</t>
  </si>
  <si>
    <t>The face of the table size:1305x700x18mm</t>
  </si>
  <si>
    <t>Mặt bàn xanh dán cạnh viền KT:1305x900x18mm</t>
  </si>
  <si>
    <t>The face of the table size:1305x900x18mm</t>
  </si>
  <si>
    <t>Mặt bàn xanh dán cạnh viền KT:1305x1000x18mm</t>
  </si>
  <si>
    <t>The face of the table size:1305x1000x18mm</t>
  </si>
  <si>
    <t>Đèn cảnh báo Ø45mm LTE-5041 5W (AC220, BL)</t>
  </si>
  <si>
    <t>Warning light Ø45mm LTE-5041 5W (AC220, BL)</t>
  </si>
  <si>
    <t>Đèn cảnh báo Ø45mm LTE-5041 5W (AC220, GR)</t>
  </si>
  <si>
    <t>Warning light Ø45mm LTE-5041 5W (AC220, GR)</t>
  </si>
  <si>
    <t>Đèn cảnh báo Ø45mm LTE-5041 5W (AC220, R)</t>
  </si>
  <si>
    <t>Warning light Ø45mm LTE-5041 5W (AC220, R)</t>
  </si>
  <si>
    <t>Máy vặn vít điện BLG-5000-18</t>
  </si>
  <si>
    <t>ELECTRIC SCREWDRIVER BLG-5000-18</t>
  </si>
  <si>
    <t>Máy khoan và vặn vít dùng pin (BL)(18V) (kèm 02 pin 3.0 + sạc nhanh ) DDF484RFE</t>
  </si>
  <si>
    <t>Driver drill DDF484RFE</t>
  </si>
  <si>
    <t>Máy khoan và vặn vít dùng pin 40V DF001GM201</t>
  </si>
  <si>
    <t>Driver drill DF001GM201</t>
  </si>
  <si>
    <t>Máy khoan động lực dùng pin 18V DHP489RTJ</t>
  </si>
  <si>
    <t>Driver drill DHP489RTJ</t>
  </si>
  <si>
    <t>Máy khoan búa và vặn vít dùng pin (BL)(40V) (kèm 02 pin 4.0Ah + sạc nhanh) HP001GM201</t>
  </si>
  <si>
    <t>Driver drill HP001GM201</t>
  </si>
  <si>
    <t>Bút tra dầu ID-FD-185-L, đầu bút size L</t>
  </si>
  <si>
    <t>Dây điện Cadisun 1 lõi 1*0.75mm (màu Vàng, 200m/cuộn)</t>
  </si>
  <si>
    <t>Wire Cadisun 1*0.75mm</t>
  </si>
  <si>
    <t>Đèn báo màu đỏ có còi AD16-22SM 220V</t>
  </si>
  <si>
    <t>Warning light with buzzer AD16-22SM 220V</t>
  </si>
  <si>
    <t>Đèn báo màu đỏ có còi AD16-22SM 24V</t>
  </si>
  <si>
    <t>Warning light with buzzer AD16-22SM 24V</t>
  </si>
  <si>
    <t>Nút nhấn màu xanh không đèn YW1B-M1E11G</t>
  </si>
  <si>
    <t>Push button YW1B-M1E11G</t>
  </si>
  <si>
    <t>Nút nhấn màu đỏ không đèn YW1B-M1E11R</t>
  </si>
  <si>
    <t>Push button YW1B-M1E11R</t>
  </si>
  <si>
    <t>Cuộn nhựa PVC trong, KT: 2mmx1.2mx20m</t>
  </si>
  <si>
    <t>PVC Roll in Size:2mmx1.2mx20m</t>
  </si>
  <si>
    <t>Nút nhựa PP30ND (For PS70S-L)  (50 cái/gói)</t>
  </si>
  <si>
    <t>Non Drip Plunger PP30ND (For PS70S-L) (50pcs/pack)</t>
  </si>
  <si>
    <t>Nhựa BAKELITE đen CTĐ KT: 2000*1000*8mm</t>
  </si>
  <si>
    <t>Bakelite Plate size: 2000*1000*8mm</t>
  </si>
  <si>
    <t>Dây điện màu xám Cadisun 3*2.5mm (200m/cuộn)</t>
  </si>
  <si>
    <t>Wire Cadisun 3*2.5mm</t>
  </si>
  <si>
    <t>Wire Cadisun 2*1.5mm</t>
  </si>
  <si>
    <t>Dây điện màu vàng, dây ô van Cadisun 2*1.5mm (100m/cuộn)</t>
  </si>
  <si>
    <t>Dầu nhờn HLV-60 (10 can/box )</t>
  </si>
  <si>
    <t>DRYSURF HLV-60 (10 can/box )</t>
  </si>
  <si>
    <t>Ống đựng keo 70ml có vạch giới hạn (màu vàng chanh)</t>
  </si>
  <si>
    <t>Plastic barrel 70ml with lines (Lemon Yellow)</t>
  </si>
  <si>
    <t>Tấm kim loại D02R1C001 (được dập bằng thép, sử dụng cho máy in, kích thước 0.02x9.6x9.6 mm)</t>
  </si>
  <si>
    <t>SPACER CYL2 20 FC D02R1C001</t>
  </si>
  <si>
    <t>Tấm kim loại D02R1D001 (được dập bằng thép, sử dụng cho máy in, kích thước 0.04x9.6x9.6 mm)</t>
  </si>
  <si>
    <t>SPACER CYL2 40 FC D02R1D001</t>
  </si>
  <si>
    <t>Gương 5X (11.5cm)</t>
  </si>
  <si>
    <t>Handheld Miror 5X (11.5cm)</t>
  </si>
  <si>
    <t>Kính lúp cầm tay 5X - 10X có đèn Chuda</t>
  </si>
  <si>
    <t>Chuda 5X - 10X handheld magnifier with light</t>
  </si>
  <si>
    <t>Máy nhỏ keo SDP400</t>
  </si>
  <si>
    <t>Dispenser SDP400</t>
  </si>
  <si>
    <t>Giấy A4 Accura định lượng 70gsm</t>
  </si>
  <si>
    <t>Accura paper 70gsm</t>
  </si>
  <si>
    <t>Máy nhỏ keo AD3300C</t>
  </si>
  <si>
    <t>Glue Dispenser AD3300C</t>
  </si>
  <si>
    <t>Đầu dò dùng cho thiết bị kiểm tra bo mạch điện tử PTP-4R1L-3GA</t>
  </si>
  <si>
    <t>Test probe PTP-4R1L-3GA</t>
  </si>
  <si>
    <t>Nút nhấn AR22V0R-11R</t>
  </si>
  <si>
    <t>Emergency Stop Push button AR22V0R-11R</t>
  </si>
  <si>
    <t>Vòng đeo tay cao su 0.8 N.m</t>
  </si>
  <si>
    <t>Wrist strap 0.8 N.m</t>
  </si>
  <si>
    <t>Vòng đeo tay cao su 0.5 N.m</t>
  </si>
  <si>
    <t>Wrist strap 0.5 N.m</t>
  </si>
  <si>
    <t>Vòng đeo tay cao su 0.6 N.m</t>
  </si>
  <si>
    <t>Wrist strap 0.6 N.m</t>
  </si>
  <si>
    <t>Vòng đeo tay cao su 0.4 N.m</t>
  </si>
  <si>
    <t>Wrist strap 0.4 N.m</t>
  </si>
  <si>
    <t>Rơ le G6D-F4B DC24</t>
  </si>
  <si>
    <t>Relay G6D-F4B DC24</t>
  </si>
  <si>
    <t>Đèn tháp LR4-302LJBW-RYG</t>
  </si>
  <si>
    <t>LED Signal Tower LR4-302LJBW-RYG</t>
  </si>
  <si>
    <t>Màn hình MT8052iP</t>
  </si>
  <si>
    <t>Display MT8052iP</t>
  </si>
  <si>
    <t>Màn hình MT8072iP</t>
  </si>
  <si>
    <t>Display MT8072iP</t>
  </si>
  <si>
    <t>Đèn cảnh báo xoay  Ø45mm, có còi LTE-5041J 5W (DC24V, GR)</t>
  </si>
  <si>
    <t>Warning light LTE-5041J 5W (DC24V, GR)</t>
  </si>
  <si>
    <t>Khóa khí tay gạt 8-8 ID-KK88-AL, bao gồm đồ gá van bằng nhôm</t>
  </si>
  <si>
    <t>Air lock valve</t>
  </si>
  <si>
    <t>Hộp hiển thị 2, HHT2-XĐ-BGLK-002</t>
  </si>
  <si>
    <t>Electric box</t>
  </si>
  <si>
    <t>Ắc quy Vision 6FM45-X ( 12V-45Ah)</t>
  </si>
  <si>
    <t>Battery</t>
  </si>
  <si>
    <t>Hộp điện M,ID-HĐM-LCD4.3-BGLK (220mmx150mmx100mm)</t>
  </si>
  <si>
    <t>Hộp hiển thị 2, HHT2-CVRM-BGLK-002</t>
  </si>
  <si>
    <t>Hộp hiển thị 1, HHT1-CV-BGLK-001</t>
  </si>
  <si>
    <t>Thẻ FRID loại chưa ghi ISO card (6037848)</t>
  </si>
  <si>
    <t>Transponder</t>
  </si>
  <si>
    <t>Màn hình cMT2078X</t>
  </si>
  <si>
    <t>Touch screen cMT2078X</t>
  </si>
  <si>
    <t>Mạch điện tử tích hợp ESP32-COLLECTOR-V3</t>
  </si>
  <si>
    <t>PCB ESP32-COLLECTOR-V3</t>
  </si>
  <si>
    <t>Đèn Led kiểm tra ngoại quan với nguồn chuyển đổi điện áp 100V-240V</t>
  </si>
  <si>
    <t>LED LIGHT FOR CHECKING SURFACE FLAWS WITH POWER SUPPLY MODULE (100~240V, 50/60Hz, SE PLUG)</t>
  </si>
  <si>
    <t>Đầu nối khí KQ2H10-12A</t>
  </si>
  <si>
    <t>Fitting</t>
  </si>
  <si>
    <t>Đầu nối khí KQ2T12-00A</t>
  </si>
  <si>
    <t>Đầu nối khí KQ2T06-00A</t>
  </si>
  <si>
    <t>Đầu nối khí KQ2H06-03AS</t>
  </si>
  <si>
    <t>Đầu nối khí KQ2H10-03AS</t>
  </si>
  <si>
    <t>Đầu nối khí KQ2H06-01AS</t>
  </si>
  <si>
    <t>Đầu nối khí KQ2H04-01AS</t>
  </si>
  <si>
    <t>Đầu nối khí KQ2H10-01AS</t>
  </si>
  <si>
    <t>Đầu nối khí KQ2H10-02AS</t>
  </si>
  <si>
    <t>Đầu nối khí KQ2H08-02AS</t>
  </si>
  <si>
    <t>Đầu nối khí KQ2H06-02AS</t>
  </si>
  <si>
    <t>Đầu nối khí KQ2T08-06A</t>
  </si>
  <si>
    <t>Đầu nối khí KQ2T08-00A</t>
  </si>
  <si>
    <t>Lõi lọc ZFC-EL-4</t>
  </si>
  <si>
    <t>Filter Element</t>
  </si>
  <si>
    <t>Van bi tay gạt KQ2H08-00AS-KK-B</t>
  </si>
  <si>
    <t>Finger Valve</t>
  </si>
  <si>
    <t>Bánh xe ST-75S</t>
  </si>
  <si>
    <t>Caster wheel ST-75S</t>
  </si>
  <si>
    <t>Bánh xe SK-75</t>
  </si>
  <si>
    <t>CASTER SK-75</t>
  </si>
  <si>
    <t>Bộ khớp bắt bánh xe CM-200</t>
  </si>
  <si>
    <t>Wheel Coupling CM-200</t>
  </si>
  <si>
    <t>Ống đựng keo 50ml có vạch giới hạn màu tím nhạt PS50S-L-LP</t>
  </si>
  <si>
    <t>Plastic barrel 50ml with lines (Light Purple) PS50S-L-LP</t>
  </si>
  <si>
    <t>Cảm biến quang E3T-SL21M 2M</t>
  </si>
  <si>
    <t>Photoelectric Sensor E3T-SL21M 2M</t>
  </si>
  <si>
    <t>Pin Makita BL1860B 6Ah-18V</t>
  </si>
  <si>
    <t>Makita BL1860B battery 6Ah-18V</t>
  </si>
  <si>
    <t>Bộ lọc LK7570001</t>
  </si>
  <si>
    <t>Filter Mini13low LK7570001</t>
  </si>
  <si>
    <t>Gương tròn cầm tay</t>
  </si>
  <si>
    <t>Round hand held mirror</t>
  </si>
  <si>
    <t>Pin sạc Fenix ARB-L18-4000</t>
  </si>
  <si>
    <t>Rechargable Battery ARB-L18-4000</t>
  </si>
  <si>
    <t>ĐẦU CẢM BIẾN MÀU LR-WF10</t>
  </si>
  <si>
    <t>RGB PHOTOELECTRIC SENSOR (SENSOR HEAD) LR-WF10</t>
  </si>
  <si>
    <t>Mạch điều khiển IDM-WD1032-EL3H7 (Cổng RS232, chân đực, cong, bao gồm modul Wifi )</t>
  </si>
  <si>
    <t>PCB Wifi Module</t>
  </si>
  <si>
    <t>Đồ gá ID-POKAYOKE 1</t>
  </si>
  <si>
    <t>Jig</t>
  </si>
  <si>
    <t>Máy bắn vít BLG-5000-18</t>
  </si>
  <si>
    <t>Ống đựng keo có vạch giới hạn màu hồng nhạt</t>
  </si>
  <si>
    <t>Plastic barrel light pink with lines</t>
  </si>
  <si>
    <t>Mặt nạ (phin 6003)</t>
  </si>
  <si>
    <t>Mask (film 6003)</t>
  </si>
  <si>
    <t>Kìm cắt nhựa</t>
  </si>
  <si>
    <t>Plastic Nipper</t>
  </si>
  <si>
    <t>nganng</t>
  </si>
  <si>
    <t>Ream</t>
  </si>
  <si>
    <t>Box</t>
  </si>
  <si>
    <t>Sheet</t>
  </si>
  <si>
    <t>Tube</t>
  </si>
  <si>
    <t>Pails</t>
  </si>
  <si>
    <t>Pail</t>
  </si>
  <si>
    <t>Can</t>
  </si>
  <si>
    <t>Kg</t>
  </si>
  <si>
    <t>Roll</t>
  </si>
  <si>
    <t>Bottle</t>
  </si>
  <si>
    <t>Cuộn</t>
  </si>
  <si>
    <t>Bag</t>
  </si>
  <si>
    <t>Chiếc</t>
  </si>
  <si>
    <t>Tuyp</t>
  </si>
  <si>
    <t>Pack</t>
  </si>
  <si>
    <t>BTL</t>
  </si>
  <si>
    <t>Pcs</t>
  </si>
  <si>
    <t>Túi</t>
  </si>
  <si>
    <t>M</t>
  </si>
  <si>
    <t>chai</t>
  </si>
  <si>
    <t>Lon</t>
  </si>
  <si>
    <t>Gói</t>
  </si>
  <si>
    <t>Set</t>
  </si>
  <si>
    <t>m2</t>
  </si>
  <si>
    <t>Tấm</t>
  </si>
  <si>
    <t>cái</t>
  </si>
  <si>
    <t>Thanh</t>
  </si>
  <si>
    <t>Pc</t>
  </si>
  <si>
    <t>Ống</t>
  </si>
  <si>
    <t>Bộ</t>
  </si>
  <si>
    <t>Bịch</t>
  </si>
  <si>
    <t>Đôi</t>
  </si>
  <si>
    <t>Tờ</t>
  </si>
  <si>
    <t>Mét</t>
  </si>
  <si>
    <t>Tập</t>
  </si>
  <si>
    <t>Hộp</t>
  </si>
  <si>
    <t>Unit</t>
  </si>
  <si>
    <t>Pce</t>
  </si>
  <si>
    <t>USD</t>
  </si>
  <si>
    <t>VND</t>
  </si>
  <si>
    <t>JPY</t>
  </si>
  <si>
    <t>DAP</t>
  </si>
  <si>
    <t>DDP</t>
  </si>
  <si>
    <t>FCA</t>
  </si>
  <si>
    <t>CIP</t>
  </si>
  <si>
    <t>EXW</t>
  </si>
  <si>
    <t>CPT</t>
  </si>
  <si>
    <t>CIF</t>
  </si>
  <si>
    <t>FOB</t>
  </si>
  <si>
    <t>By Sea</t>
  </si>
  <si>
    <t/>
  </si>
  <si>
    <t>By Truck</t>
  </si>
  <si>
    <t>JAPAN</t>
  </si>
  <si>
    <t>By Air</t>
  </si>
  <si>
    <t>HONG KONG</t>
  </si>
  <si>
    <t>Hong Kong</t>
  </si>
  <si>
    <t>NOI BAI</t>
  </si>
  <si>
    <t>YOKOHAMA</t>
  </si>
  <si>
    <t>HAI PHONG</t>
  </si>
  <si>
    <t>Hai Phong</t>
  </si>
  <si>
    <t>Japan</t>
  </si>
  <si>
    <t>TOKYO</t>
  </si>
  <si>
    <t>HA NOI</t>
  </si>
  <si>
    <t>China</t>
  </si>
  <si>
    <t>By DHL</t>
  </si>
  <si>
    <t>Zhuhai</t>
  </si>
  <si>
    <t>Noi Bai</t>
  </si>
  <si>
    <t>30 Days AMS</t>
  </si>
  <si>
    <t>30 days after month end delivery</t>
  </si>
  <si>
    <t>T/T AT THE ２８TH OF THE NEXT MONTH</t>
  </si>
  <si>
    <t>By TTR within 60 days after the day end of delivery month</t>
  </si>
  <si>
    <t>30 day A.M.S</t>
  </si>
  <si>
    <t>TTR 100% invoice amount at the end of month after invoicing month</t>
  </si>
  <si>
    <t>T/T at 60 days from end of month of shipment</t>
  </si>
  <si>
    <t>60 days TT after month end of delivery date</t>
  </si>
  <si>
    <t>T/T net 30 days from date  of invoice</t>
  </si>
  <si>
    <t>60 days after month
 end delivery</t>
  </si>
  <si>
    <t>Bank tranfer after receiving30 days</t>
  </si>
  <si>
    <t>60 days after month end delivery</t>
  </si>
  <si>
    <t>Bank tranfer after receiving 30 days</t>
  </si>
  <si>
    <t>TT 30 days after receiving goods</t>
  </si>
  <si>
    <t>100% by T/T at the end of the month</t>
  </si>
  <si>
    <t>30 days from the end of the delivery month</t>
  </si>
  <si>
    <t>By TTR after 60 days after month end of delivery date</t>
  </si>
  <si>
    <t>TT at the 28th of the next month</t>
  </si>
  <si>
    <t>A.M.S 30 day</t>
  </si>
  <si>
    <t>TT 30 after receiving goods</t>
  </si>
  <si>
    <t>Bank remittance at the 25th of following month</t>
  </si>
  <si>
    <t>T/T AT THE 28TH OF THE NEXT MONTH</t>
  </si>
  <si>
    <t>30 days AMS</t>
  </si>
  <si>
    <t>Within 30 days after shipment ETD base</t>
  </si>
  <si>
    <t>30 days after  month end delivery</t>
  </si>
  <si>
    <t>By T/T Remittance 60 days after month end  delivery</t>
  </si>
  <si>
    <t>T/T on end. of following month based on invoice date</t>
  </si>
  <si>
    <t>60 days after the end of the month of invoicing</t>
  </si>
  <si>
    <t>TT Remittance within 60 days after delivery month</t>
  </si>
  <si>
    <t>Within 60 days after delivery, paymet by TT in USD</t>
  </si>
  <si>
    <t>60 day from month end date</t>
  </si>
  <si>
    <t>60 Days from month end date</t>
  </si>
  <si>
    <t>60 days from month end date</t>
  </si>
  <si>
    <t>30</t>
  </si>
  <si>
    <t>60</t>
  </si>
  <si>
    <t>2000, 5000 or 10000</t>
  </si>
  <si>
    <t>10, 20, 30</t>
  </si>
  <si>
    <t>10,30</t>
  </si>
  <si>
    <t>Theo Yêu cầu của NCC</t>
  </si>
  <si>
    <t>30/10/2026</t>
  </si>
  <si>
    <t>24/7/2025</t>
  </si>
  <si>
    <t>\\apbivnsh05\PUR\PUR-PP\02_ INDIRECT\02.注文Dat hang\05.Bao gia\AKANE\Báo giá T10.pdf</t>
  </si>
  <si>
    <t>\\apbivnsh05\PUR\PUR-PP\02_ INDIRECT\02.注文Dat hang\05.Bao gia\Shim\ARMSTRONG\2026.01.08 QTN 5 items.pdf</t>
  </si>
  <si>
    <t>\\apbivnsh05\PUR\PUR-PP\02_ INDIRECT\02.注文Dat hang\05.Bao gia\AZ\2025\QUO-BROTHER-1.7.2025.2 (Báo giá SMC_ Hàng Code A000…).pdf</t>
  </si>
  <si>
    <t>\\apbivnsh05\PUR\PUR-PP\02_ INDIRECT\02.注文Dat hang\05.Bao gia\AZ\2025\A722~A736..pdf</t>
  </si>
  <si>
    <t>\\apbivnsh05\PUR\PUR-PP\02_ INDIRECT\02.注文Dat hang\05.Bao gia\AZ\2025\A737; A738..pdf</t>
  </si>
  <si>
    <t>\\apbivnsh05\PUR\PUR-PP\02_ INDIRECT\02.注文Dat hang\05.Bao gia\BIHK\BRQ-0267-2025-J4BNRIXJ.pdf</t>
  </si>
  <si>
    <t>\\apbivnsh05\PUR\PUR-PP\02_ INDIRECT\02.注文Dat hang\05.Bao gia\CTS\E150 (2024)\BROTHER_310326_T4.2026.pdf</t>
  </si>
  <si>
    <t>\\apbivnsh05\PUR\PUR-PP\02_ INDIRECT\02.注文Dat hang\05.Bao gia\CTS\E316\2026\Q4-T9.2026.pdf</t>
  </si>
  <si>
    <t>31/7/2026</t>
  </si>
  <si>
    <t>31/8/2026</t>
  </si>
  <si>
    <t>\\apbivnsh05\PUR\PUR-PP\02_ INDIRECT\02.注文Dat hang\05.Bao gia\Danko\2026\QT_BIVN_NC02_ 26073102.pdf</t>
  </si>
  <si>
    <t>\\apbivnsh05\PUR\PUR-PP\02_ INDIRECT\02.注文Dat hang\05.Bao gia\Danko\2026\QT_E96_99_BIVN T4 2026.pdf</t>
  </si>
  <si>
    <t>24/4/2026</t>
  </si>
  <si>
    <t>24/7/2026</t>
  </si>
  <si>
    <t>23/3/2026</t>
  </si>
  <si>
    <t>25/5/2026</t>
  </si>
  <si>
    <t>23/9/2026</t>
  </si>
  <si>
    <t>\\apbivnsh05\PUR\PUR-PP\02_ INDIRECT\02.注文Dat hang\05.Bao gia\Doan An\2026\BIVN-PR1-MC-3_241028_01-R.00 (mã E).pdf</t>
  </si>
  <si>
    <t>\\apbivnsh05\PUR\PUR-PP\02_ INDIRECT\02.注文Dat hang\05.Bao gia\Doan An\2026\BIVN-PR1-MC-3_241028_02-R.00 (hàng mã A).pdf</t>
  </si>
  <si>
    <t>\\apbivnsh05\PUR\PUR-PP\02_ INDIRECT\02.注文Dat hang\05.Bao gia\Doan An\2026\E90- T8.pdf</t>
  </si>
  <si>
    <t>26/8/2026</t>
  </si>
  <si>
    <t>25/10/2026</t>
  </si>
  <si>
    <t>23/4/2026</t>
  </si>
  <si>
    <t>23/6/2026</t>
  </si>
  <si>
    <t>\\apbivnsh05\PUR\PUR-PP\02_ INDIRECT\02.注文Dat hang\05.Bao gia\Douyee\2026\Quotation_List hang thuong xuyen_BIVN_20.04.2026.pdf</t>
  </si>
  <si>
    <t>18/9/2026</t>
  </si>
  <si>
    <t>\\apbivnsh05\PUR\PUR-PP\02_ INDIRECT\02.注文Dat hang\05.Bao gia\Elematec\E377-Thang 9.pdf</t>
  </si>
  <si>
    <t>\\apbivnsh05\PUR\PUR-PP\02_ INDIRECT\02.注文Dat hang\05.Bao gia\Elematec\Tháng 7.pdf</t>
  </si>
  <si>
    <t>27/5/2026</t>
  </si>
  <si>
    <t>19/5/2026</t>
  </si>
  <si>
    <t>\\apbivnsh05\PUR\PUR-PP\02_ INDIRECT\02.注文Dat hang\05.Bao gia\Epic\2026.pdf</t>
  </si>
  <si>
    <t>\\apbivnsh05\PUR\PUR-PP\02_ INDIRECT\02.注文Dat hang\05.Bao gia\Shim\FANCY\BIVN-FCVN2024-12-01.pdf</t>
  </si>
  <si>
    <t>\\apbivnsh05\PUR\PUR-PP\02_ INDIRECT\02.注文Dat hang\05.Bao gia\Shim\FIT\QTN20250815 PART SHIM.pdf</t>
  </si>
  <si>
    <t>15/8/2025</t>
  </si>
  <si>
    <t>19/6/2026</t>
  </si>
  <si>
    <t>\\apbivnsh05\PUR\PUR-PP\02_ INDIRECT\02.注文Dat hang\05.Bao gia\Friend VN\2026\BIVN_FHK-R1 NEW.pdf</t>
  </si>
  <si>
    <t>\\apbivnsh05\PUR\PUR-PP\02_ INDIRECT\02.注文Dat hang\05.Bao gia\Hà sơn\Quotation list hàng BIVN-HS 250704.pdf</t>
  </si>
  <si>
    <t>\\apbivnsh05\PUR\PUR-PP\02_ INDIRECT\02.注文Dat hang\05.Bao gia\Hacotech\2026\HC-BR-2605-E (25-5-2025) Báo giá nguyên liệu mã E (Cập nhật tháng 5-2026).pdf</t>
  </si>
  <si>
    <t>\\apbivnsh05\PUR\PUR-PP\02_ INDIRECT\02.注文Dat hang\05.Bao gia\Hacotech\2026\HC-BR-2605-A (25-5-2026)  Báo giá hàng mã A (Cập nhật tháng 5-2026).pdf</t>
  </si>
  <si>
    <t>\\apbivnsh05\PUR\PUR-PP\02_ INDIRECT\02.注文Dat hang\05.Bao gia\Hacotech\2026\A000754.pdf</t>
  </si>
  <si>
    <t>\\apbivnsh05\PUR\PUR-PP\02_ INDIRECT\02.注文Dat hang\05.Bao gia\Hacotech\2026\A000765_MẶT NA 6003.pdf</t>
  </si>
  <si>
    <t>14/9/2026</t>
  </si>
  <si>
    <t>\\apbivnsh05\PUR\PUR-PP\02_ INDIRECT\02.注文Dat hang\05.Bao gia\Index\2026\INDEX BaoGia-Ma A Update08.09.2026.pdf</t>
  </si>
  <si>
    <t>\\apbivnsh05\PUR\PUR-PP\02_ INDIRECT\02.注文Dat hang\05.Bao gia\Hoang Ha\2026\BÁO GIÁ HH-BROTHER-E Leadtime Mới.pdf</t>
  </si>
  <si>
    <t>\\apbivnsh05\PUR\PUR-PP\02_ INDIRECT\02.注文Dat hang\05.Bao gia\Hoang Ha\2026\BÁO GIÁ HH-BROTHER-A Leadtime Mới.pdf</t>
  </si>
  <si>
    <t>E000400</t>
  </si>
  <si>
    <t>\\apbivnsh05\PUR\PUR-PP\02_ INDIRECT\02.注文Dat hang\05.Bao gia\Hoang Ha\2026\E000400_Hoàng Hà dây thít.pdf</t>
  </si>
  <si>
    <t>Dây thít cáp bằng nhựa CV-
200MB, kích thước 203mm
x 2.5mm, màu đen, dùng để
cố định và bó dây điện hoặc
dây cáp, đóng gói 100 cái/túi</t>
  </si>
  <si>
    <t>Cable Tie CV-200MB</t>
  </si>
  <si>
    <t>KSS/ Taiwan</t>
  </si>
  <si>
    <t>30/12/2026</t>
  </si>
  <si>
    <t>\\apbivnsh05\PUR\PUR-PP\02_ INDIRECT\02.注文Dat hang\05.Bao gia\HK JINGSHUO\2026\T10.pdf</t>
  </si>
  <si>
    <t>\\apbivnsh05\PUR\PUR-PP\02_ INDIRECT\02.注文Dat hang\05.Bao gia\HK JINGSHUO\2026\E000335报价单 20260116.pdf</t>
  </si>
  <si>
    <t>\\apbivnsh05\PUR\PUR-PP\02_ INDIRECT\02.注文Dat hang\05.Bao gia\Hop Long\2026\BGHL2609150331_A704.pdf</t>
  </si>
  <si>
    <t>15/9/2026</t>
  </si>
  <si>
    <t>15/10/2026</t>
  </si>
  <si>
    <t>\\apbivnsh05\PUR\PUR-PP\02_ INDIRECT\02.注文Dat hang\05.Bao gia\Hop Long\2026\BGHL2607310128.pdf</t>
  </si>
  <si>
    <t>Lý do tăng giá
Remark</t>
  </si>
  <si>
    <t>30/9/2026</t>
  </si>
  <si>
    <t>\\apbivnsh05\PUR\PUR-PP\02_ INDIRECT\02.注文Dat hang\05.Bao gia\Inoac\2024\05122024163206-0001.pdf</t>
  </si>
  <si>
    <t>\\apbivnsh05\PUR\PUR-PP\02_ INDIRECT\02.注文Dat hang\05.Bao gia\Ishikawa\2026\T10.pdf</t>
  </si>
  <si>
    <t>31/10/2026</t>
  </si>
  <si>
    <t>28/7/2026</t>
  </si>
  <si>
    <t>\\apbivnsh05\PUR\PUR-PP\02_ INDIRECT\02.注文Dat hang\05.Bao gia\Iwase\2026\BIVN-20260728-01.pdf</t>
  </si>
  <si>
    <t>28/8/2026</t>
  </si>
  <si>
    <t>\\apbivnsh05\PUR\PUR-PP\02_ INDIRECT\02.注文Dat hang\05.Bao gia\Iwase\2026\BIVN-20260529-03.pdf</t>
  </si>
  <si>
    <t>29/5/2026</t>
  </si>
  <si>
    <t>29/6/2026</t>
  </si>
  <si>
    <t>\\apbivnsh05\PUR\PUR-PP\02_ INDIRECT\02.注文Dat hang\05.Bao gia\Kamogawa\2026\Thang 8.pdf</t>
  </si>
  <si>
    <t>\\apbivnsh05\PUR\PUR-PP\02_ INDIRECT\02.注文Dat hang\05.Bao gia\Kantokansei\2026\T9_BIVN 20260901.pdf</t>
  </si>
  <si>
    <t>E000401</t>
  </si>
  <si>
    <t>E000402</t>
  </si>
  <si>
    <t>Mỡ bôi trơn BG-P2</t>
  </si>
  <si>
    <t>Mỡ bôi trơn BG-UT</t>
  </si>
  <si>
    <t>FLOIL BG-P2</t>
  </si>
  <si>
    <t>FLOIL BG-UT</t>
  </si>
  <si>
    <t>\\apbivnsh05\PUR\PUR-PP\02_ INDIRECT\02.注文Dat hang\05.Bao gia\Katecs\ＧＲＥＡＳＥ 見積書 (dầu).pdf</t>
  </si>
  <si>
    <t>\\apbivnsh05\PUR\PUR-PP\02_ INDIRECT\02.注文Dat hang\05.Bao gia\Shim\Muramoto\QTN shim items.pdf</t>
  </si>
  <si>
    <t>\\apbivnsh05\PUR\PUR-PP\02_ INDIRECT\02.注文Dat hang\05.Bao gia\Keyence\2026\Quotation_10372547_BROTHER INDUSTRIES (VIETNAM) CO.  LTD.pdf</t>
  </si>
  <si>
    <t>30/6/2026</t>
  </si>
  <si>
    <t>30/7/2026</t>
  </si>
  <si>
    <t>L4ANISH</t>
  </si>
  <si>
    <t>NISHI TOKYO CHEMIX CORPORATION</t>
  </si>
  <si>
    <t>\\apbivnsh05\PUR\PUR-PP\02_ INDIRECT\02.注文Dat hang\05.Bao gia\Nishi Tokyo\Quotation(BIVN)20260910-001.pdf</t>
  </si>
  <si>
    <t>\\apbivnsh05\PUR\PUR-PP\02_ INDIRECT\02.注文Dat hang\05.Bao gia\KSMC\Tháng 8.pdf</t>
  </si>
  <si>
    <t>14/5/2026</t>
  </si>
  <si>
    <t>13/6/2026</t>
  </si>
  <si>
    <t>\\apbivnsh05\PUR\PUR-PP\02_ INDIRECT\02.注文Dat hang\05.Bao gia\KT Sáng Tạo\E000394_BG Loctite 272,50ml - 052026.pdf</t>
  </si>
  <si>
    <t>Chưa có</t>
  </si>
  <si>
    <t>\\apbivnsh05\PUR\PUR-PP\02_ INDIRECT\02.注文Dat hang\05.Bao gia\Luki tape\2026\BÁO GIÁ BROTHER T5.2026.pdf</t>
  </si>
  <si>
    <t>\\apbivnsh05\PUR\PUR-PP\02_ INDIRECT\02.注文Dat hang\05.Bao gia\Mejitsu\2025\Quotation list-BIVN PR.pdf</t>
  </si>
  <si>
    <t>\\apbivnsh05\PUR\PUR-PP\02_ INDIRECT\02.注文Dat hang\05.Bao gia\Mejitsu\2025\Quotation list-BIVN 01.pdf</t>
  </si>
  <si>
    <t>\\apbivnsh05\PUR\PUR-PP\02_ INDIRECT\02.注文Dat hang\05.Bao gia\Misumi\Tháng 9.pdf</t>
  </si>
  <si>
    <t>\\apbivnsh05\PUR\PUR-PP\02_ INDIRECT\02.注文Dat hang\05.Bao gia\Nihondenkel\Sale Quotation-NDVQ-253974R1.pdf</t>
  </si>
  <si>
    <t>\\apbivnsh05\PUR\PUR-PP\02_ INDIRECT\02.注文Dat hang\05.Bao gia\Nihon Superior\2026\T8.2026.pdf</t>
  </si>
  <si>
    <t>\\apbivnsh05\PUR\PUR-PP\02_ INDIRECT\02.注文Dat hang\05.Bao gia\Nitto JP\2026\(BIVN) quotation of price revision  (2026.06.22) .pdf</t>
  </si>
  <si>
    <t>22/6/2026</t>
  </si>
  <si>
    <t>\\apbivnsh05\PUR\PUR-PP\02_ INDIRECT\02.注文Dat hang\05.Bao gia\Nitto-BinhDuong\2026\QT_BIVN 6.7.2026.pdf</t>
  </si>
  <si>
    <t>L4AKYOK</t>
  </si>
  <si>
    <t>KYOKUTO SHOKAI CO., LTD</t>
  </si>
  <si>
    <t>\\apbivnsh05\PUR\PUR-PP\02_ INDIRECT\02.注文Dat hang\05.Bao gia\Kyokuto Shokai\ENG ver26KT-007 20260610  ブラザー工業ベトナム様　帯電防止材.pdf</t>
  </si>
  <si>
    <t>23/7/2026</t>
  </si>
  <si>
    <t>\\apbivnsh05\PUR\PUR-PP\02_ INDIRECT\02.注文Dat hang\05.Bao gia\Quoc hung\2026\BG  QUOCHUNG 05. 2026.pdf</t>
  </si>
  <si>
    <t>30/11/2026</t>
  </si>
  <si>
    <t>\\apbivnsh05\PUR\PUR-PP\02_ INDIRECT\02.注文Dat hang\05.Bao gia\Sankyo\2026\img20260601_1831.pdf</t>
  </si>
  <si>
    <t>\\apbivnsh05\PUR\PUR-PP\02_ INDIRECT\02.注文Dat hang\05.Bao gia\SEIWA\2026\E0000001.pdf</t>
  </si>
  <si>
    <t>\\apbivnsh05\PUR\PUR-PP\02_ INDIRECT\02.注文Dat hang\05.Bao gia\Sekisui\2026\SEKISUI Quotation of #830 Brother VNM (27.May.2026) Price Revision due to Middle East Situation.pdf</t>
  </si>
  <si>
    <t>\\apbivnsh05\PUR\PUR-PP\02_ INDIRECT\02.注文Dat hang\05.Bao gia\SEMECO\2026\BG bao ngón.pdf</t>
  </si>
  <si>
    <t>21/4/2026</t>
  </si>
  <si>
    <t>\\apbivnsh05\PUR\PUR-PP\02_ INDIRECT\02.注文Dat hang\05.Bao gia\Soder Coat\2026\T9.pdf</t>
  </si>
  <si>
    <t>\\apbivnsh05\PUR\PUR-PP\02_ INDIRECT\02.注文Dat hang\05.Bao gia\Systech\2026\T7 New.pdf</t>
  </si>
  <si>
    <t>E000399</t>
  </si>
  <si>
    <t>Ruy băng mực in, Wax Resin, 60mm x 270M, B110A, lõi dài 114mm</t>
  </si>
  <si>
    <t>Printing ribbon, Wax Resin, 60mm x 270M, B110A, 114mm core length</t>
  </si>
  <si>
    <t>RICOH/Việt Nam</t>
  </si>
  <si>
    <t>\\apbivnsh05\PUR\PUR-PP\02_ INDIRECT\02.注文Dat hang\05.Bao gia\Tan Binh\2025\HÀNG TIÊU HAO.pdf</t>
  </si>
  <si>
    <t>Deli/China</t>
  </si>
  <si>
    <t>25/8/2026</t>
  </si>
  <si>
    <t>\\apbivnsh05\PUR\PUR-PP\02_ INDIRECT\02.注文Dat hang\05.Bao gia\Tan Binh\2025\HÀNG TIÊU HAO (english) 1.7.2025.pdf</t>
  </si>
  <si>
    <t>\\apbivnsh05\PUR\PUR-PP\02_ INDIRECT\02.注文Dat hang\05.Bao gia\Tan Binh\2025\TB GIAY IN.pdf</t>
  </si>
  <si>
    <t>\\apbivnsh05\PUR\PUR-PP\02_ INDIRECT\02.注文Dat hang\05.Bao gia\Thang long Pack\2026\THANG LONG PACK..pdf</t>
  </si>
  <si>
    <t>\\apbivnsh05\PUR\PUR-PP\02_ INDIRECT\02.注文Dat hang\05.Bao gia\Three bond\2026.pdf</t>
  </si>
  <si>
    <t>23/1/2026</t>
  </si>
  <si>
    <t>\\apbivnsh05\PUR\PUR-PP\02_ INDIRECT\02.注文Dat hang\05.Bao gia\TSUCHYA\2026\16.4.2026.pdf</t>
  </si>
  <si>
    <t>16/4/2026</t>
  </si>
  <si>
    <t>\\apbivnsh05\PUR\PUR-PP\02_ INDIRECT\02.注文Dat hang\05.Bao gia\Việt Lợi\QUOTATION FOR BROTHER 290825.pdf</t>
  </si>
  <si>
    <t>29/8/2025</t>
  </si>
  <si>
    <t>\\apbivnsh05\PUR\PUR-PP\02_ INDIRECT\02.注文Dat hang\05.Bao gia\Vinh Thai\2026\Brother2026_7_07.pdf</t>
  </si>
  <si>
    <t>\\apbivnsh05\PUR\PUR-PP\02_ INDIRECT\02.注文Dat hang\05.Bao gia\Yamazen\2026\A239-17G.pdf</t>
  </si>
  <si>
    <t>27/7/2026</t>
  </si>
  <si>
    <t>27/8/2026</t>
  </si>
  <si>
    <t>\\apbivnsh05\PUR\PUR-PP\02_ INDIRECT\02.注文Dat hang\05.Bao gia\Yamazen\2026\T7.pdf</t>
  </si>
  <si>
    <t>\\apbivnsh05\PUR\PUR-PP\02_ INDIRECT\02.注文Dat hang\05.Bao gia\Dai-ichi\2026\9.2026\260709 Brother様_CIP (NOK KYORITSU KYODOYUSHI) KF2012 WR8137 WR5342 MULTEMP ELP_20240708 (2).pdf</t>
  </si>
  <si>
    <t>\\apbivnsh05\PUR\PUR-PP\02_ INDIRECT\02.注文Dat hang\05.Bao gia\Dai-ichi\2026\9.2026\260713 Brother様_EXW_FEDEX or KWE_(KYORITSU) NO.8137 NO.5342_20260713 (1).pdf</t>
  </si>
  <si>
    <t>\\apbivnsh05\PUR\PUR-PP\02_ INDIRECT\02.注文Dat hang\05.Bao gia\Dai-ichi\2026\9.2026\List ma A_260715 Brother様_EXW_FEDEX_(PANASONIC HIOS ISHIZAKI HASEGAWA HOZAN MIDORI ANZEN MUSASHI ELMECH KOBASHI SAN-EI TECH CONTEC OTSUKA OPTICS) 22製品_価格改定_20260715.pdf</t>
  </si>
  <si>
    <t>15/7/2026</t>
  </si>
  <si>
    <t>\\apbivnsh05\PUR\PUR-PP\02_ INDIRECT\02.注文Dat hang\05.Bao gia\Dai-ichi\2026\9.2026\List ma E_260702 Brother様_EXW_FEDEX_(SHACHIHATA 3M SHINETSU DUPONT TORAY KYORITSU) 898 (18MM) G-501 BR-2 PLUS 898 (12MM) WR9300  SA-1 (BLACK RED) _価格改定_20260701.pdf</t>
  </si>
  <si>
    <t>Check
Hết hạn: 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</si>
</sst>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1" x14ac:knownFonts="1">
    <font>
      <sz val="11"/>
      <color theme="1"/>
      <name val="Aptos Narrow"/>
      <family val="2"/>
      <scheme val="minor"/>
    </font>
    <font>
      <sz val="10"/>
      <color theme="1"/>
      <name val="Times New Roman"/>
      <family val="1"/>
    </font>
    <font>
      <b/>
      <sz val="9"/>
      <color indexed="81"/>
      <name val="Tahoma"/>
      <family val="2"/>
    </font>
    <font>
      <sz val="9"/>
      <color indexed="81"/>
      <name val="Tahoma"/>
      <family val="2"/>
    </font>
    <font>
      <sz val="10"/>
      <color theme="1"/>
      <name val="Aptos Narrow"/>
      <family val="2"/>
      <scheme val="minor"/>
    </font>
    <font>
      <b/>
      <sz val="10"/>
      <color rgb="FF0000FF"/>
      <name val="Times New Roman"/>
      <family val="1"/>
    </font>
    <font>
      <b/>
      <sz val="10"/>
      <color rgb="FFFF0000"/>
      <name val="Times New Roman"/>
      <family val="1"/>
    </font>
    <font>
      <sz val="10"/>
      <color rgb="FFFF0000"/>
      <name val="Times New Roman"/>
      <family val="1"/>
    </font>
    <font>
      <sz val="11"/>
      <color rgb="FFFF0000"/>
      <name val="Aptos Narrow"/>
      <family val="2"/>
      <scheme val="minor"/>
    </font>
    <font>
      <sz val="9"/>
      <color indexed="81"/>
      <name val="Tahoma"/>
    </font>
    <font>
      <b/>
      <sz val="9"/>
      <color indexed="81"/>
      <name val="Tahoma"/>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4" fillId="0" borderId="0" xfId="0" applyFont="1"/>
    <xf numFmtId="0" fontId="5" fillId="0" borderId="0" xfId="0" applyFont="1" applyAlignment="1">
      <alignment horizontal="center" vertical="center" wrapText="1"/>
    </xf>
    <xf numFmtId="0" fontId="4" fillId="0" borderId="0" xfId="0" applyFont="1" applyAlignment="1">
      <alignment horizontal="center"/>
    </xf>
    <xf numFmtId="0" fontId="7" fillId="0" borderId="0" xfId="0" applyFont="1" applyAlignment="1">
      <alignment horizontal="center" vertical="center"/>
    </xf>
    <xf numFmtId="0" fontId="1" fillId="0" borderId="0" xfId="0" applyFont="1" applyAlignment="1">
      <alignment vertical="center"/>
    </xf>
    <xf numFmtId="0" fontId="5" fillId="0" borderId="0" xfId="0" applyFont="1" applyAlignment="1">
      <alignment horizontal="left" vertical="center" wrapText="1"/>
    </xf>
    <xf numFmtId="0" fontId="1" fillId="0" borderId="0" xfId="0" applyFont="1" applyAlignment="1">
      <alignment vertical="center" wrapText="1"/>
    </xf>
    <xf numFmtId="164" fontId="1" fillId="0" borderId="0" xfId="0" applyNumberFormat="1" applyFont="1" applyAlignment="1">
      <alignment vertical="center"/>
    </xf>
    <xf numFmtId="0" fontId="0" fillId="0" borderId="0" xfId="0" applyAlignment="1">
      <alignment vertical="center"/>
    </xf>
    <xf numFmtId="0" fontId="0" fillId="2" borderId="0" xfId="0" applyFill="1" applyAlignment="1">
      <alignment vertical="center"/>
    </xf>
    <xf numFmtId="0" fontId="7" fillId="2" borderId="0" xfId="0" applyFont="1" applyFill="1" applyAlignment="1">
      <alignment horizontal="center" vertical="center"/>
    </xf>
    <xf numFmtId="0" fontId="5" fillId="0" borderId="1" xfId="0" applyFont="1" applyBorder="1" applyAlignment="1">
      <alignment horizontal="center" vertical="center" wrapText="1"/>
    </xf>
    <xf numFmtId="14"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applyAlignment="1">
      <alignment horizontal="left"/>
    </xf>
    <xf numFmtId="0" fontId="4" fillId="0" borderId="1" xfId="0" applyFont="1" applyBorder="1"/>
    <xf numFmtId="9" fontId="4" fillId="0" borderId="1" xfId="0" applyNumberFormat="1" applyFont="1" applyBorder="1" applyAlignment="1">
      <alignment horizontal="center"/>
    </xf>
    <xf numFmtId="0" fontId="4" fillId="0" borderId="1" xfId="0" applyFont="1" applyBorder="1" applyAlignment="1">
      <alignment horizontal="right"/>
    </xf>
    <xf numFmtId="0" fontId="4" fillId="2" borderId="1" xfId="0" applyFont="1" applyFill="1" applyBorder="1"/>
    <xf numFmtId="14" fontId="4" fillId="0" borderId="1" xfId="0" applyNumberFormat="1" applyFont="1" applyBorder="1" applyAlignment="1">
      <alignment horizontal="right"/>
    </xf>
    <xf numFmtId="0" fontId="4" fillId="0" borderId="0" xfId="0" applyFont="1" applyAlignment="1">
      <alignment horizontal="center" vertical="center" wrapText="1"/>
    </xf>
    <xf numFmtId="0" fontId="4" fillId="3" borderId="1" xfId="0" applyFont="1" applyFill="1" applyBorder="1" applyAlignment="1">
      <alignment horizontal="right"/>
    </xf>
    <xf numFmtId="14" fontId="4" fillId="3" borderId="1" xfId="0" applyNumberFormat="1" applyFont="1" applyFill="1" applyBorder="1" applyAlignment="1">
      <alignment horizontal="right"/>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2">
    <dxf>
      <fill>
        <patternFill>
          <bgColor theme="5" tint="0.39994506668294322"/>
        </patternFill>
      </fill>
      <border>
        <vertical/>
        <horizontal/>
      </border>
    </dxf>
    <dxf>
      <fill>
        <patternFill patternType="solid">
          <fgColor rgb="FFF2CEEF"/>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2063748</xdr:colOff>
      <xdr:row>12</xdr:row>
      <xdr:rowOff>76023</xdr:rowOff>
    </xdr:from>
    <xdr:to>
      <xdr:col>16</xdr:col>
      <xdr:colOff>81642</xdr:colOff>
      <xdr:row>41</xdr:row>
      <xdr:rowOff>163286</xdr:rowOff>
    </xdr:to>
    <xdr:pic>
      <xdr:nvPicPr>
        <xdr:cNvPr id="2" name="Picture 1">
          <a:extLst>
            <a:ext uri="{FF2B5EF4-FFF2-40B4-BE49-F238E27FC236}">
              <a16:creationId xmlns:a16="http://schemas.microsoft.com/office/drawing/2014/main" id="{DABE5566-1720-9379-76EB-ACB28E7AF37B}"/>
            </a:ext>
          </a:extLst>
        </xdr:cNvPr>
        <xdr:cNvPicPr>
          <a:picLocks noChangeAspect="1"/>
        </xdr:cNvPicPr>
      </xdr:nvPicPr>
      <xdr:blipFill>
        <a:blip xmlns:r="http://schemas.openxmlformats.org/officeDocument/2006/relationships" r:embed="rId1"/>
        <a:stretch>
          <a:fillRect/>
        </a:stretch>
      </xdr:blipFill>
      <xdr:spPr>
        <a:xfrm>
          <a:off x="7624534" y="2253166"/>
          <a:ext cx="9202965" cy="5348691"/>
        </a:xfrm>
        <a:prstGeom prst="rect">
          <a:avLst/>
        </a:prstGeom>
        <a:ln>
          <a:solidFill>
            <a:schemeClr val="accent1"/>
          </a:solidFill>
        </a:ln>
      </xdr:spPr>
    </xdr:pic>
    <xdr:clientData/>
  </xdr:twoCellAnchor>
  <xdr:twoCellAnchor editAs="oneCell">
    <xdr:from>
      <xdr:col>0</xdr:col>
      <xdr:colOff>0</xdr:colOff>
      <xdr:row>12</xdr:row>
      <xdr:rowOff>45357</xdr:rowOff>
    </xdr:from>
    <xdr:to>
      <xdr:col>4</xdr:col>
      <xdr:colOff>3474357</xdr:colOff>
      <xdr:row>41</xdr:row>
      <xdr:rowOff>162655</xdr:rowOff>
    </xdr:to>
    <xdr:pic>
      <xdr:nvPicPr>
        <xdr:cNvPr id="3" name="Picture 2">
          <a:extLst>
            <a:ext uri="{FF2B5EF4-FFF2-40B4-BE49-F238E27FC236}">
              <a16:creationId xmlns:a16="http://schemas.microsoft.com/office/drawing/2014/main" id="{90EA332B-423A-6C15-C80E-38ED1B120161}"/>
            </a:ext>
          </a:extLst>
        </xdr:cNvPr>
        <xdr:cNvPicPr>
          <a:picLocks noChangeAspect="1"/>
        </xdr:cNvPicPr>
      </xdr:nvPicPr>
      <xdr:blipFill>
        <a:blip xmlns:r="http://schemas.openxmlformats.org/officeDocument/2006/relationships" r:embed="rId2"/>
        <a:stretch>
          <a:fillRect/>
        </a:stretch>
      </xdr:blipFill>
      <xdr:spPr>
        <a:xfrm>
          <a:off x="0" y="2222500"/>
          <a:ext cx="7429500" cy="5378726"/>
        </a:xfrm>
        <a:prstGeom prst="rect">
          <a:avLst/>
        </a:prstGeom>
        <a:ln>
          <a:solidFill>
            <a:schemeClr val="accent1"/>
          </a:solidFill>
        </a:ln>
      </xdr:spPr>
    </xdr:pic>
    <xdr:clientData/>
  </xdr:twoCellAnchor>
  <xdr:twoCellAnchor>
    <xdr:from>
      <xdr:col>1</xdr:col>
      <xdr:colOff>136071</xdr:colOff>
      <xdr:row>15</xdr:row>
      <xdr:rowOff>72571</xdr:rowOff>
    </xdr:from>
    <xdr:to>
      <xdr:col>3</xdr:col>
      <xdr:colOff>399143</xdr:colOff>
      <xdr:row>18</xdr:row>
      <xdr:rowOff>9072</xdr:rowOff>
    </xdr:to>
    <xdr:sp macro="" textlink="">
      <xdr:nvSpPr>
        <xdr:cNvPr id="4" name="Rectangle 3">
          <a:extLst>
            <a:ext uri="{FF2B5EF4-FFF2-40B4-BE49-F238E27FC236}">
              <a16:creationId xmlns:a16="http://schemas.microsoft.com/office/drawing/2014/main" id="{8AC93553-DC07-CF36-83C8-20F8D032B2EC}"/>
            </a:ext>
          </a:extLst>
        </xdr:cNvPr>
        <xdr:cNvSpPr/>
      </xdr:nvSpPr>
      <xdr:spPr>
        <a:xfrm>
          <a:off x="743857" y="2794000"/>
          <a:ext cx="1478643" cy="480786"/>
        </a:xfrm>
        <a:prstGeom prst="rect">
          <a:avLst/>
        </a:prstGeom>
        <a:noFill/>
        <a:ln w="349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3737428</xdr:colOff>
      <xdr:row>18</xdr:row>
      <xdr:rowOff>126999</xdr:rowOff>
    </xdr:from>
    <xdr:to>
      <xdr:col>6</xdr:col>
      <xdr:colOff>716643</xdr:colOff>
      <xdr:row>20</xdr:row>
      <xdr:rowOff>136071</xdr:rowOff>
    </xdr:to>
    <xdr:sp macro="" textlink="">
      <xdr:nvSpPr>
        <xdr:cNvPr id="5" name="Rectangle 4">
          <a:extLst>
            <a:ext uri="{FF2B5EF4-FFF2-40B4-BE49-F238E27FC236}">
              <a16:creationId xmlns:a16="http://schemas.microsoft.com/office/drawing/2014/main" id="{F3AB0AA8-AEF0-2415-8684-24EE21D7E89C}"/>
            </a:ext>
          </a:extLst>
        </xdr:cNvPr>
        <xdr:cNvSpPr/>
      </xdr:nvSpPr>
      <xdr:spPr>
        <a:xfrm>
          <a:off x="9298214" y="3392713"/>
          <a:ext cx="925286" cy="37192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vi-VN" sz="1100"/>
            <a:t>Master giá</a:t>
          </a:r>
          <a:endParaRPr lang="en-US" sz="1100"/>
        </a:p>
      </xdr:txBody>
    </xdr:sp>
    <xdr:clientData/>
  </xdr:twoCellAnchor>
  <xdr:twoCellAnchor>
    <xdr:from>
      <xdr:col>3</xdr:col>
      <xdr:colOff>453572</xdr:colOff>
      <xdr:row>16</xdr:row>
      <xdr:rowOff>117929</xdr:rowOff>
    </xdr:from>
    <xdr:to>
      <xdr:col>5</xdr:col>
      <xdr:colOff>3737428</xdr:colOff>
      <xdr:row>19</xdr:row>
      <xdr:rowOff>131535</xdr:rowOff>
    </xdr:to>
    <xdr:cxnSp macro="">
      <xdr:nvCxnSpPr>
        <xdr:cNvPr id="7" name="Straight Arrow Connector 6">
          <a:extLst>
            <a:ext uri="{FF2B5EF4-FFF2-40B4-BE49-F238E27FC236}">
              <a16:creationId xmlns:a16="http://schemas.microsoft.com/office/drawing/2014/main" id="{03E37797-68F9-80D0-B5F0-BE9380DCE9BC}"/>
            </a:ext>
          </a:extLst>
        </xdr:cNvPr>
        <xdr:cNvCxnSpPr>
          <a:endCxn id="5" idx="1"/>
        </xdr:cNvCxnSpPr>
      </xdr:nvCxnSpPr>
      <xdr:spPr>
        <a:xfrm>
          <a:off x="2276929" y="3020786"/>
          <a:ext cx="7021285" cy="55789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1587500</xdr:colOff>
      <xdr:row>13</xdr:row>
      <xdr:rowOff>27215</xdr:rowOff>
    </xdr:from>
    <xdr:to>
      <xdr:col>5</xdr:col>
      <xdr:colOff>1233714</xdr:colOff>
      <xdr:row>16</xdr:row>
      <xdr:rowOff>99786</xdr:rowOff>
    </xdr:to>
    <xdr:sp macro="" textlink="">
      <xdr:nvSpPr>
        <xdr:cNvPr id="8" name="Rectangle 7">
          <a:extLst>
            <a:ext uri="{FF2B5EF4-FFF2-40B4-BE49-F238E27FC236}">
              <a16:creationId xmlns:a16="http://schemas.microsoft.com/office/drawing/2014/main" id="{BF4EB156-E67A-0B26-DC34-ABD1599219FA}"/>
            </a:ext>
          </a:extLst>
        </xdr:cNvPr>
        <xdr:cNvSpPr/>
      </xdr:nvSpPr>
      <xdr:spPr>
        <a:xfrm>
          <a:off x="3410857" y="2385786"/>
          <a:ext cx="3383643" cy="616857"/>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vi-VN" sz="1100"/>
            <a:t>Nhập giá ở màn hình "Nhập báo giá NCC"</a:t>
          </a:r>
        </a:p>
        <a:p>
          <a:pPr algn="l"/>
          <a:r>
            <a:rPr lang="vi-VN" sz="1100"/>
            <a:t>Down master giá ở màn hình Kết quả báo giá (thêm tab master giá)</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37DE-286F-4A77-B30F-DA8C16847940}">
  <dimension ref="A1:AF4"/>
  <sheetViews>
    <sheetView topLeftCell="C1" zoomScale="69" zoomScaleNormal="69" workbookViewId="0">
      <selection activeCell="T1" sqref="T1:T1048576"/>
    </sheetView>
  </sheetViews>
  <sheetFormatPr defaultColWidth="8.77734375" defaultRowHeight="13.8" x14ac:dyDescent="0.3"/>
  <cols>
    <col min="1" max="1" width="8.77734375" style="1"/>
    <col min="2" max="2" width="15.5546875" style="1" customWidth="1"/>
    <col min="3" max="7" width="8.77734375" style="1"/>
    <col min="8" max="8" width="12" style="1" customWidth="1"/>
    <col min="9" max="11" width="8.77734375" style="1"/>
    <col min="12" max="12" width="6.21875" style="1" bestFit="1" customWidth="1"/>
    <col min="13" max="15" width="8.77734375" style="1"/>
    <col min="16" max="16" width="12.77734375" style="1" customWidth="1"/>
    <col min="17" max="17" width="8.77734375" style="1"/>
    <col min="18" max="18" width="12" style="1" customWidth="1"/>
    <col min="19" max="20" width="8.77734375" style="1"/>
    <col min="21" max="24" width="11.88671875" style="1" customWidth="1"/>
    <col min="25" max="25" width="14.5546875" style="1" customWidth="1"/>
    <col min="26" max="16384" width="8.77734375" style="1"/>
  </cols>
  <sheetData>
    <row r="1" spans="1:32" s="3" customFormat="1" x14ac:dyDescent="0.3">
      <c r="A1" s="4">
        <v>1</v>
      </c>
      <c r="B1" s="4">
        <v>2</v>
      </c>
      <c r="C1" s="4">
        <v>3</v>
      </c>
      <c r="D1" s="4">
        <v>4</v>
      </c>
      <c r="E1" s="4">
        <v>5</v>
      </c>
      <c r="F1" s="4">
        <v>6</v>
      </c>
      <c r="G1" s="4">
        <v>7</v>
      </c>
      <c r="H1" s="4">
        <v>8</v>
      </c>
      <c r="I1" s="4">
        <v>9</v>
      </c>
      <c r="J1" s="4">
        <v>10</v>
      </c>
      <c r="K1" s="4">
        <v>11</v>
      </c>
      <c r="L1" s="4">
        <v>12</v>
      </c>
      <c r="M1" s="4">
        <v>13</v>
      </c>
      <c r="N1" s="4">
        <v>14</v>
      </c>
      <c r="O1" s="4">
        <v>15</v>
      </c>
      <c r="P1" s="4">
        <v>16</v>
      </c>
      <c r="Q1" s="4">
        <v>17</v>
      </c>
      <c r="R1" s="4">
        <v>18</v>
      </c>
      <c r="S1" s="4">
        <v>19</v>
      </c>
      <c r="T1" s="11">
        <v>20</v>
      </c>
      <c r="U1" s="4">
        <v>21</v>
      </c>
      <c r="V1" s="11">
        <v>22</v>
      </c>
      <c r="W1" s="11">
        <v>23</v>
      </c>
      <c r="X1" s="11">
        <v>24</v>
      </c>
      <c r="Y1" s="4">
        <v>25</v>
      </c>
      <c r="Z1" s="4">
        <v>26</v>
      </c>
      <c r="AA1" s="4">
        <v>27</v>
      </c>
      <c r="AB1" s="4">
        <v>28</v>
      </c>
      <c r="AC1" s="4">
        <v>29</v>
      </c>
      <c r="AD1" s="4">
        <v>30</v>
      </c>
      <c r="AE1" s="4">
        <v>31</v>
      </c>
      <c r="AF1" s="4">
        <v>32</v>
      </c>
    </row>
    <row r="2" spans="1:32" s="3" customFormat="1" ht="115.8" customHeight="1" x14ac:dyDescent="0.3">
      <c r="A2" s="2" t="s">
        <v>16</v>
      </c>
      <c r="B2" s="2" t="s">
        <v>29</v>
      </c>
      <c r="C2" s="2" t="s">
        <v>0</v>
      </c>
      <c r="D2" s="2" t="s">
        <v>1</v>
      </c>
      <c r="E2" s="2" t="s">
        <v>2</v>
      </c>
      <c r="F2" s="2" t="s">
        <v>20</v>
      </c>
      <c r="G2" s="2" t="s">
        <v>3</v>
      </c>
      <c r="H2" s="2" t="s">
        <v>4</v>
      </c>
      <c r="I2" s="2" t="s">
        <v>5</v>
      </c>
      <c r="J2" s="2" t="s">
        <v>6</v>
      </c>
      <c r="K2" s="2" t="s">
        <v>7</v>
      </c>
      <c r="L2" s="2" t="s">
        <v>8</v>
      </c>
      <c r="M2" s="2" t="s">
        <v>9</v>
      </c>
      <c r="N2" s="2" t="s">
        <v>10</v>
      </c>
      <c r="O2" s="2" t="s">
        <v>26</v>
      </c>
      <c r="P2" s="2" t="s">
        <v>11</v>
      </c>
      <c r="Q2" s="2" t="s">
        <v>27</v>
      </c>
      <c r="R2" s="2" t="s">
        <v>19</v>
      </c>
      <c r="S2" s="2" t="s">
        <v>12</v>
      </c>
      <c r="T2" s="2" t="s">
        <v>2972</v>
      </c>
      <c r="U2" s="2" t="s">
        <v>56</v>
      </c>
      <c r="V2" s="2" t="s">
        <v>53</v>
      </c>
      <c r="W2" s="2" t="s">
        <v>55</v>
      </c>
      <c r="X2" s="2" t="s">
        <v>54</v>
      </c>
      <c r="Y2" s="2" t="s">
        <v>14</v>
      </c>
      <c r="Z2" s="2" t="s">
        <v>15</v>
      </c>
      <c r="AA2" s="2" t="s">
        <v>17</v>
      </c>
      <c r="AB2" s="2" t="s">
        <v>18</v>
      </c>
      <c r="AC2" s="2" t="s">
        <v>31</v>
      </c>
      <c r="AD2" s="2" t="s">
        <v>45</v>
      </c>
      <c r="AE2" s="2" t="s">
        <v>46</v>
      </c>
      <c r="AF2" s="2" t="s">
        <v>47</v>
      </c>
    </row>
    <row r="3" spans="1:32" s="3" customFormat="1" x14ac:dyDescent="0.3"/>
    <row r="4" spans="1:32" s="3" customFormat="1" x14ac:dyDescent="0.3"/>
  </sheetData>
  <dataValidations count="1">
    <dataValidation type="list" allowBlank="1" showInputMessage="1" showErrorMessage="1" sqref="O1:O2" xr:uid="{D72BFAF4-740E-4E35-A579-1E789F8BF5D9}">
      <formula1>"USD,VND,JPY"</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7178-8CD6-49A5-8E01-6B904C8CC0D1}">
  <dimension ref="A2:E27"/>
  <sheetViews>
    <sheetView topLeftCell="A11" workbookViewId="0">
      <selection activeCell="B25" sqref="B25:C25"/>
    </sheetView>
  </sheetViews>
  <sheetFormatPr defaultColWidth="8.77734375" defaultRowHeight="13.2" x14ac:dyDescent="0.3"/>
  <cols>
    <col min="1" max="1" width="8.77734375" style="4"/>
    <col min="2" max="2" width="25.5546875" style="6" customWidth="1"/>
    <col min="3" max="3" width="8.77734375" style="5"/>
    <col min="4" max="4" width="51.88671875" style="5" customWidth="1"/>
    <col min="5" max="16384" width="8.77734375" style="5"/>
  </cols>
  <sheetData>
    <row r="2" spans="1:4" x14ac:dyDescent="0.3">
      <c r="A2" s="4">
        <v>1</v>
      </c>
      <c r="B2" s="6" t="s">
        <v>16</v>
      </c>
      <c r="C2" s="5" t="s">
        <v>21</v>
      </c>
      <c r="D2" s="5" t="s">
        <v>22</v>
      </c>
    </row>
    <row r="3" spans="1:4" x14ac:dyDescent="0.3">
      <c r="A3" s="4">
        <v>2</v>
      </c>
      <c r="B3" s="6" t="s">
        <v>29</v>
      </c>
      <c r="C3" s="5" t="s">
        <v>21</v>
      </c>
      <c r="D3" s="5" t="s">
        <v>30</v>
      </c>
    </row>
    <row r="4" spans="1:4" ht="26.4" x14ac:dyDescent="0.3">
      <c r="A4" s="4">
        <v>3</v>
      </c>
      <c r="B4" s="6" t="s">
        <v>0</v>
      </c>
      <c r="C4" s="5" t="s">
        <v>24</v>
      </c>
      <c r="D4" s="7" t="s">
        <v>23</v>
      </c>
    </row>
    <row r="5" spans="1:4" ht="26.4" x14ac:dyDescent="0.3">
      <c r="A5" s="4">
        <v>4</v>
      </c>
      <c r="B5" s="6" t="s">
        <v>1</v>
      </c>
      <c r="C5" s="5" t="s">
        <v>24</v>
      </c>
    </row>
    <row r="6" spans="1:4" ht="26.4" x14ac:dyDescent="0.3">
      <c r="A6" s="4">
        <v>5</v>
      </c>
      <c r="B6" s="6" t="s">
        <v>2</v>
      </c>
      <c r="C6" s="5" t="s">
        <v>24</v>
      </c>
    </row>
    <row r="7" spans="1:4" ht="26.4" x14ac:dyDescent="0.3">
      <c r="A7" s="4">
        <v>6</v>
      </c>
      <c r="B7" s="6" t="s">
        <v>20</v>
      </c>
      <c r="C7" s="5" t="s">
        <v>21</v>
      </c>
      <c r="D7" s="5" t="s">
        <v>25</v>
      </c>
    </row>
    <row r="8" spans="1:4" ht="26.4" x14ac:dyDescent="0.3">
      <c r="A8" s="4">
        <v>7</v>
      </c>
      <c r="B8" s="6" t="s">
        <v>3</v>
      </c>
      <c r="C8" s="5" t="s">
        <v>24</v>
      </c>
    </row>
    <row r="9" spans="1:4" ht="26.4" x14ac:dyDescent="0.3">
      <c r="A9" s="4">
        <v>8</v>
      </c>
      <c r="B9" s="6" t="s">
        <v>4</v>
      </c>
      <c r="C9" s="5" t="s">
        <v>24</v>
      </c>
    </row>
    <row r="10" spans="1:4" ht="26.4" x14ac:dyDescent="0.3">
      <c r="A10" s="4">
        <v>9</v>
      </c>
      <c r="B10" s="6" t="s">
        <v>5</v>
      </c>
      <c r="C10" s="5" t="s">
        <v>24</v>
      </c>
    </row>
    <row r="11" spans="1:4" ht="26.4" x14ac:dyDescent="0.3">
      <c r="A11" s="4">
        <v>10</v>
      </c>
      <c r="B11" s="6" t="s">
        <v>6</v>
      </c>
      <c r="C11" s="5" t="s">
        <v>24</v>
      </c>
    </row>
    <row r="12" spans="1:4" ht="26.4" x14ac:dyDescent="0.3">
      <c r="A12" s="4">
        <v>11</v>
      </c>
      <c r="B12" s="6" t="s">
        <v>7</v>
      </c>
      <c r="C12" s="5" t="s">
        <v>24</v>
      </c>
      <c r="D12" s="7" t="s">
        <v>23</v>
      </c>
    </row>
    <row r="13" spans="1:4" ht="26.4" x14ac:dyDescent="0.3">
      <c r="A13" s="4">
        <v>12</v>
      </c>
      <c r="B13" s="6" t="s">
        <v>8</v>
      </c>
      <c r="C13" s="5" t="s">
        <v>24</v>
      </c>
      <c r="D13" s="7" t="s">
        <v>23</v>
      </c>
    </row>
    <row r="14" spans="1:4" ht="26.4" x14ac:dyDescent="0.3">
      <c r="A14" s="4">
        <v>13</v>
      </c>
      <c r="B14" s="6" t="s">
        <v>9</v>
      </c>
      <c r="C14" s="5" t="s">
        <v>24</v>
      </c>
      <c r="D14" s="7" t="s">
        <v>23</v>
      </c>
    </row>
    <row r="15" spans="1:4" ht="26.4" x14ac:dyDescent="0.3">
      <c r="A15" s="4">
        <v>14</v>
      </c>
      <c r="B15" s="6" t="s">
        <v>10</v>
      </c>
      <c r="C15" s="5" t="s">
        <v>24</v>
      </c>
    </row>
    <row r="16" spans="1:4" ht="26.4" x14ac:dyDescent="0.3">
      <c r="A16" s="4">
        <v>15</v>
      </c>
      <c r="B16" s="6" t="s">
        <v>26</v>
      </c>
      <c r="C16" s="5" t="s">
        <v>24</v>
      </c>
      <c r="D16" s="7" t="s">
        <v>36</v>
      </c>
    </row>
    <row r="17" spans="1:5" ht="26.4" x14ac:dyDescent="0.3">
      <c r="A17" s="4">
        <v>16</v>
      </c>
      <c r="B17" s="6" t="s">
        <v>11</v>
      </c>
      <c r="C17" s="5" t="s">
        <v>24</v>
      </c>
      <c r="D17" s="5" t="s">
        <v>35</v>
      </c>
    </row>
    <row r="18" spans="1:5" ht="26.4" x14ac:dyDescent="0.3">
      <c r="A18" s="4">
        <v>17</v>
      </c>
      <c r="B18" s="6" t="s">
        <v>27</v>
      </c>
      <c r="C18" s="5" t="s">
        <v>21</v>
      </c>
      <c r="D18" s="5" t="s">
        <v>28</v>
      </c>
    </row>
    <row r="19" spans="1:5" ht="39.6" x14ac:dyDescent="0.3">
      <c r="A19" s="4">
        <v>18</v>
      </c>
      <c r="B19" s="6" t="s">
        <v>19</v>
      </c>
      <c r="C19" s="5" t="s">
        <v>24</v>
      </c>
      <c r="D19" s="7" t="s">
        <v>32</v>
      </c>
    </row>
    <row r="20" spans="1:5" x14ac:dyDescent="0.3">
      <c r="A20" s="4">
        <v>19</v>
      </c>
      <c r="B20" s="6" t="s">
        <v>12</v>
      </c>
      <c r="C20" s="5" t="s">
        <v>24</v>
      </c>
      <c r="D20" s="5" t="s">
        <v>50</v>
      </c>
    </row>
    <row r="21" spans="1:5" ht="26.4" x14ac:dyDescent="0.3">
      <c r="A21" s="4">
        <v>20</v>
      </c>
      <c r="B21" s="6" t="s">
        <v>13</v>
      </c>
      <c r="C21" s="5" t="s">
        <v>24</v>
      </c>
    </row>
    <row r="22" spans="1:5" ht="26.4" x14ac:dyDescent="0.3">
      <c r="A22" s="4">
        <v>21</v>
      </c>
      <c r="B22" s="6" t="s">
        <v>14</v>
      </c>
      <c r="C22" s="5" t="s">
        <v>24</v>
      </c>
      <c r="D22" s="5" t="s">
        <v>51</v>
      </c>
    </row>
    <row r="23" spans="1:5" ht="26.4" x14ac:dyDescent="0.3">
      <c r="A23" s="4">
        <v>22</v>
      </c>
      <c r="B23" s="6" t="s">
        <v>15</v>
      </c>
      <c r="C23" s="5" t="s">
        <v>24</v>
      </c>
      <c r="D23" s="8" t="s">
        <v>52</v>
      </c>
      <c r="E23" s="5" t="s">
        <v>33</v>
      </c>
    </row>
    <row r="24" spans="1:5" ht="26.4" x14ac:dyDescent="0.3">
      <c r="A24" s="4">
        <v>23</v>
      </c>
      <c r="B24" s="6" t="s">
        <v>17</v>
      </c>
      <c r="C24" s="5" t="s">
        <v>24</v>
      </c>
      <c r="D24" s="8" t="s">
        <v>52</v>
      </c>
      <c r="E24" s="5" t="s">
        <v>33</v>
      </c>
    </row>
    <row r="25" spans="1:5" ht="26.4" x14ac:dyDescent="0.3">
      <c r="A25" s="4">
        <v>24</v>
      </c>
      <c r="B25" s="6" t="s">
        <v>18</v>
      </c>
      <c r="C25" s="5" t="s">
        <v>24</v>
      </c>
    </row>
    <row r="26" spans="1:5" ht="66" x14ac:dyDescent="0.3">
      <c r="A26" s="4">
        <v>25</v>
      </c>
      <c r="B26" s="6" t="s">
        <v>31</v>
      </c>
      <c r="C26" s="5" t="s">
        <v>24</v>
      </c>
      <c r="D26" s="7" t="s">
        <v>34</v>
      </c>
    </row>
    <row r="27" spans="1:5" ht="26.4" x14ac:dyDescent="0.3">
      <c r="A27" s="4">
        <v>26</v>
      </c>
      <c r="B27" s="2" t="s">
        <v>45</v>
      </c>
      <c r="C27" s="5"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DA598-CB9F-4811-ABA6-033D0F1B210C}">
  <dimension ref="D3:G9"/>
  <sheetViews>
    <sheetView zoomScale="70" zoomScaleNormal="70" workbookViewId="0">
      <pane xSplit="14" ySplit="10" topLeftCell="O32" activePane="bottomRight" state="frozen"/>
      <selection pane="topRight" activeCell="O1" sqref="O1"/>
      <selection pane="bottomLeft" activeCell="A11" sqref="A11"/>
      <selection pane="bottomRight" activeCell="F8" sqref="F8"/>
    </sheetView>
  </sheetViews>
  <sheetFormatPr defaultColWidth="8.77734375" defaultRowHeight="14.4" x14ac:dyDescent="0.3"/>
  <cols>
    <col min="1" max="3" width="8.77734375" style="9"/>
    <col min="4" max="4" width="30.5546875" style="9" bestFit="1" customWidth="1"/>
    <col min="5" max="5" width="50" style="9" bestFit="1" customWidth="1"/>
    <col min="6" max="6" width="56.5546875" style="9" customWidth="1"/>
    <col min="7" max="7" width="25.33203125" style="9" customWidth="1"/>
    <col min="8" max="16384" width="8.77734375" style="9"/>
  </cols>
  <sheetData>
    <row r="3" spans="4:7" x14ac:dyDescent="0.3">
      <c r="D3" s="9" t="s">
        <v>37</v>
      </c>
      <c r="E3" s="9" t="s">
        <v>41</v>
      </c>
      <c r="F3" s="24" t="s">
        <v>43</v>
      </c>
      <c r="G3" s="26" t="s">
        <v>44</v>
      </c>
    </row>
    <row r="4" spans="4:7" x14ac:dyDescent="0.3">
      <c r="D4" s="9" t="s">
        <v>38</v>
      </c>
      <c r="E4" s="9" t="s">
        <v>42</v>
      </c>
      <c r="F4" s="25"/>
      <c r="G4" s="27"/>
    </row>
    <row r="5" spans="4:7" x14ac:dyDescent="0.3">
      <c r="D5" s="9" t="s">
        <v>39</v>
      </c>
      <c r="E5" s="9" t="s">
        <v>42</v>
      </c>
      <c r="F5" s="25"/>
      <c r="G5" s="27"/>
    </row>
    <row r="6" spans="4:7" x14ac:dyDescent="0.3">
      <c r="D6" s="9" t="s">
        <v>40</v>
      </c>
      <c r="E6" s="9" t="s">
        <v>42</v>
      </c>
      <c r="F6" s="25"/>
      <c r="G6" s="27"/>
    </row>
    <row r="8" spans="4:7" x14ac:dyDescent="0.3">
      <c r="D8" s="10" t="s">
        <v>48</v>
      </c>
      <c r="E8" s="10" t="s">
        <v>49</v>
      </c>
    </row>
    <row r="9" spans="4:7" x14ac:dyDescent="0.3">
      <c r="D9" s="10"/>
      <c r="E9" s="10"/>
    </row>
  </sheetData>
  <mergeCells count="2">
    <mergeCell ref="F3:F6"/>
    <mergeCell ref="G3:G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5230-1A2A-4FDA-BBC3-5C4D3A4E14B0}">
  <sheetPr filterMode="1"/>
  <dimension ref="A1:AI803"/>
  <sheetViews>
    <sheetView tabSelected="1" zoomScaleNormal="100" workbookViewId="0">
      <pane xSplit="7" ySplit="2" topLeftCell="Y7" activePane="bottomRight" state="frozen"/>
      <selection pane="topRight" activeCell="H1" sqref="H1"/>
      <selection pane="bottomLeft" activeCell="A3" sqref="A3"/>
      <selection pane="bottomRight" activeCell="AA76" sqref="AA76"/>
    </sheetView>
  </sheetViews>
  <sheetFormatPr defaultColWidth="8.77734375" defaultRowHeight="13.8" x14ac:dyDescent="0.3"/>
  <cols>
    <col min="1" max="1" width="11.33203125" style="1" customWidth="1"/>
    <col min="2" max="2" width="9.5546875" style="1" customWidth="1"/>
    <col min="3" max="5" width="8.77734375" style="1"/>
    <col min="6" max="6" width="15.21875" style="1" customWidth="1"/>
    <col min="7" max="7" width="13.88671875" style="1" customWidth="1"/>
    <col min="8" max="8" width="12" style="1" customWidth="1"/>
    <col min="9" max="9" width="21.77734375" style="1" customWidth="1"/>
    <col min="10" max="10" width="23.77734375" style="1" customWidth="1"/>
    <col min="11" max="11" width="8.77734375" style="1"/>
    <col min="12" max="12" width="6.21875" style="1" bestFit="1" customWidth="1"/>
    <col min="13" max="13" width="8.77734375" style="1"/>
    <col min="14" max="14" width="17.77734375" style="1" customWidth="1"/>
    <col min="15" max="15" width="8.77734375" style="1"/>
    <col min="16" max="16" width="12.77734375" style="1" customWidth="1"/>
    <col min="17" max="17" width="8.77734375" style="1"/>
    <col min="18" max="18" width="12" style="1" customWidth="1"/>
    <col min="19" max="19" width="14.109375" style="1" customWidth="1"/>
    <col min="20" max="24" width="11.88671875" style="1" customWidth="1"/>
    <col min="25" max="25" width="27.5546875" style="1" customWidth="1"/>
    <col min="26" max="26" width="10.88671875" style="1" customWidth="1"/>
    <col min="27" max="27" width="11.109375" style="1" customWidth="1"/>
    <col min="28" max="30" width="8.77734375" style="1"/>
    <col min="31" max="31" width="42.44140625" style="1" customWidth="1"/>
    <col min="32" max="16384" width="8.77734375" style="1"/>
  </cols>
  <sheetData>
    <row r="1" spans="1:35" s="3" customFormat="1" x14ac:dyDescent="0.3">
      <c r="A1" s="4">
        <v>1</v>
      </c>
      <c r="B1" s="4">
        <v>2</v>
      </c>
      <c r="C1" s="4">
        <v>3</v>
      </c>
      <c r="D1" s="4">
        <v>4</v>
      </c>
      <c r="E1" s="4">
        <v>5</v>
      </c>
      <c r="F1" s="4">
        <v>6</v>
      </c>
      <c r="G1" s="4">
        <v>7</v>
      </c>
      <c r="H1" s="4">
        <v>8</v>
      </c>
      <c r="I1" s="4">
        <v>9</v>
      </c>
      <c r="J1" s="4">
        <v>10</v>
      </c>
      <c r="K1" s="4">
        <v>11</v>
      </c>
      <c r="L1" s="4">
        <v>12</v>
      </c>
      <c r="M1" s="4">
        <v>13</v>
      </c>
      <c r="N1" s="4">
        <v>14</v>
      </c>
      <c r="O1" s="4">
        <v>15</v>
      </c>
      <c r="P1" s="4">
        <v>16</v>
      </c>
      <c r="Q1" s="4">
        <v>17</v>
      </c>
      <c r="R1" s="4">
        <v>18</v>
      </c>
      <c r="S1" s="4">
        <v>19</v>
      </c>
      <c r="T1" s="11">
        <v>20</v>
      </c>
      <c r="U1" s="4">
        <v>21</v>
      </c>
      <c r="V1" s="11">
        <v>22</v>
      </c>
      <c r="W1" s="11">
        <v>23</v>
      </c>
      <c r="X1" s="11">
        <v>24</v>
      </c>
      <c r="Y1" s="4">
        <v>25</v>
      </c>
      <c r="Z1" s="4">
        <v>26</v>
      </c>
      <c r="AA1" s="4">
        <v>27</v>
      </c>
      <c r="AB1" s="4">
        <v>28</v>
      </c>
      <c r="AC1" s="4">
        <v>29</v>
      </c>
      <c r="AD1" s="4">
        <v>30</v>
      </c>
      <c r="AE1" s="4">
        <v>31</v>
      </c>
      <c r="AF1" s="4">
        <v>32</v>
      </c>
    </row>
    <row r="2" spans="1:35" s="3" customFormat="1" ht="49.8" customHeight="1" x14ac:dyDescent="0.3">
      <c r="A2" s="12" t="s">
        <v>16</v>
      </c>
      <c r="B2" s="12" t="s">
        <v>29</v>
      </c>
      <c r="C2" s="12" t="s">
        <v>0</v>
      </c>
      <c r="D2" s="12" t="s">
        <v>1</v>
      </c>
      <c r="E2" s="12" t="s">
        <v>2</v>
      </c>
      <c r="F2" s="12" t="s">
        <v>20</v>
      </c>
      <c r="G2" s="12" t="s">
        <v>3</v>
      </c>
      <c r="H2" s="12" t="s">
        <v>4</v>
      </c>
      <c r="I2" s="12" t="s">
        <v>5</v>
      </c>
      <c r="J2" s="12" t="s">
        <v>6</v>
      </c>
      <c r="K2" s="12" t="s">
        <v>7</v>
      </c>
      <c r="L2" s="12" t="s">
        <v>8</v>
      </c>
      <c r="M2" s="12" t="s">
        <v>9</v>
      </c>
      <c r="N2" s="12" t="s">
        <v>10</v>
      </c>
      <c r="O2" s="12" t="s">
        <v>26</v>
      </c>
      <c r="P2" s="12" t="s">
        <v>11</v>
      </c>
      <c r="Q2" s="12" t="s">
        <v>27</v>
      </c>
      <c r="R2" s="12" t="s">
        <v>19</v>
      </c>
      <c r="S2" s="12" t="s">
        <v>12</v>
      </c>
      <c r="T2" s="12" t="s">
        <v>2972</v>
      </c>
      <c r="U2" s="12" t="s">
        <v>56</v>
      </c>
      <c r="V2" s="12" t="s">
        <v>53</v>
      </c>
      <c r="W2" s="12" t="s">
        <v>55</v>
      </c>
      <c r="X2" s="12" t="s">
        <v>54</v>
      </c>
      <c r="Y2" s="12" t="s">
        <v>14</v>
      </c>
      <c r="Z2" s="12" t="s">
        <v>15</v>
      </c>
      <c r="AA2" s="12" t="s">
        <v>17</v>
      </c>
      <c r="AB2" s="12" t="s">
        <v>18</v>
      </c>
      <c r="AC2" s="12" t="s">
        <v>31</v>
      </c>
      <c r="AD2" s="12" t="s">
        <v>45</v>
      </c>
      <c r="AE2" s="12" t="s">
        <v>46</v>
      </c>
      <c r="AF2" s="12" t="s">
        <v>47</v>
      </c>
      <c r="AI2" s="21" t="s">
        <v>3052</v>
      </c>
    </row>
    <row r="3" spans="1:35" s="3" customFormat="1" hidden="1" x14ac:dyDescent="0.3">
      <c r="A3" s="13">
        <v>46032</v>
      </c>
      <c r="B3" s="14" t="s">
        <v>2806</v>
      </c>
      <c r="C3" s="14"/>
      <c r="D3" s="14"/>
      <c r="E3" s="15" t="s">
        <v>848</v>
      </c>
      <c r="F3" s="15" t="s">
        <v>1242</v>
      </c>
      <c r="G3" s="15" t="s">
        <v>57</v>
      </c>
      <c r="H3" s="15"/>
      <c r="I3" s="15" t="s">
        <v>1284</v>
      </c>
      <c r="J3" s="15" t="s">
        <v>1285</v>
      </c>
      <c r="K3" s="14"/>
      <c r="L3" s="14" t="s">
        <v>2807</v>
      </c>
      <c r="M3" s="14"/>
      <c r="N3" s="15" t="s">
        <v>917</v>
      </c>
      <c r="O3" s="14">
        <v>28.5</v>
      </c>
      <c r="P3" s="14" t="s">
        <v>2845</v>
      </c>
      <c r="Q3" s="14" cm="1">
        <f t="array" ref="Q3">_xlfn.IFS(P3="USD",O3,P3="VND",O3/26090,P3="JPY",O3/161)</f>
        <v>28.5</v>
      </c>
      <c r="R3" s="14">
        <v>75</v>
      </c>
      <c r="S3" s="14">
        <v>200</v>
      </c>
      <c r="T3" s="14"/>
      <c r="U3" s="14" t="s">
        <v>2848</v>
      </c>
      <c r="V3" s="14" t="s">
        <v>914</v>
      </c>
      <c r="W3" s="14" t="s">
        <v>2856</v>
      </c>
      <c r="X3" s="17">
        <v>0</v>
      </c>
      <c r="Y3" s="15" t="s">
        <v>2874</v>
      </c>
      <c r="Z3" s="20">
        <v>46239</v>
      </c>
      <c r="AA3" s="18"/>
      <c r="AB3" s="14"/>
      <c r="AC3" s="14"/>
      <c r="AD3" s="14"/>
      <c r="AE3" s="15" t="s">
        <v>3020</v>
      </c>
      <c r="AF3" s="14"/>
      <c r="AI3" s="3" t="str">
        <f t="shared" ref="AI3:AI66" ca="1" si="0">IF(AA3="","OK",IF(AA3&lt;TODAY(),"NG","OK"))</f>
        <v>OK</v>
      </c>
    </row>
    <row r="4" spans="1:35" s="3" customFormat="1" hidden="1" x14ac:dyDescent="0.3">
      <c r="A4" s="13">
        <v>46032</v>
      </c>
      <c r="B4" s="14" t="s">
        <v>2806</v>
      </c>
      <c r="C4" s="14"/>
      <c r="D4" s="14"/>
      <c r="E4" s="15" t="s">
        <v>849</v>
      </c>
      <c r="F4" s="15" t="s">
        <v>1243</v>
      </c>
      <c r="G4" s="15" t="s">
        <v>58</v>
      </c>
      <c r="H4" s="15"/>
      <c r="I4" s="15" t="s">
        <v>1286</v>
      </c>
      <c r="J4" s="15" t="s">
        <v>1287</v>
      </c>
      <c r="K4" s="14"/>
      <c r="L4" s="14" t="s">
        <v>2808</v>
      </c>
      <c r="M4" s="14"/>
      <c r="N4" s="15" t="s">
        <v>918</v>
      </c>
      <c r="O4" s="14">
        <v>287.11</v>
      </c>
      <c r="P4" s="14" t="s">
        <v>2845</v>
      </c>
      <c r="Q4" s="14" cm="1">
        <f t="array" ref="Q4">_xlfn.IFS(P4="USD",O4,P4="VND",O4/26090,P4="JPY",O4/161)</f>
        <v>287.11</v>
      </c>
      <c r="R4" s="14">
        <v>25</v>
      </c>
      <c r="S4" s="14">
        <v>1</v>
      </c>
      <c r="T4" s="14"/>
      <c r="U4" s="14" t="s">
        <v>2849</v>
      </c>
      <c r="V4" s="14" t="s">
        <v>2857</v>
      </c>
      <c r="W4" s="14" t="s">
        <v>2858</v>
      </c>
      <c r="X4" s="17">
        <v>0</v>
      </c>
      <c r="Y4" s="15" t="s">
        <v>2875</v>
      </c>
      <c r="Z4" s="20">
        <v>46028</v>
      </c>
      <c r="AA4" s="20">
        <v>46393</v>
      </c>
      <c r="AB4" s="14"/>
      <c r="AC4" s="14"/>
      <c r="AD4" s="14"/>
      <c r="AE4" s="15" t="s">
        <v>2958</v>
      </c>
      <c r="AF4" s="14"/>
      <c r="AI4" s="3" t="str">
        <f t="shared" ca="1" si="0"/>
        <v>OK</v>
      </c>
    </row>
    <row r="5" spans="1:35" hidden="1" x14ac:dyDescent="0.3">
      <c r="A5" s="13">
        <v>46032</v>
      </c>
      <c r="B5" s="14" t="s">
        <v>2806</v>
      </c>
      <c r="C5" s="16"/>
      <c r="D5" s="16"/>
      <c r="E5" s="15" t="s">
        <v>850</v>
      </c>
      <c r="F5" s="15" t="s">
        <v>915</v>
      </c>
      <c r="G5" s="15" t="s">
        <v>59</v>
      </c>
      <c r="H5" s="15"/>
      <c r="I5" s="15" t="s">
        <v>1288</v>
      </c>
      <c r="J5" s="15" t="s">
        <v>1289</v>
      </c>
      <c r="K5" s="16"/>
      <c r="L5" s="14" t="s">
        <v>2809</v>
      </c>
      <c r="M5" s="16"/>
      <c r="N5" s="15" t="s">
        <v>919</v>
      </c>
      <c r="O5" s="14">
        <v>1.37</v>
      </c>
      <c r="P5" s="14" t="s">
        <v>2845</v>
      </c>
      <c r="Q5" s="14" cm="1">
        <f t="array" ref="Q5">_xlfn.IFS(P5="USD",O5,P5="VND",O5/26090,P5="JPY",O5/161)</f>
        <v>1.37</v>
      </c>
      <c r="R5" s="14">
        <v>60</v>
      </c>
      <c r="S5" s="14" t="s">
        <v>2909</v>
      </c>
      <c r="T5" s="14"/>
      <c r="U5" s="14" t="s">
        <v>2850</v>
      </c>
      <c r="V5" s="14" t="s">
        <v>2859</v>
      </c>
      <c r="W5" s="14" t="s">
        <v>2860</v>
      </c>
      <c r="X5" s="17">
        <v>0</v>
      </c>
      <c r="Y5" s="15" t="s">
        <v>2876</v>
      </c>
      <c r="Z5" s="18"/>
      <c r="AA5" s="18"/>
      <c r="AB5" s="16"/>
      <c r="AC5" s="16"/>
      <c r="AD5" s="16"/>
      <c r="AE5" s="16"/>
      <c r="AF5" s="16"/>
      <c r="AI5" s="3" t="str">
        <f t="shared" ca="1" si="0"/>
        <v>OK</v>
      </c>
    </row>
    <row r="6" spans="1:35" hidden="1" x14ac:dyDescent="0.3">
      <c r="A6" s="13">
        <v>46032</v>
      </c>
      <c r="B6" s="14" t="s">
        <v>2806</v>
      </c>
      <c r="C6" s="16"/>
      <c r="D6" s="16"/>
      <c r="E6" s="15" t="s">
        <v>851</v>
      </c>
      <c r="F6" s="15" t="s">
        <v>1244</v>
      </c>
      <c r="G6" s="15" t="s">
        <v>60</v>
      </c>
      <c r="H6" s="15"/>
      <c r="I6" s="15" t="s">
        <v>1290</v>
      </c>
      <c r="J6" s="15" t="s">
        <v>1291</v>
      </c>
      <c r="K6" s="16"/>
      <c r="L6" s="14" t="s">
        <v>2810</v>
      </c>
      <c r="M6" s="16"/>
      <c r="N6" s="15" t="s">
        <v>920</v>
      </c>
      <c r="O6" s="14">
        <v>27.23</v>
      </c>
      <c r="P6" s="14" t="s">
        <v>2845</v>
      </c>
      <c r="Q6" s="14" cm="1">
        <f t="array" ref="Q6">_xlfn.IFS(P6="USD",O6,P6="VND",O6/26090,P6="JPY",O6/161)</f>
        <v>27.23</v>
      </c>
      <c r="R6" s="14">
        <v>60</v>
      </c>
      <c r="S6" s="14">
        <v>120</v>
      </c>
      <c r="T6" s="14"/>
      <c r="U6" s="14" t="s">
        <v>2848</v>
      </c>
      <c r="V6" s="14" t="s">
        <v>2857</v>
      </c>
      <c r="W6" s="14" t="s">
        <v>2858</v>
      </c>
      <c r="X6" s="17">
        <v>0</v>
      </c>
      <c r="Y6" s="15" t="s">
        <v>2875</v>
      </c>
      <c r="Z6" s="18" t="s">
        <v>2943</v>
      </c>
      <c r="AA6" s="18"/>
      <c r="AB6" s="16"/>
      <c r="AC6" s="16"/>
      <c r="AD6" s="16"/>
      <c r="AE6" s="16" t="s">
        <v>2942</v>
      </c>
      <c r="AF6" s="16"/>
      <c r="AI6" s="3" t="str">
        <f t="shared" ca="1" si="0"/>
        <v>OK</v>
      </c>
    </row>
    <row r="7" spans="1:35" x14ac:dyDescent="0.3">
      <c r="A7" s="13">
        <v>46032</v>
      </c>
      <c r="B7" s="14" t="s">
        <v>2806</v>
      </c>
      <c r="C7" s="16"/>
      <c r="D7" s="16"/>
      <c r="E7" s="15" t="s">
        <v>852</v>
      </c>
      <c r="F7" s="15" t="s">
        <v>1245</v>
      </c>
      <c r="G7" s="15" t="s">
        <v>61</v>
      </c>
      <c r="H7" s="15"/>
      <c r="I7" s="15" t="s">
        <v>1292</v>
      </c>
      <c r="J7" s="15" t="s">
        <v>1293</v>
      </c>
      <c r="K7" s="16"/>
      <c r="L7" s="14" t="s">
        <v>2811</v>
      </c>
      <c r="M7" s="16"/>
      <c r="N7" s="15" t="s">
        <v>921</v>
      </c>
      <c r="O7" s="14">
        <v>607.03</v>
      </c>
      <c r="P7" s="14" t="s">
        <v>2845</v>
      </c>
      <c r="Q7" s="14" cm="1">
        <f t="array" ref="Q7">_xlfn.IFS(P7="USD",O7,P7="VND",O7/26090,P7="JPY",O7/161)</f>
        <v>607.03</v>
      </c>
      <c r="R7" s="14">
        <v>98</v>
      </c>
      <c r="S7" s="14">
        <v>3</v>
      </c>
      <c r="T7" s="14"/>
      <c r="U7" s="14" t="s">
        <v>2848</v>
      </c>
      <c r="V7" s="14" t="s">
        <v>2857</v>
      </c>
      <c r="W7" s="14" t="s">
        <v>2858</v>
      </c>
      <c r="X7" s="17">
        <v>0</v>
      </c>
      <c r="Y7" s="15" t="s">
        <v>2877</v>
      </c>
      <c r="Z7" s="20">
        <v>46029</v>
      </c>
      <c r="AA7" s="22" t="s">
        <v>2973</v>
      </c>
      <c r="AB7" s="16"/>
      <c r="AC7" s="16"/>
      <c r="AD7" s="16"/>
      <c r="AE7" s="16"/>
      <c r="AF7" s="16"/>
      <c r="AI7" s="3" t="str">
        <f t="shared" ca="1" si="0"/>
        <v>OK</v>
      </c>
    </row>
    <row r="8" spans="1:35" x14ac:dyDescent="0.3">
      <c r="A8" s="13">
        <v>46032</v>
      </c>
      <c r="B8" s="14" t="s">
        <v>2806</v>
      </c>
      <c r="C8" s="16"/>
      <c r="D8" s="16"/>
      <c r="E8" s="15" t="s">
        <v>852</v>
      </c>
      <c r="F8" s="15" t="s">
        <v>1245</v>
      </c>
      <c r="G8" s="15" t="s">
        <v>62</v>
      </c>
      <c r="H8" s="15"/>
      <c r="I8" s="15" t="s">
        <v>1294</v>
      </c>
      <c r="J8" s="15" t="s">
        <v>1295</v>
      </c>
      <c r="K8" s="16"/>
      <c r="L8" s="14" t="s">
        <v>2812</v>
      </c>
      <c r="M8" s="16"/>
      <c r="N8" s="15" t="s">
        <v>921</v>
      </c>
      <c r="O8" s="14">
        <v>229.89</v>
      </c>
      <c r="P8" s="14" t="s">
        <v>2845</v>
      </c>
      <c r="Q8" s="14" cm="1">
        <f t="array" ref="Q8">_xlfn.IFS(P8="USD",O8,P8="VND",O8/26090,P8="JPY",O8/161)</f>
        <v>229.89</v>
      </c>
      <c r="R8" s="14">
        <v>98</v>
      </c>
      <c r="S8" s="14">
        <v>3</v>
      </c>
      <c r="T8" s="14"/>
      <c r="U8" s="14" t="s">
        <v>2848</v>
      </c>
      <c r="V8" s="14" t="s">
        <v>2857</v>
      </c>
      <c r="W8" s="14" t="s">
        <v>2858</v>
      </c>
      <c r="X8" s="17">
        <v>0</v>
      </c>
      <c r="Y8" s="15" t="s">
        <v>2877</v>
      </c>
      <c r="Z8" s="20">
        <v>46029</v>
      </c>
      <c r="AA8" s="22" t="s">
        <v>2973</v>
      </c>
      <c r="AB8" s="16"/>
      <c r="AC8" s="16"/>
      <c r="AD8" s="16"/>
      <c r="AE8" s="16"/>
      <c r="AF8" s="16"/>
      <c r="AI8" s="3" t="str">
        <f t="shared" ca="1" si="0"/>
        <v>OK</v>
      </c>
    </row>
    <row r="9" spans="1:35" x14ac:dyDescent="0.3">
      <c r="A9" s="13">
        <v>46032</v>
      </c>
      <c r="B9" s="14" t="s">
        <v>2806</v>
      </c>
      <c r="C9" s="16"/>
      <c r="D9" s="16"/>
      <c r="E9" s="15" t="s">
        <v>852</v>
      </c>
      <c r="F9" s="15" t="s">
        <v>1245</v>
      </c>
      <c r="G9" s="15" t="s">
        <v>63</v>
      </c>
      <c r="H9" s="15"/>
      <c r="I9" s="15" t="s">
        <v>1296</v>
      </c>
      <c r="J9" s="15" t="s">
        <v>1297</v>
      </c>
      <c r="K9" s="16"/>
      <c r="L9" s="14" t="s">
        <v>2811</v>
      </c>
      <c r="M9" s="16"/>
      <c r="N9" s="15" t="s">
        <v>921</v>
      </c>
      <c r="O9" s="14">
        <v>497.8</v>
      </c>
      <c r="P9" s="14" t="s">
        <v>2845</v>
      </c>
      <c r="Q9" s="14" cm="1">
        <f t="array" ref="Q9">_xlfn.IFS(P9="USD",O9,P9="VND",O9/26090,P9="JPY",O9/161)</f>
        <v>497.8</v>
      </c>
      <c r="R9" s="14">
        <v>98</v>
      </c>
      <c r="S9" s="14">
        <v>10</v>
      </c>
      <c r="T9" s="14"/>
      <c r="U9" s="14" t="s">
        <v>2848</v>
      </c>
      <c r="V9" s="14" t="s">
        <v>2857</v>
      </c>
      <c r="W9" s="14" t="s">
        <v>2858</v>
      </c>
      <c r="X9" s="17">
        <v>0</v>
      </c>
      <c r="Y9" s="15" t="s">
        <v>2877</v>
      </c>
      <c r="Z9" s="20">
        <v>46029</v>
      </c>
      <c r="AA9" s="22" t="s">
        <v>2973</v>
      </c>
      <c r="AB9" s="16"/>
      <c r="AC9" s="16"/>
      <c r="AD9" s="16"/>
      <c r="AE9" s="16"/>
      <c r="AF9" s="16"/>
      <c r="AI9" s="3" t="str">
        <f t="shared" ca="1" si="0"/>
        <v>OK</v>
      </c>
    </row>
    <row r="10" spans="1:35" hidden="1" x14ac:dyDescent="0.3">
      <c r="A10" s="13">
        <v>46032</v>
      </c>
      <c r="B10" s="14" t="s">
        <v>2806</v>
      </c>
      <c r="C10" s="16"/>
      <c r="D10" s="16"/>
      <c r="E10" s="15" t="s">
        <v>853</v>
      </c>
      <c r="F10" s="15" t="s">
        <v>903</v>
      </c>
      <c r="G10" s="15" t="s">
        <v>64</v>
      </c>
      <c r="H10" s="15"/>
      <c r="I10" s="15" t="s">
        <v>1298</v>
      </c>
      <c r="J10" s="15" t="s">
        <v>1299</v>
      </c>
      <c r="K10" s="16"/>
      <c r="L10" s="14" t="s">
        <v>2813</v>
      </c>
      <c r="M10" s="16"/>
      <c r="N10" s="15" t="s">
        <v>922</v>
      </c>
      <c r="O10" s="14">
        <v>573.9</v>
      </c>
      <c r="P10" s="14" t="s">
        <v>2845</v>
      </c>
      <c r="Q10" s="14" cm="1">
        <f t="array" ref="Q10">_xlfn.IFS(P10="USD",O10,P10="VND",O10/26090,P10="JPY",O10/161)</f>
        <v>573.9</v>
      </c>
      <c r="R10" s="14">
        <v>114</v>
      </c>
      <c r="S10" s="14">
        <v>1</v>
      </c>
      <c r="T10" s="14"/>
      <c r="U10" s="14" t="s">
        <v>2850</v>
      </c>
      <c r="V10" s="14" t="s">
        <v>2861</v>
      </c>
      <c r="W10" s="14" t="s">
        <v>2856</v>
      </c>
      <c r="X10" s="17">
        <v>0</v>
      </c>
      <c r="Y10" s="15" t="s">
        <v>2878</v>
      </c>
      <c r="Z10" s="20">
        <v>46031</v>
      </c>
      <c r="AA10" s="18"/>
      <c r="AB10" s="16"/>
      <c r="AC10" s="16"/>
      <c r="AD10" s="16"/>
      <c r="AE10" s="16" t="s">
        <v>2984</v>
      </c>
      <c r="AF10" s="16"/>
      <c r="AI10" s="3" t="str">
        <f t="shared" ca="1" si="0"/>
        <v>OK</v>
      </c>
    </row>
    <row r="11" spans="1:35" hidden="1" x14ac:dyDescent="0.3">
      <c r="A11" s="13">
        <v>46032</v>
      </c>
      <c r="B11" s="14" t="s">
        <v>2806</v>
      </c>
      <c r="C11" s="16"/>
      <c r="D11" s="16"/>
      <c r="E11" s="15" t="s">
        <v>853</v>
      </c>
      <c r="F11" s="15" t="s">
        <v>903</v>
      </c>
      <c r="G11" s="15" t="s">
        <v>65</v>
      </c>
      <c r="H11" s="15"/>
      <c r="I11" s="15" t="s">
        <v>1300</v>
      </c>
      <c r="J11" s="15" t="s">
        <v>1301</v>
      </c>
      <c r="K11" s="16"/>
      <c r="L11" s="14" t="s">
        <v>2813</v>
      </c>
      <c r="M11" s="16"/>
      <c r="N11" s="15" t="s">
        <v>922</v>
      </c>
      <c r="O11" s="14">
        <v>50.7</v>
      </c>
      <c r="P11" s="14" t="s">
        <v>2845</v>
      </c>
      <c r="Q11" s="14" cm="1">
        <f t="array" ref="Q11">_xlfn.IFS(P11="USD",O11,P11="VND",O11/26090,P11="JPY",O11/161)</f>
        <v>50.7</v>
      </c>
      <c r="R11" s="14">
        <v>114</v>
      </c>
      <c r="S11" s="14">
        <v>6</v>
      </c>
      <c r="T11" s="14"/>
      <c r="U11" s="14" t="s">
        <v>2850</v>
      </c>
      <c r="V11" s="14" t="s">
        <v>2862</v>
      </c>
      <c r="W11" s="14" t="s">
        <v>2856</v>
      </c>
      <c r="X11" s="17">
        <v>0</v>
      </c>
      <c r="Y11" s="15" t="s">
        <v>2878</v>
      </c>
      <c r="Z11" s="20">
        <v>46031</v>
      </c>
      <c r="AA11" s="18"/>
      <c r="AB11" s="16"/>
      <c r="AC11" s="16"/>
      <c r="AD11" s="16"/>
      <c r="AE11" s="16" t="s">
        <v>2984</v>
      </c>
      <c r="AF11" s="16"/>
      <c r="AI11" s="3" t="str">
        <f t="shared" ca="1" si="0"/>
        <v>OK</v>
      </c>
    </row>
    <row r="12" spans="1:35" hidden="1" x14ac:dyDescent="0.3">
      <c r="A12" s="13">
        <v>46032</v>
      </c>
      <c r="B12" s="14" t="s">
        <v>2806</v>
      </c>
      <c r="C12" s="16"/>
      <c r="D12" s="16"/>
      <c r="E12" s="15" t="s">
        <v>854</v>
      </c>
      <c r="F12" s="15" t="s">
        <v>1246</v>
      </c>
      <c r="G12" s="15" t="s">
        <v>66</v>
      </c>
      <c r="H12" s="15"/>
      <c r="I12" s="15" t="s">
        <v>1302</v>
      </c>
      <c r="J12" s="15" t="s">
        <v>1303</v>
      </c>
      <c r="K12" s="16"/>
      <c r="L12" s="14" t="s">
        <v>2814</v>
      </c>
      <c r="M12" s="16"/>
      <c r="N12" s="15" t="s">
        <v>923</v>
      </c>
      <c r="O12" s="14">
        <v>77.05</v>
      </c>
      <c r="P12" s="14" t="s">
        <v>2845</v>
      </c>
      <c r="Q12" s="14" cm="1">
        <f t="array" ref="Q12">_xlfn.IFS(P12="USD",O12,P12="VND",O12/26090,P12="JPY",O12/161)</f>
        <v>77.05</v>
      </c>
      <c r="R12" s="14">
        <v>60</v>
      </c>
      <c r="S12" s="14">
        <v>10</v>
      </c>
      <c r="T12" s="14"/>
      <c r="U12" s="14" t="s">
        <v>2850</v>
      </c>
      <c r="V12" s="14" t="s">
        <v>2861</v>
      </c>
      <c r="W12" s="14" t="s">
        <v>2856</v>
      </c>
      <c r="X12" s="17">
        <v>0</v>
      </c>
      <c r="Y12" s="15" t="s">
        <v>2874</v>
      </c>
      <c r="Z12" s="20">
        <v>46032</v>
      </c>
      <c r="AA12" s="20" t="s">
        <v>2976</v>
      </c>
      <c r="AB12" s="16"/>
      <c r="AC12" s="16"/>
      <c r="AD12" s="16"/>
      <c r="AE12" s="16" t="s">
        <v>2975</v>
      </c>
      <c r="AF12" s="16"/>
      <c r="AI12" s="3" t="str">
        <f t="shared" ca="1" si="0"/>
        <v>OK</v>
      </c>
    </row>
    <row r="13" spans="1:35" hidden="1" x14ac:dyDescent="0.3">
      <c r="A13" s="13">
        <v>46032</v>
      </c>
      <c r="B13" s="14" t="s">
        <v>2806</v>
      </c>
      <c r="C13" s="16"/>
      <c r="D13" s="16"/>
      <c r="E13" s="15" t="s">
        <v>854</v>
      </c>
      <c r="F13" s="15" t="s">
        <v>1246</v>
      </c>
      <c r="G13" s="15" t="s">
        <v>67</v>
      </c>
      <c r="H13" s="15"/>
      <c r="I13" s="15" t="s">
        <v>1304</v>
      </c>
      <c r="J13" s="15" t="s">
        <v>1305</v>
      </c>
      <c r="K13" s="16"/>
      <c r="L13" s="14" t="s">
        <v>2814</v>
      </c>
      <c r="M13" s="16"/>
      <c r="N13" s="15" t="s">
        <v>923</v>
      </c>
      <c r="O13" s="14">
        <v>74.959999999999994</v>
      </c>
      <c r="P13" s="14" t="s">
        <v>2845</v>
      </c>
      <c r="Q13" s="14" cm="1">
        <f t="array" ref="Q13">_xlfn.IFS(P13="USD",O13,P13="VND",O13/26090,P13="JPY",O13/161)</f>
        <v>74.959999999999994</v>
      </c>
      <c r="R13" s="14">
        <v>60</v>
      </c>
      <c r="S13" s="14">
        <v>10</v>
      </c>
      <c r="T13" s="14"/>
      <c r="U13" s="14" t="s">
        <v>2850</v>
      </c>
      <c r="V13" s="14" t="s">
        <v>2861</v>
      </c>
      <c r="W13" s="14" t="s">
        <v>2856</v>
      </c>
      <c r="X13" s="17">
        <v>0</v>
      </c>
      <c r="Y13" s="15" t="s">
        <v>2874</v>
      </c>
      <c r="Z13" s="20">
        <v>46032</v>
      </c>
      <c r="AA13" s="20" t="s">
        <v>2976</v>
      </c>
      <c r="AB13" s="16"/>
      <c r="AC13" s="16"/>
      <c r="AD13" s="16"/>
      <c r="AE13" s="16" t="s">
        <v>2975</v>
      </c>
      <c r="AF13" s="16"/>
      <c r="AI13" s="3" t="str">
        <f t="shared" ca="1" si="0"/>
        <v>OK</v>
      </c>
    </row>
    <row r="14" spans="1:35" hidden="1" x14ac:dyDescent="0.3">
      <c r="A14" s="13">
        <v>46032</v>
      </c>
      <c r="B14" s="14" t="s">
        <v>2806</v>
      </c>
      <c r="C14" s="16"/>
      <c r="D14" s="16"/>
      <c r="E14" s="15" t="s">
        <v>855</v>
      </c>
      <c r="F14" s="15" t="s">
        <v>907</v>
      </c>
      <c r="G14" s="15" t="s">
        <v>68</v>
      </c>
      <c r="H14" s="15"/>
      <c r="I14" s="15" t="s">
        <v>1306</v>
      </c>
      <c r="J14" s="15" t="s">
        <v>1307</v>
      </c>
      <c r="K14" s="16"/>
      <c r="L14" s="14" t="s">
        <v>2815</v>
      </c>
      <c r="M14" s="16"/>
      <c r="N14" s="15" t="s">
        <v>924</v>
      </c>
      <c r="O14" s="14">
        <v>6.1779999999999999</v>
      </c>
      <c r="P14" s="14" t="s">
        <v>2845</v>
      </c>
      <c r="Q14" s="14" cm="1">
        <f t="array" ref="Q14">_xlfn.IFS(P14="USD",O14,P14="VND",O14/26090,P14="JPY",O14/161)</f>
        <v>6.1779999999999999</v>
      </c>
      <c r="R14" s="14">
        <v>21</v>
      </c>
      <c r="S14" s="14">
        <v>30</v>
      </c>
      <c r="T14" s="14"/>
      <c r="U14" s="14" t="s">
        <v>2849</v>
      </c>
      <c r="V14" s="14" t="s">
        <v>2857</v>
      </c>
      <c r="W14" s="14" t="s">
        <v>2858</v>
      </c>
      <c r="X14" s="17">
        <v>0</v>
      </c>
      <c r="Y14" s="15" t="s">
        <v>2875</v>
      </c>
      <c r="Z14" s="20">
        <v>46029</v>
      </c>
      <c r="AA14" s="18"/>
      <c r="AB14" s="16"/>
      <c r="AC14" s="16"/>
      <c r="AD14" s="16"/>
      <c r="AE14" s="16" t="s">
        <v>3025</v>
      </c>
      <c r="AF14" s="16"/>
      <c r="AI14" s="3" t="str">
        <f t="shared" ca="1" si="0"/>
        <v>OK</v>
      </c>
    </row>
    <row r="15" spans="1:35" hidden="1" x14ac:dyDescent="0.3">
      <c r="A15" s="13">
        <v>46032</v>
      </c>
      <c r="B15" s="14" t="s">
        <v>2806</v>
      </c>
      <c r="C15" s="16"/>
      <c r="D15" s="16"/>
      <c r="E15" s="15" t="s">
        <v>855</v>
      </c>
      <c r="F15" s="15" t="s">
        <v>907</v>
      </c>
      <c r="G15" s="15" t="s">
        <v>69</v>
      </c>
      <c r="H15" s="15"/>
      <c r="I15" s="15" t="s">
        <v>1308</v>
      </c>
      <c r="J15" s="15" t="s">
        <v>1309</v>
      </c>
      <c r="K15" s="16"/>
      <c r="L15" s="14" t="s">
        <v>2815</v>
      </c>
      <c r="M15" s="16"/>
      <c r="N15" s="15" t="s">
        <v>924</v>
      </c>
      <c r="O15" s="14">
        <v>6.1779999999999999</v>
      </c>
      <c r="P15" s="14" t="s">
        <v>2845</v>
      </c>
      <c r="Q15" s="14" cm="1">
        <f t="array" ref="Q15">_xlfn.IFS(P15="USD",O15,P15="VND",O15/26090,P15="JPY",O15/161)</f>
        <v>6.1779999999999999</v>
      </c>
      <c r="R15" s="14">
        <v>21</v>
      </c>
      <c r="S15" s="14">
        <v>30</v>
      </c>
      <c r="T15" s="14"/>
      <c r="U15" s="14" t="s">
        <v>2849</v>
      </c>
      <c r="V15" s="14" t="s">
        <v>2857</v>
      </c>
      <c r="W15" s="14" t="s">
        <v>2858</v>
      </c>
      <c r="X15" s="17">
        <v>0</v>
      </c>
      <c r="Y15" s="15" t="s">
        <v>2875</v>
      </c>
      <c r="Z15" s="20">
        <v>46029</v>
      </c>
      <c r="AA15" s="18"/>
      <c r="AB15" s="16"/>
      <c r="AC15" s="16"/>
      <c r="AD15" s="16"/>
      <c r="AE15" s="16" t="s">
        <v>3025</v>
      </c>
      <c r="AF15" s="16"/>
      <c r="AI15" s="3" t="str">
        <f t="shared" ca="1" si="0"/>
        <v>OK</v>
      </c>
    </row>
    <row r="16" spans="1:35" hidden="1" x14ac:dyDescent="0.3">
      <c r="A16" s="13">
        <v>46032</v>
      </c>
      <c r="B16" s="14" t="s">
        <v>2806</v>
      </c>
      <c r="C16" s="16"/>
      <c r="D16" s="16"/>
      <c r="E16" s="15" t="s">
        <v>855</v>
      </c>
      <c r="F16" s="15" t="s">
        <v>907</v>
      </c>
      <c r="G16" s="15" t="s">
        <v>70</v>
      </c>
      <c r="H16" s="15"/>
      <c r="I16" s="15" t="s">
        <v>1310</v>
      </c>
      <c r="J16" s="15" t="s">
        <v>1311</v>
      </c>
      <c r="K16" s="16"/>
      <c r="L16" s="14" t="s">
        <v>2815</v>
      </c>
      <c r="M16" s="16"/>
      <c r="N16" s="15" t="s">
        <v>924</v>
      </c>
      <c r="O16" s="14">
        <v>6.1779999999999999</v>
      </c>
      <c r="P16" s="14" t="s">
        <v>2845</v>
      </c>
      <c r="Q16" s="14" cm="1">
        <f t="array" ref="Q16">_xlfn.IFS(P16="USD",O16,P16="VND",O16/26090,P16="JPY",O16/161)</f>
        <v>6.1779999999999999</v>
      </c>
      <c r="R16" s="14">
        <v>21</v>
      </c>
      <c r="S16" s="14">
        <v>30</v>
      </c>
      <c r="T16" s="14"/>
      <c r="U16" s="14" t="s">
        <v>2849</v>
      </c>
      <c r="V16" s="14" t="s">
        <v>2857</v>
      </c>
      <c r="W16" s="14" t="s">
        <v>2858</v>
      </c>
      <c r="X16" s="17">
        <v>0</v>
      </c>
      <c r="Y16" s="15" t="s">
        <v>2875</v>
      </c>
      <c r="Z16" s="20">
        <v>46029</v>
      </c>
      <c r="AA16" s="18"/>
      <c r="AB16" s="16"/>
      <c r="AC16" s="16"/>
      <c r="AD16" s="16"/>
      <c r="AE16" s="16" t="s">
        <v>3025</v>
      </c>
      <c r="AF16" s="16"/>
      <c r="AI16" s="3" t="str">
        <f t="shared" ca="1" si="0"/>
        <v>OK</v>
      </c>
    </row>
    <row r="17" spans="1:35" hidden="1" x14ac:dyDescent="0.3">
      <c r="A17" s="13">
        <v>46032</v>
      </c>
      <c r="B17" s="14" t="s">
        <v>2806</v>
      </c>
      <c r="C17" s="16"/>
      <c r="D17" s="16"/>
      <c r="E17" s="15" t="s">
        <v>855</v>
      </c>
      <c r="F17" s="15" t="s">
        <v>907</v>
      </c>
      <c r="G17" s="15" t="s">
        <v>71</v>
      </c>
      <c r="H17" s="15"/>
      <c r="I17" s="15" t="s">
        <v>1312</v>
      </c>
      <c r="J17" s="15" t="s">
        <v>1313</v>
      </c>
      <c r="K17" s="16"/>
      <c r="L17" s="14" t="s">
        <v>2815</v>
      </c>
      <c r="M17" s="16"/>
      <c r="N17" s="15" t="s">
        <v>924</v>
      </c>
      <c r="O17" s="14">
        <v>5.0129999999999999</v>
      </c>
      <c r="P17" s="14" t="s">
        <v>2845</v>
      </c>
      <c r="Q17" s="14" cm="1">
        <f t="array" ref="Q17">_xlfn.IFS(P17="USD",O17,P17="VND",O17/26090,P17="JPY",O17/161)</f>
        <v>5.0129999999999999</v>
      </c>
      <c r="R17" s="14">
        <v>21</v>
      </c>
      <c r="S17" s="14">
        <v>30</v>
      </c>
      <c r="T17" s="14"/>
      <c r="U17" s="14" t="s">
        <v>2849</v>
      </c>
      <c r="V17" s="14" t="s">
        <v>2857</v>
      </c>
      <c r="W17" s="14" t="s">
        <v>2858</v>
      </c>
      <c r="X17" s="17">
        <v>0</v>
      </c>
      <c r="Y17" s="15" t="s">
        <v>2875</v>
      </c>
      <c r="Z17" s="20">
        <v>46029</v>
      </c>
      <c r="AA17" s="18"/>
      <c r="AB17" s="16"/>
      <c r="AC17" s="16"/>
      <c r="AD17" s="16"/>
      <c r="AE17" s="16" t="s">
        <v>3025</v>
      </c>
      <c r="AF17" s="16"/>
      <c r="AI17" s="3" t="str">
        <f t="shared" ca="1" si="0"/>
        <v>OK</v>
      </c>
    </row>
    <row r="18" spans="1:35" hidden="1" x14ac:dyDescent="0.3">
      <c r="A18" s="13">
        <v>46032</v>
      </c>
      <c r="B18" s="14" t="s">
        <v>2806</v>
      </c>
      <c r="C18" s="16"/>
      <c r="D18" s="16"/>
      <c r="E18" s="15" t="s">
        <v>856</v>
      </c>
      <c r="F18" s="15" t="s">
        <v>1247</v>
      </c>
      <c r="G18" s="15" t="s">
        <v>72</v>
      </c>
      <c r="H18" s="15"/>
      <c r="I18" s="15" t="s">
        <v>1314</v>
      </c>
      <c r="J18" s="15" t="s">
        <v>1315</v>
      </c>
      <c r="K18" s="16"/>
      <c r="L18" s="14" t="s">
        <v>2815</v>
      </c>
      <c r="M18" s="16"/>
      <c r="N18" s="15" t="s">
        <v>925</v>
      </c>
      <c r="O18" s="14">
        <v>2.4300000000000002</v>
      </c>
      <c r="P18" s="14" t="s">
        <v>2845</v>
      </c>
      <c r="Q18" s="14" cm="1">
        <f t="array" ref="Q18">_xlfn.IFS(P18="USD",O18,P18="VND",O18/26090,P18="JPY",O18/161)</f>
        <v>2.4300000000000002</v>
      </c>
      <c r="R18" s="14">
        <v>120</v>
      </c>
      <c r="S18" s="14">
        <v>500</v>
      </c>
      <c r="T18" s="14"/>
      <c r="U18" s="14" t="s">
        <v>2848</v>
      </c>
      <c r="V18" s="14" t="s">
        <v>2857</v>
      </c>
      <c r="W18" s="14" t="s">
        <v>2858</v>
      </c>
      <c r="X18" s="17">
        <v>0</v>
      </c>
      <c r="Y18" s="15" t="s">
        <v>2879</v>
      </c>
      <c r="Z18" s="20">
        <v>46028</v>
      </c>
      <c r="AA18" s="18"/>
      <c r="AB18" s="16"/>
      <c r="AC18" s="16"/>
      <c r="AD18" s="16"/>
      <c r="AE18" s="16" t="s">
        <v>3012</v>
      </c>
      <c r="AF18" s="16"/>
      <c r="AI18" s="3" t="str">
        <f t="shared" ca="1" si="0"/>
        <v>OK</v>
      </c>
    </row>
    <row r="19" spans="1:35" hidden="1" x14ac:dyDescent="0.3">
      <c r="A19" s="13">
        <v>46032</v>
      </c>
      <c r="B19" s="14" t="s">
        <v>2806</v>
      </c>
      <c r="C19" s="16"/>
      <c r="D19" s="16"/>
      <c r="E19" s="15" t="s">
        <v>857</v>
      </c>
      <c r="F19" s="15" t="s">
        <v>912</v>
      </c>
      <c r="G19" s="15" t="s">
        <v>73</v>
      </c>
      <c r="H19" s="15"/>
      <c r="I19" s="15" t="s">
        <v>1316</v>
      </c>
      <c r="J19" s="15" t="s">
        <v>1317</v>
      </c>
      <c r="K19" s="16"/>
      <c r="L19" s="14" t="s">
        <v>2807</v>
      </c>
      <c r="M19" s="16"/>
      <c r="N19" s="15" t="s">
        <v>926</v>
      </c>
      <c r="O19" s="14">
        <v>3.41</v>
      </c>
      <c r="P19" s="14" t="s">
        <v>2845</v>
      </c>
      <c r="Q19" s="14" cm="1">
        <f t="array" ref="Q19">_xlfn.IFS(P19="USD",O19,P19="VND",O19/26090,P19="JPY",O19/161)</f>
        <v>3.41</v>
      </c>
      <c r="R19" s="14">
        <v>70</v>
      </c>
      <c r="S19" s="14">
        <v>1</v>
      </c>
      <c r="T19" s="14"/>
      <c r="U19" s="14" t="s">
        <v>2848</v>
      </c>
      <c r="V19" s="14" t="s">
        <v>2857</v>
      </c>
      <c r="W19" s="14" t="s">
        <v>2858</v>
      </c>
      <c r="X19" s="17">
        <v>0</v>
      </c>
      <c r="Y19" s="15" t="s">
        <v>2875</v>
      </c>
      <c r="Z19" s="20">
        <v>46243</v>
      </c>
      <c r="AA19" s="20">
        <v>46608</v>
      </c>
      <c r="AB19" s="16"/>
      <c r="AC19" s="16"/>
      <c r="AD19" s="16"/>
      <c r="AE19" s="16" t="s">
        <v>2957</v>
      </c>
      <c r="AF19" s="16"/>
      <c r="AI19" s="3" t="str">
        <f t="shared" ca="1" si="0"/>
        <v>OK</v>
      </c>
    </row>
    <row r="20" spans="1:35" hidden="1" x14ac:dyDescent="0.3">
      <c r="A20" s="13">
        <v>46032</v>
      </c>
      <c r="B20" s="14" t="s">
        <v>2806</v>
      </c>
      <c r="C20" s="16"/>
      <c r="D20" s="16"/>
      <c r="E20" s="15" t="s">
        <v>858</v>
      </c>
      <c r="F20" s="15" t="s">
        <v>1248</v>
      </c>
      <c r="G20" s="15" t="s">
        <v>74</v>
      </c>
      <c r="H20" s="15"/>
      <c r="I20" s="15" t="s">
        <v>1318</v>
      </c>
      <c r="J20" s="15" t="s">
        <v>1319</v>
      </c>
      <c r="K20" s="16"/>
      <c r="L20" s="14" t="s">
        <v>2816</v>
      </c>
      <c r="M20" s="16"/>
      <c r="N20" s="15" t="s">
        <v>927</v>
      </c>
      <c r="O20" s="14">
        <v>601.79999999999995</v>
      </c>
      <c r="P20" s="14" t="s">
        <v>2845</v>
      </c>
      <c r="Q20" s="14" cm="1">
        <f t="array" ref="Q20">_xlfn.IFS(P20="USD",O20,P20="VND",O20/26090,P20="JPY",O20/161)</f>
        <v>601.79999999999995</v>
      </c>
      <c r="R20" s="14">
        <v>60</v>
      </c>
      <c r="S20" s="14">
        <v>36</v>
      </c>
      <c r="T20" s="14"/>
      <c r="U20" s="14" t="s">
        <v>2851</v>
      </c>
      <c r="V20" s="14" t="s">
        <v>2863</v>
      </c>
      <c r="W20" s="14" t="s">
        <v>2860</v>
      </c>
      <c r="X20" s="17">
        <v>0</v>
      </c>
      <c r="Y20" s="15" t="s">
        <v>2880</v>
      </c>
      <c r="Z20" s="20">
        <v>46333</v>
      </c>
      <c r="AA20" s="20">
        <v>46305</v>
      </c>
      <c r="AB20" s="16"/>
      <c r="AC20" s="16"/>
      <c r="AD20" s="16"/>
      <c r="AE20" s="16" t="s">
        <v>3047</v>
      </c>
      <c r="AF20" s="16"/>
      <c r="AI20" s="3" t="str">
        <f t="shared" ca="1" si="0"/>
        <v>OK</v>
      </c>
    </row>
    <row r="21" spans="1:35" hidden="1" x14ac:dyDescent="0.3">
      <c r="A21" s="13">
        <v>46032</v>
      </c>
      <c r="B21" s="14" t="s">
        <v>2806</v>
      </c>
      <c r="C21" s="16"/>
      <c r="D21" s="16"/>
      <c r="E21" s="15" t="s">
        <v>855</v>
      </c>
      <c r="F21" s="15" t="s">
        <v>907</v>
      </c>
      <c r="G21" s="15" t="s">
        <v>75</v>
      </c>
      <c r="H21" s="15"/>
      <c r="I21" s="15" t="s">
        <v>1320</v>
      </c>
      <c r="J21" s="15" t="s">
        <v>1321</v>
      </c>
      <c r="K21" s="16"/>
      <c r="L21" s="14" t="s">
        <v>2815</v>
      </c>
      <c r="M21" s="16"/>
      <c r="N21" s="15" t="s">
        <v>924</v>
      </c>
      <c r="O21" s="14">
        <v>14.348000000000001</v>
      </c>
      <c r="P21" s="14" t="s">
        <v>2845</v>
      </c>
      <c r="Q21" s="14" cm="1">
        <f t="array" ref="Q21">_xlfn.IFS(P21="USD",O21,P21="VND",O21/26090,P21="JPY",O21/161)</f>
        <v>14.348000000000001</v>
      </c>
      <c r="R21" s="14">
        <v>21</v>
      </c>
      <c r="S21" s="14">
        <v>20</v>
      </c>
      <c r="T21" s="14"/>
      <c r="U21" s="14" t="s">
        <v>2849</v>
      </c>
      <c r="V21" s="14" t="s">
        <v>2857</v>
      </c>
      <c r="W21" s="14" t="s">
        <v>2858</v>
      </c>
      <c r="X21" s="17">
        <v>0</v>
      </c>
      <c r="Y21" s="15" t="s">
        <v>2875</v>
      </c>
      <c r="Z21" s="20">
        <v>46029</v>
      </c>
      <c r="AA21" s="18"/>
      <c r="AB21" s="16"/>
      <c r="AC21" s="16"/>
      <c r="AD21" s="16"/>
      <c r="AE21" s="16" t="s">
        <v>3025</v>
      </c>
      <c r="AF21" s="16"/>
      <c r="AI21" s="3" t="str">
        <f t="shared" ca="1" si="0"/>
        <v>OK</v>
      </c>
    </row>
    <row r="22" spans="1:35" hidden="1" x14ac:dyDescent="0.3">
      <c r="A22" s="13">
        <v>46032</v>
      </c>
      <c r="B22" s="14" t="s">
        <v>2806</v>
      </c>
      <c r="C22" s="16"/>
      <c r="D22" s="16"/>
      <c r="E22" s="15" t="s">
        <v>853</v>
      </c>
      <c r="F22" s="15" t="s">
        <v>903</v>
      </c>
      <c r="G22" s="15" t="s">
        <v>76</v>
      </c>
      <c r="H22" s="15"/>
      <c r="I22" s="15" t="s">
        <v>1322</v>
      </c>
      <c r="J22" s="15" t="s">
        <v>1323</v>
      </c>
      <c r="K22" s="16"/>
      <c r="L22" s="14" t="s">
        <v>2813</v>
      </c>
      <c r="M22" s="16"/>
      <c r="N22" s="15" t="s">
        <v>922</v>
      </c>
      <c r="O22" s="14">
        <v>1954</v>
      </c>
      <c r="P22" s="14" t="s">
        <v>2845</v>
      </c>
      <c r="Q22" s="14" cm="1">
        <f t="array" ref="Q22">_xlfn.IFS(P22="USD",O22,P22="VND",O22/26090,P22="JPY",O22/161)</f>
        <v>1954</v>
      </c>
      <c r="R22" s="14">
        <v>114</v>
      </c>
      <c r="S22" s="14">
        <v>1</v>
      </c>
      <c r="T22" s="14"/>
      <c r="U22" s="14" t="s">
        <v>2850</v>
      </c>
      <c r="V22" s="14" t="s">
        <v>2862</v>
      </c>
      <c r="W22" s="14" t="s">
        <v>2856</v>
      </c>
      <c r="X22" s="17">
        <v>0</v>
      </c>
      <c r="Y22" s="15" t="s">
        <v>2878</v>
      </c>
      <c r="Z22" s="20">
        <v>46031</v>
      </c>
      <c r="AA22" s="18"/>
      <c r="AB22" s="16"/>
      <c r="AC22" s="16"/>
      <c r="AD22" s="16"/>
      <c r="AE22" s="16" t="s">
        <v>2984</v>
      </c>
      <c r="AF22" s="16"/>
      <c r="AI22" s="3" t="str">
        <f t="shared" ca="1" si="0"/>
        <v>OK</v>
      </c>
    </row>
    <row r="23" spans="1:35" hidden="1" x14ac:dyDescent="0.3">
      <c r="A23" s="13">
        <v>46032</v>
      </c>
      <c r="B23" s="14" t="s">
        <v>2806</v>
      </c>
      <c r="C23" s="16"/>
      <c r="D23" s="16"/>
      <c r="E23" s="15" t="s">
        <v>855</v>
      </c>
      <c r="F23" s="15" t="s">
        <v>907</v>
      </c>
      <c r="G23" s="15" t="s">
        <v>77</v>
      </c>
      <c r="H23" s="15"/>
      <c r="I23" s="15" t="s">
        <v>1324</v>
      </c>
      <c r="J23" s="15" t="s">
        <v>1325</v>
      </c>
      <c r="K23" s="16"/>
      <c r="L23" s="14" t="s">
        <v>2815</v>
      </c>
      <c r="M23" s="16"/>
      <c r="N23" s="15" t="s">
        <v>924</v>
      </c>
      <c r="O23" s="14">
        <v>9.9809999999999999</v>
      </c>
      <c r="P23" s="14" t="s">
        <v>2845</v>
      </c>
      <c r="Q23" s="14" cm="1">
        <f t="array" ref="Q23">_xlfn.IFS(P23="USD",O23,P23="VND",O23/26090,P23="JPY",O23/161)</f>
        <v>9.9809999999999999</v>
      </c>
      <c r="R23" s="14">
        <v>21</v>
      </c>
      <c r="S23" s="14">
        <v>20</v>
      </c>
      <c r="T23" s="14"/>
      <c r="U23" s="14" t="s">
        <v>2849</v>
      </c>
      <c r="V23" s="14" t="s">
        <v>2857</v>
      </c>
      <c r="W23" s="14" t="s">
        <v>2858</v>
      </c>
      <c r="X23" s="17">
        <v>0</v>
      </c>
      <c r="Y23" s="15" t="s">
        <v>2875</v>
      </c>
      <c r="Z23" s="20">
        <v>46029</v>
      </c>
      <c r="AA23" s="18"/>
      <c r="AB23" s="16"/>
      <c r="AC23" s="16"/>
      <c r="AD23" s="16"/>
      <c r="AE23" s="16" t="s">
        <v>3025</v>
      </c>
      <c r="AF23" s="16"/>
      <c r="AI23" s="3" t="str">
        <f t="shared" ca="1" si="0"/>
        <v>OK</v>
      </c>
    </row>
    <row r="24" spans="1:35" hidden="1" x14ac:dyDescent="0.3">
      <c r="A24" s="13">
        <v>46032</v>
      </c>
      <c r="B24" s="14" t="s">
        <v>2806</v>
      </c>
      <c r="C24" s="16"/>
      <c r="D24" s="16"/>
      <c r="E24" s="15" t="s">
        <v>855</v>
      </c>
      <c r="F24" s="15" t="s">
        <v>907</v>
      </c>
      <c r="G24" s="15" t="s">
        <v>78</v>
      </c>
      <c r="H24" s="15"/>
      <c r="I24" s="15" t="s">
        <v>1326</v>
      </c>
      <c r="J24" s="15" t="s">
        <v>1327</v>
      </c>
      <c r="K24" s="16"/>
      <c r="L24" s="14" t="s">
        <v>2815</v>
      </c>
      <c r="M24" s="16"/>
      <c r="N24" s="15" t="s">
        <v>928</v>
      </c>
      <c r="O24" s="14">
        <v>13.617000000000001</v>
      </c>
      <c r="P24" s="14" t="s">
        <v>2845</v>
      </c>
      <c r="Q24" s="14" cm="1">
        <f t="array" ref="Q24">_xlfn.IFS(P24="USD",O24,P24="VND",O24/26090,P24="JPY",O24/161)</f>
        <v>13.617000000000001</v>
      </c>
      <c r="R24" s="14">
        <v>21</v>
      </c>
      <c r="S24" s="14">
        <v>20</v>
      </c>
      <c r="T24" s="14"/>
      <c r="U24" s="14" t="s">
        <v>2849</v>
      </c>
      <c r="V24" s="14" t="s">
        <v>2857</v>
      </c>
      <c r="W24" s="14" t="s">
        <v>2858</v>
      </c>
      <c r="X24" s="17">
        <v>0</v>
      </c>
      <c r="Y24" s="15" t="s">
        <v>2875</v>
      </c>
      <c r="Z24" s="20">
        <v>46029</v>
      </c>
      <c r="AA24" s="18"/>
      <c r="AB24" s="16"/>
      <c r="AC24" s="16"/>
      <c r="AD24" s="16"/>
      <c r="AE24" s="16" t="s">
        <v>3025</v>
      </c>
      <c r="AF24" s="16"/>
      <c r="AI24" s="3" t="str">
        <f t="shared" ca="1" si="0"/>
        <v>OK</v>
      </c>
    </row>
    <row r="25" spans="1:35" hidden="1" x14ac:dyDescent="0.3">
      <c r="A25" s="13">
        <v>46032</v>
      </c>
      <c r="B25" s="14" t="s">
        <v>2806</v>
      </c>
      <c r="C25" s="16"/>
      <c r="D25" s="16"/>
      <c r="E25" s="15" t="s">
        <v>855</v>
      </c>
      <c r="F25" s="15" t="s">
        <v>907</v>
      </c>
      <c r="G25" s="15" t="s">
        <v>79</v>
      </c>
      <c r="H25" s="15"/>
      <c r="I25" s="15" t="s">
        <v>1328</v>
      </c>
      <c r="J25" s="15" t="s">
        <v>1329</v>
      </c>
      <c r="K25" s="16"/>
      <c r="L25" s="14" t="s">
        <v>2815</v>
      </c>
      <c r="M25" s="16"/>
      <c r="N25" s="15" t="s">
        <v>928</v>
      </c>
      <c r="O25" s="14">
        <v>6.8540000000000001</v>
      </c>
      <c r="P25" s="14" t="s">
        <v>2845</v>
      </c>
      <c r="Q25" s="14" cm="1">
        <f t="array" ref="Q25">_xlfn.IFS(P25="USD",O25,P25="VND",O25/26090,P25="JPY",O25/161)</f>
        <v>6.8540000000000001</v>
      </c>
      <c r="R25" s="14">
        <v>21</v>
      </c>
      <c r="S25" s="14">
        <v>20</v>
      </c>
      <c r="T25" s="14"/>
      <c r="U25" s="14" t="s">
        <v>2849</v>
      </c>
      <c r="V25" s="14" t="s">
        <v>2857</v>
      </c>
      <c r="W25" s="14" t="s">
        <v>2858</v>
      </c>
      <c r="X25" s="17">
        <v>0</v>
      </c>
      <c r="Y25" s="15" t="s">
        <v>2875</v>
      </c>
      <c r="Z25" s="20">
        <v>46029</v>
      </c>
      <c r="AA25" s="18"/>
      <c r="AB25" s="16"/>
      <c r="AC25" s="16"/>
      <c r="AD25" s="16"/>
      <c r="AE25" s="16" t="s">
        <v>3025</v>
      </c>
      <c r="AF25" s="16"/>
      <c r="AI25" s="3" t="str">
        <f t="shared" ca="1" si="0"/>
        <v>OK</v>
      </c>
    </row>
    <row r="26" spans="1:35" hidden="1" x14ac:dyDescent="0.3">
      <c r="A26" s="13">
        <v>46032</v>
      </c>
      <c r="B26" s="14" t="s">
        <v>2806</v>
      </c>
      <c r="C26" s="16"/>
      <c r="D26" s="16"/>
      <c r="E26" s="15" t="s">
        <v>853</v>
      </c>
      <c r="F26" s="15" t="s">
        <v>903</v>
      </c>
      <c r="G26" s="15" t="s">
        <v>80</v>
      </c>
      <c r="H26" s="15"/>
      <c r="I26" s="15" t="s">
        <v>1330</v>
      </c>
      <c r="J26" s="15" t="s">
        <v>1331</v>
      </c>
      <c r="K26" s="16"/>
      <c r="L26" s="14" t="s">
        <v>2813</v>
      </c>
      <c r="M26" s="16"/>
      <c r="N26" s="15" t="s">
        <v>922</v>
      </c>
      <c r="O26" s="14">
        <v>126.7</v>
      </c>
      <c r="P26" s="14" t="s">
        <v>2845</v>
      </c>
      <c r="Q26" s="14" cm="1">
        <f t="array" ref="Q26">_xlfn.IFS(P26="USD",O26,P26="VND",O26/26090,P26="JPY",O26/161)</f>
        <v>126.7</v>
      </c>
      <c r="R26" s="14">
        <v>114</v>
      </c>
      <c r="S26" s="14">
        <v>100</v>
      </c>
      <c r="T26" s="14"/>
      <c r="U26" s="14" t="s">
        <v>2850</v>
      </c>
      <c r="V26" s="14" t="s">
        <v>2861</v>
      </c>
      <c r="W26" s="14" t="s">
        <v>2856</v>
      </c>
      <c r="X26" s="17">
        <v>0</v>
      </c>
      <c r="Y26" s="15" t="s">
        <v>2878</v>
      </c>
      <c r="Z26" s="20">
        <v>46031</v>
      </c>
      <c r="AA26" s="18"/>
      <c r="AB26" s="16"/>
      <c r="AC26" s="16"/>
      <c r="AD26" s="16"/>
      <c r="AE26" s="16" t="s">
        <v>2984</v>
      </c>
      <c r="AF26" s="16"/>
      <c r="AI26" s="3" t="str">
        <f t="shared" ca="1" si="0"/>
        <v>OK</v>
      </c>
    </row>
    <row r="27" spans="1:35" hidden="1" x14ac:dyDescent="0.3">
      <c r="A27" s="13">
        <v>46032</v>
      </c>
      <c r="B27" s="14" t="s">
        <v>2806</v>
      </c>
      <c r="C27" s="16"/>
      <c r="D27" s="16"/>
      <c r="E27" s="15" t="s">
        <v>855</v>
      </c>
      <c r="F27" s="15" t="s">
        <v>907</v>
      </c>
      <c r="G27" s="15" t="s">
        <v>81</v>
      </c>
      <c r="H27" s="15"/>
      <c r="I27" s="15" t="s">
        <v>1332</v>
      </c>
      <c r="J27" s="15" t="s">
        <v>1333</v>
      </c>
      <c r="K27" s="16"/>
      <c r="L27" s="14" t="s">
        <v>2815</v>
      </c>
      <c r="M27" s="16"/>
      <c r="N27" s="15" t="s">
        <v>928</v>
      </c>
      <c r="O27" s="14">
        <v>8.84</v>
      </c>
      <c r="P27" s="14" t="s">
        <v>2845</v>
      </c>
      <c r="Q27" s="14" cm="1">
        <f t="array" ref="Q27">_xlfn.IFS(P27="USD",O27,P27="VND",O27/26090,P27="JPY",O27/161)</f>
        <v>8.84</v>
      </c>
      <c r="R27" s="14">
        <v>21</v>
      </c>
      <c r="S27" s="14">
        <v>20</v>
      </c>
      <c r="T27" s="14"/>
      <c r="U27" s="14" t="s">
        <v>2849</v>
      </c>
      <c r="V27" s="14" t="s">
        <v>2857</v>
      </c>
      <c r="W27" s="14" t="s">
        <v>2858</v>
      </c>
      <c r="X27" s="17">
        <v>0</v>
      </c>
      <c r="Y27" s="15" t="s">
        <v>2875</v>
      </c>
      <c r="Z27" s="20">
        <v>46029</v>
      </c>
      <c r="AA27" s="18"/>
      <c r="AB27" s="16"/>
      <c r="AC27" s="16"/>
      <c r="AD27" s="16"/>
      <c r="AE27" s="16" t="s">
        <v>3025</v>
      </c>
      <c r="AF27" s="16"/>
      <c r="AI27" s="3" t="str">
        <f t="shared" ca="1" si="0"/>
        <v>OK</v>
      </c>
    </row>
    <row r="28" spans="1:35" hidden="1" x14ac:dyDescent="0.3">
      <c r="A28" s="13">
        <v>46032</v>
      </c>
      <c r="B28" s="14" t="s">
        <v>2806</v>
      </c>
      <c r="C28" s="16"/>
      <c r="D28" s="16"/>
      <c r="E28" s="15" t="s">
        <v>858</v>
      </c>
      <c r="F28" s="15" t="s">
        <v>1248</v>
      </c>
      <c r="G28" s="15" t="s">
        <v>74</v>
      </c>
      <c r="H28" s="15"/>
      <c r="I28" s="15" t="s">
        <v>1318</v>
      </c>
      <c r="J28" s="15" t="s">
        <v>1319</v>
      </c>
      <c r="K28" s="16"/>
      <c r="L28" s="14" t="s">
        <v>2816</v>
      </c>
      <c r="M28" s="16"/>
      <c r="N28" s="15" t="s">
        <v>927</v>
      </c>
      <c r="O28" s="14">
        <v>600.20000000000005</v>
      </c>
      <c r="P28" s="14" t="s">
        <v>2845</v>
      </c>
      <c r="Q28" s="14" cm="1">
        <f t="array" ref="Q28">_xlfn.IFS(P28="USD",O28,P28="VND",O28/26090,P28="JPY",O28/161)</f>
        <v>600.20000000000005</v>
      </c>
      <c r="R28" s="14">
        <v>60</v>
      </c>
      <c r="S28" s="14">
        <v>48</v>
      </c>
      <c r="T28" s="14"/>
      <c r="U28" s="14" t="s">
        <v>2851</v>
      </c>
      <c r="V28" s="14" t="s">
        <v>2863</v>
      </c>
      <c r="W28" s="14" t="s">
        <v>2860</v>
      </c>
      <c r="X28" s="17">
        <v>0</v>
      </c>
      <c r="Y28" s="15" t="s">
        <v>2880</v>
      </c>
      <c r="Z28" s="20">
        <v>46333</v>
      </c>
      <c r="AA28" s="20">
        <v>46305</v>
      </c>
      <c r="AB28" s="16"/>
      <c r="AC28" s="16"/>
      <c r="AD28" s="16"/>
      <c r="AE28" s="16" t="s">
        <v>3047</v>
      </c>
      <c r="AF28" s="16"/>
      <c r="AI28" s="3" t="str">
        <f t="shared" ca="1" si="0"/>
        <v>OK</v>
      </c>
    </row>
    <row r="29" spans="1:35" hidden="1" x14ac:dyDescent="0.3">
      <c r="A29" s="13">
        <v>46032</v>
      </c>
      <c r="B29" s="14" t="s">
        <v>2806</v>
      </c>
      <c r="C29" s="16"/>
      <c r="D29" s="16"/>
      <c r="E29" s="15" t="s">
        <v>858</v>
      </c>
      <c r="F29" s="15" t="s">
        <v>1248</v>
      </c>
      <c r="G29" s="15" t="s">
        <v>74</v>
      </c>
      <c r="H29" s="15"/>
      <c r="I29" s="15" t="s">
        <v>1318</v>
      </c>
      <c r="J29" s="15" t="s">
        <v>1319</v>
      </c>
      <c r="K29" s="16"/>
      <c r="L29" s="14" t="s">
        <v>2816</v>
      </c>
      <c r="M29" s="16"/>
      <c r="N29" s="15" t="s">
        <v>927</v>
      </c>
      <c r="O29" s="14">
        <v>599.6</v>
      </c>
      <c r="P29" s="14" t="s">
        <v>2845</v>
      </c>
      <c r="Q29" s="14" cm="1">
        <f t="array" ref="Q29">_xlfn.IFS(P29="USD",O29,P29="VND",O29/26090,P29="JPY",O29/161)</f>
        <v>599.6</v>
      </c>
      <c r="R29" s="14">
        <v>60</v>
      </c>
      <c r="S29" s="14">
        <v>60</v>
      </c>
      <c r="T29" s="14"/>
      <c r="U29" s="14" t="s">
        <v>2851</v>
      </c>
      <c r="V29" s="14" t="s">
        <v>2863</v>
      </c>
      <c r="W29" s="14" t="s">
        <v>2860</v>
      </c>
      <c r="X29" s="17">
        <v>0</v>
      </c>
      <c r="Y29" s="15" t="s">
        <v>2880</v>
      </c>
      <c r="Z29" s="20">
        <v>46333</v>
      </c>
      <c r="AA29" s="20">
        <v>46305</v>
      </c>
      <c r="AB29" s="16"/>
      <c r="AC29" s="16"/>
      <c r="AD29" s="16"/>
      <c r="AE29" s="16" t="s">
        <v>3047</v>
      </c>
      <c r="AF29" s="16"/>
      <c r="AI29" s="3" t="str">
        <f t="shared" ca="1" si="0"/>
        <v>OK</v>
      </c>
    </row>
    <row r="30" spans="1:35" hidden="1" x14ac:dyDescent="0.3">
      <c r="A30" s="13">
        <v>46032</v>
      </c>
      <c r="B30" s="14" t="s">
        <v>2806</v>
      </c>
      <c r="C30" s="16"/>
      <c r="D30" s="16"/>
      <c r="E30" s="15" t="s">
        <v>858</v>
      </c>
      <c r="F30" s="15" t="s">
        <v>1248</v>
      </c>
      <c r="G30" s="15" t="s">
        <v>74</v>
      </c>
      <c r="H30" s="15"/>
      <c r="I30" s="15" t="s">
        <v>1318</v>
      </c>
      <c r="J30" s="15" t="s">
        <v>1319</v>
      </c>
      <c r="K30" s="16"/>
      <c r="L30" s="14" t="s">
        <v>2816</v>
      </c>
      <c r="M30" s="16"/>
      <c r="N30" s="15" t="s">
        <v>927</v>
      </c>
      <c r="O30" s="14">
        <v>600.20000000000005</v>
      </c>
      <c r="P30" s="14" t="s">
        <v>2845</v>
      </c>
      <c r="Q30" s="14" cm="1">
        <f t="array" ref="Q30">_xlfn.IFS(P30="USD",O30,P30="VND",O30/26090,P30="JPY",O30/161)</f>
        <v>600.20000000000005</v>
      </c>
      <c r="R30" s="14">
        <v>60</v>
      </c>
      <c r="S30" s="14">
        <v>60</v>
      </c>
      <c r="T30" s="14"/>
      <c r="U30" s="14" t="s">
        <v>2851</v>
      </c>
      <c r="V30" s="14" t="s">
        <v>2863</v>
      </c>
      <c r="W30" s="14" t="s">
        <v>2860</v>
      </c>
      <c r="X30" s="17">
        <v>0</v>
      </c>
      <c r="Y30" s="15" t="s">
        <v>2880</v>
      </c>
      <c r="Z30" s="20">
        <v>46333</v>
      </c>
      <c r="AA30" s="20">
        <v>46305</v>
      </c>
      <c r="AB30" s="16"/>
      <c r="AC30" s="16"/>
      <c r="AD30" s="16"/>
      <c r="AE30" s="16" t="s">
        <v>3047</v>
      </c>
      <c r="AF30" s="16"/>
      <c r="AI30" s="3" t="str">
        <f t="shared" ca="1" si="0"/>
        <v>OK</v>
      </c>
    </row>
    <row r="31" spans="1:35" hidden="1" x14ac:dyDescent="0.3">
      <c r="A31" s="13">
        <v>46032</v>
      </c>
      <c r="B31" s="14" t="s">
        <v>2806</v>
      </c>
      <c r="C31" s="16"/>
      <c r="D31" s="16"/>
      <c r="E31" s="15" t="s">
        <v>858</v>
      </c>
      <c r="F31" s="15" t="s">
        <v>1248</v>
      </c>
      <c r="G31" s="15" t="s">
        <v>74</v>
      </c>
      <c r="H31" s="15"/>
      <c r="I31" s="15" t="s">
        <v>1318</v>
      </c>
      <c r="J31" s="15" t="s">
        <v>1319</v>
      </c>
      <c r="K31" s="16"/>
      <c r="L31" s="14" t="s">
        <v>2816</v>
      </c>
      <c r="M31" s="16"/>
      <c r="N31" s="15" t="s">
        <v>927</v>
      </c>
      <c r="O31" s="14">
        <v>598.20000000000005</v>
      </c>
      <c r="P31" s="14" t="s">
        <v>2845</v>
      </c>
      <c r="Q31" s="14" cm="1">
        <f t="array" ref="Q31">_xlfn.IFS(P31="USD",O31,P31="VND",O31/26090,P31="JPY",O31/161)</f>
        <v>598.20000000000005</v>
      </c>
      <c r="R31" s="14">
        <v>60</v>
      </c>
      <c r="S31" s="14">
        <v>84</v>
      </c>
      <c r="T31" s="14"/>
      <c r="U31" s="14" t="s">
        <v>2851</v>
      </c>
      <c r="V31" s="14" t="s">
        <v>2863</v>
      </c>
      <c r="W31" s="14" t="s">
        <v>2860</v>
      </c>
      <c r="X31" s="17">
        <v>0</v>
      </c>
      <c r="Y31" s="15" t="s">
        <v>2880</v>
      </c>
      <c r="Z31" s="20">
        <v>46333</v>
      </c>
      <c r="AA31" s="20">
        <v>46305</v>
      </c>
      <c r="AB31" s="16"/>
      <c r="AC31" s="16"/>
      <c r="AD31" s="16"/>
      <c r="AE31" s="16" t="s">
        <v>3047</v>
      </c>
      <c r="AF31" s="16"/>
      <c r="AI31" s="3" t="str">
        <f t="shared" ca="1" si="0"/>
        <v>OK</v>
      </c>
    </row>
    <row r="32" spans="1:35" hidden="1" x14ac:dyDescent="0.3">
      <c r="A32" s="13">
        <v>46032</v>
      </c>
      <c r="B32" s="14" t="s">
        <v>2806</v>
      </c>
      <c r="C32" s="16"/>
      <c r="D32" s="16"/>
      <c r="E32" s="15" t="s">
        <v>858</v>
      </c>
      <c r="F32" s="15" t="s">
        <v>1248</v>
      </c>
      <c r="G32" s="15" t="s">
        <v>74</v>
      </c>
      <c r="H32" s="15"/>
      <c r="I32" s="15" t="s">
        <v>1318</v>
      </c>
      <c r="J32" s="15" t="s">
        <v>1319</v>
      </c>
      <c r="K32" s="16"/>
      <c r="L32" s="14" t="s">
        <v>2816</v>
      </c>
      <c r="M32" s="16"/>
      <c r="N32" s="15" t="s">
        <v>927</v>
      </c>
      <c r="O32" s="14">
        <v>598</v>
      </c>
      <c r="P32" s="14" t="s">
        <v>2845</v>
      </c>
      <c r="Q32" s="14" cm="1">
        <f t="array" ref="Q32">_xlfn.IFS(P32="USD",O32,P32="VND",O32/26090,P32="JPY",O32/161)</f>
        <v>598</v>
      </c>
      <c r="R32" s="14">
        <v>60</v>
      </c>
      <c r="S32" s="14">
        <v>108</v>
      </c>
      <c r="T32" s="14"/>
      <c r="U32" s="14" t="s">
        <v>2851</v>
      </c>
      <c r="V32" s="14" t="s">
        <v>2863</v>
      </c>
      <c r="W32" s="14" t="s">
        <v>2860</v>
      </c>
      <c r="X32" s="17">
        <v>0</v>
      </c>
      <c r="Y32" s="15" t="s">
        <v>2880</v>
      </c>
      <c r="Z32" s="20">
        <v>46333</v>
      </c>
      <c r="AA32" s="20">
        <v>46305</v>
      </c>
      <c r="AB32" s="16"/>
      <c r="AC32" s="16"/>
      <c r="AD32" s="16"/>
      <c r="AE32" s="16" t="s">
        <v>3047</v>
      </c>
      <c r="AF32" s="16"/>
      <c r="AI32" s="3" t="str">
        <f t="shared" ca="1" si="0"/>
        <v>OK</v>
      </c>
    </row>
    <row r="33" spans="1:35" hidden="1" x14ac:dyDescent="0.3">
      <c r="A33" s="13">
        <v>46032</v>
      </c>
      <c r="B33" s="14" t="s">
        <v>2806</v>
      </c>
      <c r="C33" s="16"/>
      <c r="D33" s="16"/>
      <c r="E33" s="15" t="s">
        <v>858</v>
      </c>
      <c r="F33" s="15" t="s">
        <v>1248</v>
      </c>
      <c r="G33" s="15" t="s">
        <v>74</v>
      </c>
      <c r="H33" s="15"/>
      <c r="I33" s="15" t="s">
        <v>1318</v>
      </c>
      <c r="J33" s="15" t="s">
        <v>1319</v>
      </c>
      <c r="K33" s="16"/>
      <c r="L33" s="14" t="s">
        <v>2816</v>
      </c>
      <c r="M33" s="16"/>
      <c r="N33" s="15" t="s">
        <v>927</v>
      </c>
      <c r="O33" s="14">
        <v>596.4</v>
      </c>
      <c r="P33" s="14" t="s">
        <v>2845</v>
      </c>
      <c r="Q33" s="14" cm="1">
        <f t="array" ref="Q33">_xlfn.IFS(P33="USD",O33,P33="VND",O33/26090,P33="JPY",O33/161)</f>
        <v>596.4</v>
      </c>
      <c r="R33" s="14">
        <v>60</v>
      </c>
      <c r="S33" s="14">
        <v>120</v>
      </c>
      <c r="T33" s="14"/>
      <c r="U33" s="14" t="s">
        <v>2851</v>
      </c>
      <c r="V33" s="14" t="s">
        <v>2863</v>
      </c>
      <c r="W33" s="14" t="s">
        <v>2860</v>
      </c>
      <c r="X33" s="17">
        <v>0</v>
      </c>
      <c r="Y33" s="15" t="s">
        <v>2880</v>
      </c>
      <c r="Z33" s="20">
        <v>46333</v>
      </c>
      <c r="AA33" s="20">
        <v>46305</v>
      </c>
      <c r="AB33" s="16"/>
      <c r="AC33" s="16"/>
      <c r="AD33" s="16"/>
      <c r="AE33" s="16" t="s">
        <v>3047</v>
      </c>
      <c r="AF33" s="16"/>
      <c r="AI33" s="3" t="str">
        <f t="shared" ca="1" si="0"/>
        <v>OK</v>
      </c>
    </row>
    <row r="34" spans="1:35" hidden="1" x14ac:dyDescent="0.3">
      <c r="A34" s="13">
        <v>46032</v>
      </c>
      <c r="B34" s="14" t="s">
        <v>2806</v>
      </c>
      <c r="C34" s="16"/>
      <c r="D34" s="16"/>
      <c r="E34" s="15" t="s">
        <v>858</v>
      </c>
      <c r="F34" s="15" t="s">
        <v>1248</v>
      </c>
      <c r="G34" s="15" t="s">
        <v>82</v>
      </c>
      <c r="H34" s="15"/>
      <c r="I34" s="15" t="s">
        <v>1334</v>
      </c>
      <c r="J34" s="15" t="s">
        <v>1335</v>
      </c>
      <c r="K34" s="16"/>
      <c r="L34" s="14" t="s">
        <v>2816</v>
      </c>
      <c r="M34" s="16"/>
      <c r="N34" s="15" t="s">
        <v>929</v>
      </c>
      <c r="O34" s="14">
        <v>90.07</v>
      </c>
      <c r="P34" s="14" t="s">
        <v>2845</v>
      </c>
      <c r="Q34" s="14" cm="1">
        <f t="array" ref="Q34">_xlfn.IFS(P34="USD",O34,P34="VND",O34/26090,P34="JPY",O34/161)</f>
        <v>90.07</v>
      </c>
      <c r="R34" s="14">
        <v>60</v>
      </c>
      <c r="S34" s="14">
        <v>10</v>
      </c>
      <c r="T34" s="14"/>
      <c r="U34" s="14" t="s">
        <v>2852</v>
      </c>
      <c r="V34" s="14" t="s">
        <v>2864</v>
      </c>
      <c r="W34" s="14" t="s">
        <v>2860</v>
      </c>
      <c r="X34" s="17">
        <v>0</v>
      </c>
      <c r="Y34" s="15" t="s">
        <v>2880</v>
      </c>
      <c r="Z34" s="20">
        <v>46333</v>
      </c>
      <c r="AA34" s="20">
        <v>46305</v>
      </c>
      <c r="AB34" s="16"/>
      <c r="AC34" s="16"/>
      <c r="AD34" s="16"/>
      <c r="AE34" s="16" t="s">
        <v>3048</v>
      </c>
      <c r="AF34" s="16"/>
      <c r="AI34" s="3" t="str">
        <f t="shared" ca="1" si="0"/>
        <v>OK</v>
      </c>
    </row>
    <row r="35" spans="1:35" hidden="1" x14ac:dyDescent="0.3">
      <c r="A35" s="13">
        <v>46032</v>
      </c>
      <c r="B35" s="14" t="s">
        <v>2806</v>
      </c>
      <c r="C35" s="16"/>
      <c r="D35" s="16"/>
      <c r="E35" s="15" t="s">
        <v>862</v>
      </c>
      <c r="F35" s="15" t="s">
        <v>1251</v>
      </c>
      <c r="G35" s="15" t="s">
        <v>83</v>
      </c>
      <c r="H35" s="15"/>
      <c r="I35" s="15" t="s">
        <v>1336</v>
      </c>
      <c r="J35" s="15" t="s">
        <v>1337</v>
      </c>
      <c r="K35" s="16"/>
      <c r="L35" s="14" t="s">
        <v>2807</v>
      </c>
      <c r="M35" s="16"/>
      <c r="N35" s="15" t="s">
        <v>930</v>
      </c>
      <c r="O35" s="14">
        <v>87000</v>
      </c>
      <c r="P35" s="14" t="s">
        <v>2846</v>
      </c>
      <c r="Q35" s="14" cm="1">
        <f t="array" ref="Q35">_xlfn.IFS(P35="USD",O35,P35="VND",O35/26090,P35="JPY",O35/161)</f>
        <v>3.3346109620544269</v>
      </c>
      <c r="R35" s="14">
        <v>30</v>
      </c>
      <c r="S35" s="14">
        <v>800</v>
      </c>
      <c r="T35" s="14"/>
      <c r="U35" s="14" t="s">
        <v>2848</v>
      </c>
      <c r="V35" s="14" t="s">
        <v>2857</v>
      </c>
      <c r="W35" s="14" t="s">
        <v>2858</v>
      </c>
      <c r="X35" s="17">
        <v>0</v>
      </c>
      <c r="Y35" s="15" t="s">
        <v>2875</v>
      </c>
      <c r="Z35" s="18" t="s">
        <v>2935</v>
      </c>
      <c r="AA35" s="18" t="s">
        <v>2936</v>
      </c>
      <c r="AB35" s="16"/>
      <c r="AC35" s="16"/>
      <c r="AD35" s="16"/>
      <c r="AE35" s="16" t="s">
        <v>2934</v>
      </c>
      <c r="AF35" s="16"/>
      <c r="AI35" s="3" t="str">
        <f t="shared" ca="1" si="0"/>
        <v>OK</v>
      </c>
    </row>
    <row r="36" spans="1:35" hidden="1" x14ac:dyDescent="0.3">
      <c r="A36" s="13">
        <v>46032</v>
      </c>
      <c r="B36" s="14" t="s">
        <v>2806</v>
      </c>
      <c r="C36" s="16"/>
      <c r="D36" s="16"/>
      <c r="E36" s="15" t="s">
        <v>860</v>
      </c>
      <c r="F36" s="15" t="s">
        <v>1249</v>
      </c>
      <c r="G36" s="15" t="s">
        <v>84</v>
      </c>
      <c r="H36" s="15"/>
      <c r="I36" s="15" t="s">
        <v>1338</v>
      </c>
      <c r="J36" s="15" t="s">
        <v>1339</v>
      </c>
      <c r="K36" s="16"/>
      <c r="L36" s="14" t="s">
        <v>2817</v>
      </c>
      <c r="M36" s="16"/>
      <c r="N36" s="15" t="s">
        <v>931</v>
      </c>
      <c r="O36" s="14">
        <v>287000</v>
      </c>
      <c r="P36" s="14" t="s">
        <v>2846</v>
      </c>
      <c r="Q36" s="14" cm="1">
        <f t="array" ref="Q36">_xlfn.IFS(P36="USD",O36,P36="VND",O36/26090,P36="JPY",O36/161)</f>
        <v>11.000383288616328</v>
      </c>
      <c r="R36" s="14">
        <v>115</v>
      </c>
      <c r="S36" s="14">
        <v>50</v>
      </c>
      <c r="T36" s="14"/>
      <c r="U36" s="14" t="s">
        <v>2848</v>
      </c>
      <c r="V36" s="14" t="s">
        <v>2857</v>
      </c>
      <c r="W36" s="14" t="s">
        <v>2858</v>
      </c>
      <c r="X36" s="17">
        <v>0</v>
      </c>
      <c r="Y36" s="15" t="s">
        <v>2875</v>
      </c>
      <c r="Z36" s="20">
        <v>46210</v>
      </c>
      <c r="AA36" s="18"/>
      <c r="AB36" s="16"/>
      <c r="AC36" s="16"/>
      <c r="AD36" s="16"/>
      <c r="AE36" s="16" t="s">
        <v>3042</v>
      </c>
      <c r="AF36" s="16"/>
      <c r="AI36" s="3" t="str">
        <f t="shared" ca="1" si="0"/>
        <v>OK</v>
      </c>
    </row>
    <row r="37" spans="1:35" hidden="1" x14ac:dyDescent="0.3">
      <c r="A37" s="13">
        <v>46032</v>
      </c>
      <c r="B37" s="14" t="s">
        <v>2806</v>
      </c>
      <c r="C37" s="16"/>
      <c r="D37" s="16"/>
      <c r="E37" s="15" t="s">
        <v>858</v>
      </c>
      <c r="F37" s="15" t="s">
        <v>1248</v>
      </c>
      <c r="G37" s="15" t="s">
        <v>85</v>
      </c>
      <c r="H37" s="15"/>
      <c r="I37" s="15" t="s">
        <v>1340</v>
      </c>
      <c r="J37" s="15" t="s">
        <v>1341</v>
      </c>
      <c r="K37" s="16"/>
      <c r="L37" s="14" t="s">
        <v>2816</v>
      </c>
      <c r="M37" s="16"/>
      <c r="N37" s="15" t="s">
        <v>929</v>
      </c>
      <c r="O37" s="14">
        <v>92.33</v>
      </c>
      <c r="P37" s="14" t="s">
        <v>2845</v>
      </c>
      <c r="Q37" s="14" cm="1">
        <f t="array" ref="Q37">_xlfn.IFS(P37="USD",O37,P37="VND",O37/26090,P37="JPY",O37/161)</f>
        <v>92.33</v>
      </c>
      <c r="R37" s="14">
        <v>60</v>
      </c>
      <c r="S37" s="14">
        <v>5</v>
      </c>
      <c r="T37" s="14"/>
      <c r="U37" s="14" t="s">
        <v>2852</v>
      </c>
      <c r="V37" s="14" t="s">
        <v>2864</v>
      </c>
      <c r="W37" s="14" t="s">
        <v>2860</v>
      </c>
      <c r="X37" s="17">
        <v>0</v>
      </c>
      <c r="Y37" s="15" t="s">
        <v>2880</v>
      </c>
      <c r="Z37" s="20">
        <v>46333</v>
      </c>
      <c r="AA37" s="20">
        <v>46305</v>
      </c>
      <c r="AB37" s="16"/>
      <c r="AC37" s="16"/>
      <c r="AD37" s="16"/>
      <c r="AE37" s="16" t="s">
        <v>3048</v>
      </c>
      <c r="AF37" s="16"/>
      <c r="AI37" s="3" t="str">
        <f t="shared" ca="1" si="0"/>
        <v>OK</v>
      </c>
    </row>
    <row r="38" spans="1:35" hidden="1" x14ac:dyDescent="0.3">
      <c r="A38" s="13">
        <v>46032</v>
      </c>
      <c r="B38" s="14" t="s">
        <v>2806</v>
      </c>
      <c r="C38" s="16"/>
      <c r="D38" s="16"/>
      <c r="E38" s="15" t="s">
        <v>861</v>
      </c>
      <c r="F38" s="15" t="s">
        <v>1250</v>
      </c>
      <c r="G38" s="15" t="s">
        <v>86</v>
      </c>
      <c r="H38" s="15"/>
      <c r="I38" s="15" t="s">
        <v>1342</v>
      </c>
      <c r="J38" s="15" t="s">
        <v>1343</v>
      </c>
      <c r="K38" s="16"/>
      <c r="L38" s="14" t="s">
        <v>2817</v>
      </c>
      <c r="M38" s="16"/>
      <c r="N38" s="15" t="s">
        <v>932</v>
      </c>
      <c r="O38" s="14">
        <v>1.58</v>
      </c>
      <c r="P38" s="14" t="s">
        <v>2845</v>
      </c>
      <c r="Q38" s="14" cm="1">
        <f t="array" ref="Q38">_xlfn.IFS(P38="USD",O38,P38="VND",O38/26090,P38="JPY",O38/161)</f>
        <v>1.58</v>
      </c>
      <c r="R38" s="14">
        <v>45</v>
      </c>
      <c r="S38" s="14">
        <v>500</v>
      </c>
      <c r="T38" s="14"/>
      <c r="U38" s="14" t="s">
        <v>2848</v>
      </c>
      <c r="V38" s="14" t="s">
        <v>2857</v>
      </c>
      <c r="W38" s="14" t="s">
        <v>2858</v>
      </c>
      <c r="X38" s="17">
        <v>0</v>
      </c>
      <c r="Y38" s="15" t="s">
        <v>2875</v>
      </c>
      <c r="Z38" s="20">
        <v>46057</v>
      </c>
      <c r="AA38" s="18"/>
      <c r="AB38" s="16"/>
      <c r="AC38" s="16"/>
      <c r="AD38" s="16"/>
      <c r="AE38" s="16" t="s">
        <v>3004</v>
      </c>
      <c r="AF38" s="16"/>
      <c r="AI38" s="3" t="str">
        <f t="shared" ca="1" si="0"/>
        <v>OK</v>
      </c>
    </row>
    <row r="39" spans="1:35" x14ac:dyDescent="0.3">
      <c r="A39" s="13">
        <v>46032</v>
      </c>
      <c r="B39" s="14" t="s">
        <v>2806</v>
      </c>
      <c r="C39" s="16"/>
      <c r="D39" s="16"/>
      <c r="E39" s="15" t="s">
        <v>862</v>
      </c>
      <c r="F39" s="15" t="s">
        <v>1251</v>
      </c>
      <c r="G39" s="15" t="s">
        <v>87</v>
      </c>
      <c r="H39" s="15"/>
      <c r="I39" s="15" t="s">
        <v>1344</v>
      </c>
      <c r="J39" s="15" t="s">
        <v>1345</v>
      </c>
      <c r="K39" s="16"/>
      <c r="L39" s="14" t="s">
        <v>2817</v>
      </c>
      <c r="M39" s="16"/>
      <c r="N39" s="15" t="s">
        <v>933</v>
      </c>
      <c r="O39" s="14">
        <v>725200</v>
      </c>
      <c r="P39" s="14" t="s">
        <v>2846</v>
      </c>
      <c r="Q39" s="14" cm="1">
        <f t="array" ref="Q39">_xlfn.IFS(P39="USD",O39,P39="VND",O39/26090,P39="JPY",O39/161)</f>
        <v>27.796090456113454</v>
      </c>
      <c r="R39" s="14">
        <v>20</v>
      </c>
      <c r="S39" s="14">
        <v>300</v>
      </c>
      <c r="T39" s="14"/>
      <c r="U39" s="14" t="s">
        <v>2848</v>
      </c>
      <c r="V39" s="14" t="s">
        <v>2857</v>
      </c>
      <c r="W39" s="14" t="s">
        <v>2858</v>
      </c>
      <c r="X39" s="17">
        <v>0</v>
      </c>
      <c r="Y39" s="15" t="s">
        <v>2875</v>
      </c>
      <c r="Z39" s="18" t="s">
        <v>2929</v>
      </c>
      <c r="AA39" s="22" t="s">
        <v>2931</v>
      </c>
      <c r="AB39" s="16"/>
      <c r="AC39" s="16"/>
      <c r="AD39" s="16"/>
      <c r="AE39" s="16" t="s">
        <v>2932</v>
      </c>
      <c r="AF39" s="16"/>
      <c r="AI39" s="3" t="str">
        <f t="shared" ca="1" si="0"/>
        <v>OK</v>
      </c>
    </row>
    <row r="40" spans="1:35" hidden="1" x14ac:dyDescent="0.3">
      <c r="A40" s="13">
        <v>46032</v>
      </c>
      <c r="B40" s="14" t="s">
        <v>2806</v>
      </c>
      <c r="C40" s="16"/>
      <c r="D40" s="16"/>
      <c r="E40" s="15" t="s">
        <v>855</v>
      </c>
      <c r="F40" s="15" t="s">
        <v>907</v>
      </c>
      <c r="G40" s="15" t="s">
        <v>88</v>
      </c>
      <c r="H40" s="15"/>
      <c r="I40" s="15" t="s">
        <v>1346</v>
      </c>
      <c r="J40" s="15" t="s">
        <v>1347</v>
      </c>
      <c r="K40" s="16"/>
      <c r="L40" s="14" t="s">
        <v>2815</v>
      </c>
      <c r="M40" s="16"/>
      <c r="N40" s="15" t="s">
        <v>924</v>
      </c>
      <c r="O40" s="14">
        <v>9.09</v>
      </c>
      <c r="P40" s="14" t="s">
        <v>2845</v>
      </c>
      <c r="Q40" s="14" cm="1">
        <f t="array" ref="Q40">_xlfn.IFS(P40="USD",O40,P40="VND",O40/26090,P40="JPY",O40/161)</f>
        <v>9.09</v>
      </c>
      <c r="R40" s="14">
        <v>21</v>
      </c>
      <c r="S40" s="14">
        <v>20</v>
      </c>
      <c r="T40" s="14"/>
      <c r="U40" s="14" t="s">
        <v>2849</v>
      </c>
      <c r="V40" s="14" t="s">
        <v>2857</v>
      </c>
      <c r="W40" s="14" t="s">
        <v>2858</v>
      </c>
      <c r="X40" s="17">
        <v>0</v>
      </c>
      <c r="Y40" s="15" t="s">
        <v>2875</v>
      </c>
      <c r="Z40" s="20">
        <v>46029</v>
      </c>
      <c r="AA40" s="18"/>
      <c r="AB40" s="16"/>
      <c r="AC40" s="16"/>
      <c r="AD40" s="16"/>
      <c r="AE40" s="16" t="s">
        <v>3025</v>
      </c>
      <c r="AF40" s="16"/>
      <c r="AI40" s="3" t="str">
        <f t="shared" ca="1" si="0"/>
        <v>OK</v>
      </c>
    </row>
    <row r="41" spans="1:35" hidden="1" x14ac:dyDescent="0.3">
      <c r="A41" s="13">
        <v>46032</v>
      </c>
      <c r="B41" s="14" t="s">
        <v>2806</v>
      </c>
      <c r="C41" s="16"/>
      <c r="D41" s="16"/>
      <c r="E41" s="15" t="s">
        <v>848</v>
      </c>
      <c r="F41" s="15" t="s">
        <v>1242</v>
      </c>
      <c r="G41" s="15" t="s">
        <v>89</v>
      </c>
      <c r="H41" s="15"/>
      <c r="I41" s="15" t="s">
        <v>1348</v>
      </c>
      <c r="J41" s="15" t="s">
        <v>1349</v>
      </c>
      <c r="K41" s="16"/>
      <c r="L41" s="14" t="s">
        <v>2807</v>
      </c>
      <c r="M41" s="16"/>
      <c r="N41" s="15" t="s">
        <v>934</v>
      </c>
      <c r="O41" s="14">
        <v>13.9</v>
      </c>
      <c r="P41" s="14" t="s">
        <v>2845</v>
      </c>
      <c r="Q41" s="14" cm="1">
        <f t="array" ref="Q41">_xlfn.IFS(P41="USD",O41,P41="VND",O41/26090,P41="JPY",O41/161)</f>
        <v>13.9</v>
      </c>
      <c r="R41" s="14">
        <v>120</v>
      </c>
      <c r="S41" s="14">
        <v>1</v>
      </c>
      <c r="T41" s="14"/>
      <c r="U41" s="14" t="s">
        <v>2848</v>
      </c>
      <c r="V41" s="14" t="s">
        <v>914</v>
      </c>
      <c r="W41" s="14" t="s">
        <v>2856</v>
      </c>
      <c r="X41" s="17">
        <v>0</v>
      </c>
      <c r="Y41" s="15" t="s">
        <v>2874</v>
      </c>
      <c r="Z41" s="20">
        <v>46239</v>
      </c>
      <c r="AA41" s="18"/>
      <c r="AB41" s="16"/>
      <c r="AC41" s="16"/>
      <c r="AD41" s="16"/>
      <c r="AE41" s="15" t="s">
        <v>3020</v>
      </c>
      <c r="AF41" s="16"/>
      <c r="AI41" s="3" t="str">
        <f t="shared" ca="1" si="0"/>
        <v>OK</v>
      </c>
    </row>
    <row r="42" spans="1:35" hidden="1" x14ac:dyDescent="0.3">
      <c r="A42" s="13">
        <v>46032</v>
      </c>
      <c r="B42" s="14" t="s">
        <v>2806</v>
      </c>
      <c r="C42" s="16"/>
      <c r="D42" s="16"/>
      <c r="E42" s="15" t="s">
        <v>856</v>
      </c>
      <c r="F42" s="15" t="s">
        <v>1247</v>
      </c>
      <c r="G42" s="15" t="s">
        <v>90</v>
      </c>
      <c r="H42" s="15"/>
      <c r="I42" s="15" t="s">
        <v>1350</v>
      </c>
      <c r="J42" s="15" t="s">
        <v>1351</v>
      </c>
      <c r="K42" s="16"/>
      <c r="L42" s="14" t="s">
        <v>2815</v>
      </c>
      <c r="M42" s="16"/>
      <c r="N42" s="15" t="s">
        <v>925</v>
      </c>
      <c r="O42" s="14">
        <v>1.91</v>
      </c>
      <c r="P42" s="14" t="s">
        <v>2845</v>
      </c>
      <c r="Q42" s="14" cm="1">
        <f t="array" ref="Q42">_xlfn.IFS(P42="USD",O42,P42="VND",O42/26090,P42="JPY",O42/161)</f>
        <v>1.91</v>
      </c>
      <c r="R42" s="14">
        <v>120</v>
      </c>
      <c r="S42" s="14">
        <v>5000</v>
      </c>
      <c r="T42" s="14"/>
      <c r="U42" s="14" t="s">
        <v>2848</v>
      </c>
      <c r="V42" s="14" t="s">
        <v>2857</v>
      </c>
      <c r="W42" s="14" t="s">
        <v>2858</v>
      </c>
      <c r="X42" s="17">
        <v>0</v>
      </c>
      <c r="Y42" s="15" t="s">
        <v>2879</v>
      </c>
      <c r="Z42" s="20">
        <v>46028</v>
      </c>
      <c r="AA42" s="18"/>
      <c r="AB42" s="16"/>
      <c r="AC42" s="16"/>
      <c r="AD42" s="16"/>
      <c r="AE42" s="16" t="s">
        <v>3012</v>
      </c>
      <c r="AF42" s="16"/>
      <c r="AI42" s="3" t="str">
        <f t="shared" ca="1" si="0"/>
        <v>OK</v>
      </c>
    </row>
    <row r="43" spans="1:35" hidden="1" x14ac:dyDescent="0.3">
      <c r="A43" s="13">
        <v>46032</v>
      </c>
      <c r="B43" s="14" t="s">
        <v>2806</v>
      </c>
      <c r="C43" s="16"/>
      <c r="D43" s="16"/>
      <c r="E43" s="15" t="s">
        <v>856</v>
      </c>
      <c r="F43" s="15" t="s">
        <v>1247</v>
      </c>
      <c r="G43" s="15" t="s">
        <v>91</v>
      </c>
      <c r="H43" s="15"/>
      <c r="I43" s="15" t="s">
        <v>1352</v>
      </c>
      <c r="J43" s="15" t="s">
        <v>1353</v>
      </c>
      <c r="K43" s="16"/>
      <c r="L43" s="14" t="s">
        <v>2815</v>
      </c>
      <c r="M43" s="16"/>
      <c r="N43" s="15" t="s">
        <v>925</v>
      </c>
      <c r="O43" s="14">
        <v>3.81</v>
      </c>
      <c r="P43" s="14" t="s">
        <v>2845</v>
      </c>
      <c r="Q43" s="14" cm="1">
        <f t="array" ref="Q43">_xlfn.IFS(P43="USD",O43,P43="VND",O43/26090,P43="JPY",O43/161)</f>
        <v>3.81</v>
      </c>
      <c r="R43" s="14">
        <v>120</v>
      </c>
      <c r="S43" s="14">
        <v>3000</v>
      </c>
      <c r="T43" s="14"/>
      <c r="U43" s="14" t="s">
        <v>2848</v>
      </c>
      <c r="V43" s="14" t="s">
        <v>2857</v>
      </c>
      <c r="W43" s="14" t="s">
        <v>2858</v>
      </c>
      <c r="X43" s="17">
        <v>0</v>
      </c>
      <c r="Y43" s="15" t="s">
        <v>2879</v>
      </c>
      <c r="Z43" s="20">
        <v>46028</v>
      </c>
      <c r="AA43" s="18"/>
      <c r="AB43" s="16"/>
      <c r="AC43" s="16"/>
      <c r="AD43" s="16"/>
      <c r="AE43" s="16" t="s">
        <v>3012</v>
      </c>
      <c r="AF43" s="16"/>
      <c r="AI43" s="3" t="str">
        <f t="shared" ca="1" si="0"/>
        <v>OK</v>
      </c>
    </row>
    <row r="44" spans="1:35" x14ac:dyDescent="0.3">
      <c r="A44" s="13">
        <v>46032</v>
      </c>
      <c r="B44" s="14" t="s">
        <v>2806</v>
      </c>
      <c r="C44" s="16"/>
      <c r="D44" s="16"/>
      <c r="E44" s="15" t="s">
        <v>852</v>
      </c>
      <c r="F44" s="15" t="s">
        <v>1245</v>
      </c>
      <c r="G44" s="15" t="s">
        <v>92</v>
      </c>
      <c r="H44" s="15"/>
      <c r="I44" s="15" t="s">
        <v>1354</v>
      </c>
      <c r="J44" s="15" t="s">
        <v>1355</v>
      </c>
      <c r="K44" s="16"/>
      <c r="L44" s="14" t="s">
        <v>2813</v>
      </c>
      <c r="M44" s="16"/>
      <c r="N44" s="15" t="s">
        <v>921</v>
      </c>
      <c r="O44" s="14">
        <v>174.3</v>
      </c>
      <c r="P44" s="14" t="s">
        <v>2845</v>
      </c>
      <c r="Q44" s="14" cm="1">
        <f t="array" ref="Q44">_xlfn.IFS(P44="USD",O44,P44="VND",O44/26090,P44="JPY",O44/161)</f>
        <v>174.3</v>
      </c>
      <c r="R44" s="14">
        <v>98</v>
      </c>
      <c r="S44" s="14">
        <v>50</v>
      </c>
      <c r="T44" s="14"/>
      <c r="U44" s="14" t="s">
        <v>2848</v>
      </c>
      <c r="V44" s="14" t="s">
        <v>2857</v>
      </c>
      <c r="W44" s="14" t="s">
        <v>2858</v>
      </c>
      <c r="X44" s="17">
        <v>0</v>
      </c>
      <c r="Y44" s="15" t="s">
        <v>2877</v>
      </c>
      <c r="Z44" s="20">
        <v>46029</v>
      </c>
      <c r="AA44" s="22" t="s">
        <v>2973</v>
      </c>
      <c r="AB44" s="16"/>
      <c r="AC44" s="16"/>
      <c r="AD44" s="16"/>
      <c r="AE44" s="16"/>
      <c r="AF44" s="16"/>
      <c r="AI44" s="3" t="str">
        <f t="shared" ca="1" si="0"/>
        <v>OK</v>
      </c>
    </row>
    <row r="45" spans="1:35" hidden="1" x14ac:dyDescent="0.3">
      <c r="A45" s="13">
        <v>46032</v>
      </c>
      <c r="B45" s="14" t="s">
        <v>2806</v>
      </c>
      <c r="C45" s="16"/>
      <c r="D45" s="16"/>
      <c r="E45" s="15" t="s">
        <v>861</v>
      </c>
      <c r="F45" s="15" t="s">
        <v>1250</v>
      </c>
      <c r="G45" s="15" t="s">
        <v>93</v>
      </c>
      <c r="H45" s="15"/>
      <c r="I45" s="15" t="s">
        <v>1356</v>
      </c>
      <c r="J45" s="15" t="s">
        <v>1357</v>
      </c>
      <c r="K45" s="16"/>
      <c r="L45" s="14" t="s">
        <v>2817</v>
      </c>
      <c r="M45" s="16"/>
      <c r="N45" s="15" t="s">
        <v>932</v>
      </c>
      <c r="O45" s="14">
        <v>1.78</v>
      </c>
      <c r="P45" s="14" t="s">
        <v>2845</v>
      </c>
      <c r="Q45" s="14" cm="1">
        <f t="array" ref="Q45">_xlfn.IFS(P45="USD",O45,P45="VND",O45/26090,P45="JPY",O45/161)</f>
        <v>1.78</v>
      </c>
      <c r="R45" s="14">
        <v>45</v>
      </c>
      <c r="S45" s="14">
        <v>500</v>
      </c>
      <c r="T45" s="14"/>
      <c r="U45" s="14" t="s">
        <v>2848</v>
      </c>
      <c r="V45" s="14" t="s">
        <v>2857</v>
      </c>
      <c r="W45" s="14" t="s">
        <v>2858</v>
      </c>
      <c r="X45" s="17">
        <v>0</v>
      </c>
      <c r="Y45" s="15" t="s">
        <v>2875</v>
      </c>
      <c r="Z45" s="20">
        <v>46057</v>
      </c>
      <c r="AA45" s="18"/>
      <c r="AB45" s="16"/>
      <c r="AC45" s="16"/>
      <c r="AD45" s="16"/>
      <c r="AE45" s="16" t="s">
        <v>3004</v>
      </c>
      <c r="AF45" s="16"/>
      <c r="AI45" s="3" t="str">
        <f t="shared" ca="1" si="0"/>
        <v>OK</v>
      </c>
    </row>
    <row r="46" spans="1:35" hidden="1" x14ac:dyDescent="0.3">
      <c r="A46" s="13">
        <v>46032</v>
      </c>
      <c r="B46" s="14" t="s">
        <v>2806</v>
      </c>
      <c r="C46" s="16"/>
      <c r="D46" s="16"/>
      <c r="E46" s="15" t="s">
        <v>860</v>
      </c>
      <c r="F46" s="15" t="s">
        <v>1249</v>
      </c>
      <c r="G46" s="15" t="s">
        <v>94</v>
      </c>
      <c r="H46" s="15"/>
      <c r="I46" s="15" t="s">
        <v>1358</v>
      </c>
      <c r="J46" s="15" t="s">
        <v>1359</v>
      </c>
      <c r="K46" s="16"/>
      <c r="L46" s="14" t="s">
        <v>2817</v>
      </c>
      <c r="M46" s="16"/>
      <c r="N46" s="15" t="s">
        <v>931</v>
      </c>
      <c r="O46" s="14">
        <v>90000</v>
      </c>
      <c r="P46" s="14" t="s">
        <v>2846</v>
      </c>
      <c r="Q46" s="14" cm="1">
        <f t="array" ref="Q46">_xlfn.IFS(P46="USD",O46,P46="VND",O46/26090,P46="JPY",O46/161)</f>
        <v>3.4495975469528557</v>
      </c>
      <c r="R46" s="14">
        <v>115</v>
      </c>
      <c r="S46" s="14">
        <v>50</v>
      </c>
      <c r="T46" s="14"/>
      <c r="U46" s="14" t="s">
        <v>2848</v>
      </c>
      <c r="V46" s="14" t="s">
        <v>2857</v>
      </c>
      <c r="W46" s="14" t="s">
        <v>2858</v>
      </c>
      <c r="X46" s="17">
        <v>0</v>
      </c>
      <c r="Y46" s="15" t="s">
        <v>2875</v>
      </c>
      <c r="Z46" s="20">
        <v>46210</v>
      </c>
      <c r="AA46" s="18"/>
      <c r="AB46" s="16"/>
      <c r="AC46" s="16"/>
      <c r="AD46" s="16"/>
      <c r="AE46" s="16" t="s">
        <v>3042</v>
      </c>
      <c r="AF46" s="16"/>
      <c r="AI46" s="3" t="str">
        <f t="shared" ca="1" si="0"/>
        <v>OK</v>
      </c>
    </row>
    <row r="47" spans="1:35" hidden="1" x14ac:dyDescent="0.3">
      <c r="A47" s="13">
        <v>46032</v>
      </c>
      <c r="B47" s="14" t="s">
        <v>2806</v>
      </c>
      <c r="C47" s="16"/>
      <c r="D47" s="16"/>
      <c r="E47" s="15" t="s">
        <v>860</v>
      </c>
      <c r="F47" s="15" t="s">
        <v>1249</v>
      </c>
      <c r="G47" s="15" t="s">
        <v>95</v>
      </c>
      <c r="H47" s="15"/>
      <c r="I47" s="15" t="s">
        <v>1360</v>
      </c>
      <c r="J47" s="15" t="s">
        <v>1361</v>
      </c>
      <c r="K47" s="16"/>
      <c r="L47" s="14" t="s">
        <v>2817</v>
      </c>
      <c r="M47" s="16"/>
      <c r="N47" s="15" t="s">
        <v>931</v>
      </c>
      <c r="O47" s="14">
        <v>181000</v>
      </c>
      <c r="P47" s="14" t="s">
        <v>2846</v>
      </c>
      <c r="Q47" s="14" cm="1">
        <f t="array" ref="Q47">_xlfn.IFS(P47="USD",O47,P47="VND",O47/26090,P47="JPY",O47/161)</f>
        <v>6.9375239555385209</v>
      </c>
      <c r="R47" s="14">
        <v>115</v>
      </c>
      <c r="S47" s="14">
        <v>50</v>
      </c>
      <c r="T47" s="14"/>
      <c r="U47" s="14" t="s">
        <v>2848</v>
      </c>
      <c r="V47" s="14" t="s">
        <v>2857</v>
      </c>
      <c r="W47" s="14" t="s">
        <v>2858</v>
      </c>
      <c r="X47" s="17">
        <v>0</v>
      </c>
      <c r="Y47" s="15" t="s">
        <v>2875</v>
      </c>
      <c r="Z47" s="20">
        <v>46210</v>
      </c>
      <c r="AA47" s="18"/>
      <c r="AB47" s="16"/>
      <c r="AC47" s="16"/>
      <c r="AD47" s="16"/>
      <c r="AE47" s="16" t="s">
        <v>3042</v>
      </c>
      <c r="AF47" s="16"/>
      <c r="AI47" s="3" t="str">
        <f t="shared" ca="1" si="0"/>
        <v>OK</v>
      </c>
    </row>
    <row r="48" spans="1:35" hidden="1" x14ac:dyDescent="0.3">
      <c r="A48" s="13">
        <v>46032</v>
      </c>
      <c r="B48" s="14" t="s">
        <v>2806</v>
      </c>
      <c r="C48" s="16"/>
      <c r="D48" s="16"/>
      <c r="E48" s="15" t="s">
        <v>857</v>
      </c>
      <c r="F48" s="15" t="s">
        <v>912</v>
      </c>
      <c r="G48" s="15" t="s">
        <v>96</v>
      </c>
      <c r="H48" s="15"/>
      <c r="I48" s="15" t="s">
        <v>1362</v>
      </c>
      <c r="J48" s="15" t="s">
        <v>1363</v>
      </c>
      <c r="K48" s="16"/>
      <c r="L48" s="14" t="s">
        <v>2815</v>
      </c>
      <c r="M48" s="16"/>
      <c r="N48" s="15" t="s">
        <v>935</v>
      </c>
      <c r="O48" s="14">
        <v>5.32</v>
      </c>
      <c r="P48" s="14" t="s">
        <v>2845</v>
      </c>
      <c r="Q48" s="14" cm="1">
        <f t="array" ref="Q48">_xlfn.IFS(P48="USD",O48,P48="VND",O48/26090,P48="JPY",O48/161)</f>
        <v>5.32</v>
      </c>
      <c r="R48" s="14">
        <v>35</v>
      </c>
      <c r="S48" s="14">
        <v>1</v>
      </c>
      <c r="T48" s="14"/>
      <c r="U48" s="14" t="s">
        <v>2848</v>
      </c>
      <c r="V48" s="14" t="s">
        <v>2857</v>
      </c>
      <c r="W48" s="14" t="s">
        <v>2858</v>
      </c>
      <c r="X48" s="17">
        <v>0</v>
      </c>
      <c r="Y48" s="15" t="s">
        <v>2875</v>
      </c>
      <c r="Z48" s="20">
        <v>46243</v>
      </c>
      <c r="AA48" s="20">
        <v>46608</v>
      </c>
      <c r="AB48" s="16"/>
      <c r="AC48" s="16"/>
      <c r="AD48" s="16"/>
      <c r="AE48" s="16" t="s">
        <v>2957</v>
      </c>
      <c r="AF48" s="16"/>
      <c r="AI48" s="3" t="str">
        <f t="shared" ca="1" si="0"/>
        <v>OK</v>
      </c>
    </row>
    <row r="49" spans="1:35" hidden="1" x14ac:dyDescent="0.3">
      <c r="A49" s="13">
        <v>46032</v>
      </c>
      <c r="B49" s="14" t="s">
        <v>2806</v>
      </c>
      <c r="C49" s="16"/>
      <c r="D49" s="16"/>
      <c r="E49" s="15" t="s">
        <v>857</v>
      </c>
      <c r="F49" s="15" t="s">
        <v>912</v>
      </c>
      <c r="G49" s="15" t="s">
        <v>97</v>
      </c>
      <c r="H49" s="15"/>
      <c r="I49" s="15" t="s">
        <v>1364</v>
      </c>
      <c r="J49" s="15" t="s">
        <v>1365</v>
      </c>
      <c r="K49" s="16"/>
      <c r="L49" s="14" t="s">
        <v>2815</v>
      </c>
      <c r="M49" s="16"/>
      <c r="N49" s="15" t="s">
        <v>935</v>
      </c>
      <c r="O49" s="14">
        <v>25.1</v>
      </c>
      <c r="P49" s="14" t="s">
        <v>2845</v>
      </c>
      <c r="Q49" s="14" cm="1">
        <f t="array" ref="Q49">_xlfn.IFS(P49="USD",O49,P49="VND",O49/26090,P49="JPY",O49/161)</f>
        <v>25.1</v>
      </c>
      <c r="R49" s="14">
        <v>35</v>
      </c>
      <c r="S49" s="14">
        <v>1</v>
      </c>
      <c r="T49" s="14"/>
      <c r="U49" s="14" t="s">
        <v>2848</v>
      </c>
      <c r="V49" s="14" t="s">
        <v>2857</v>
      </c>
      <c r="W49" s="14" t="s">
        <v>2858</v>
      </c>
      <c r="X49" s="17">
        <v>0</v>
      </c>
      <c r="Y49" s="15" t="s">
        <v>2875</v>
      </c>
      <c r="Z49" s="20">
        <v>46243</v>
      </c>
      <c r="AA49" s="20">
        <v>46608</v>
      </c>
      <c r="AB49" s="16"/>
      <c r="AC49" s="16"/>
      <c r="AD49" s="16"/>
      <c r="AE49" s="16" t="s">
        <v>2957</v>
      </c>
      <c r="AF49" s="16"/>
      <c r="AI49" s="3" t="str">
        <f t="shared" ca="1" si="0"/>
        <v>OK</v>
      </c>
    </row>
    <row r="50" spans="1:35" hidden="1" x14ac:dyDescent="0.3">
      <c r="A50" s="13">
        <v>46032</v>
      </c>
      <c r="B50" s="14" t="s">
        <v>2806</v>
      </c>
      <c r="C50" s="16"/>
      <c r="D50" s="16"/>
      <c r="E50" s="15" t="s">
        <v>863</v>
      </c>
      <c r="F50" s="15" t="s">
        <v>1252</v>
      </c>
      <c r="G50" s="15" t="s">
        <v>98</v>
      </c>
      <c r="H50" s="15"/>
      <c r="I50" s="15" t="s">
        <v>1366</v>
      </c>
      <c r="J50" s="15" t="s">
        <v>1367</v>
      </c>
      <c r="K50" s="16"/>
      <c r="L50" s="14" t="s">
        <v>2815</v>
      </c>
      <c r="M50" s="16"/>
      <c r="N50" s="15" t="s">
        <v>936</v>
      </c>
      <c r="O50" s="14">
        <v>273.72000000000003</v>
      </c>
      <c r="P50" s="14" t="s">
        <v>2845</v>
      </c>
      <c r="Q50" s="14" cm="1">
        <f t="array" ref="Q50">_xlfn.IFS(P50="USD",O50,P50="VND",O50/26090,P50="JPY",O50/161)</f>
        <v>273.72000000000003</v>
      </c>
      <c r="R50" s="14">
        <v>30</v>
      </c>
      <c r="S50" s="14">
        <v>10</v>
      </c>
      <c r="T50" s="14"/>
      <c r="U50" s="14" t="s">
        <v>2848</v>
      </c>
      <c r="V50" s="14" t="s">
        <v>2857</v>
      </c>
      <c r="W50" s="14" t="s">
        <v>2858</v>
      </c>
      <c r="X50" s="17">
        <v>0</v>
      </c>
      <c r="Y50" s="15" t="s">
        <v>2881</v>
      </c>
      <c r="Z50" s="20">
        <v>45937</v>
      </c>
      <c r="AA50" s="18"/>
      <c r="AB50" s="16"/>
      <c r="AC50" s="16"/>
      <c r="AD50" s="16"/>
      <c r="AE50" s="16" t="s">
        <v>3006</v>
      </c>
      <c r="AF50" s="16"/>
      <c r="AI50" s="3" t="str">
        <f t="shared" ca="1" si="0"/>
        <v>OK</v>
      </c>
    </row>
    <row r="51" spans="1:35" hidden="1" x14ac:dyDescent="0.3">
      <c r="A51" s="13">
        <v>46032</v>
      </c>
      <c r="B51" s="14" t="s">
        <v>2806</v>
      </c>
      <c r="C51" s="16"/>
      <c r="D51" s="16"/>
      <c r="E51" s="15" t="s">
        <v>855</v>
      </c>
      <c r="F51" s="15" t="s">
        <v>907</v>
      </c>
      <c r="G51" s="15" t="s">
        <v>99</v>
      </c>
      <c r="H51" s="15"/>
      <c r="I51" s="15" t="s">
        <v>1368</v>
      </c>
      <c r="J51" s="15" t="s">
        <v>1369</v>
      </c>
      <c r="K51" s="16"/>
      <c r="L51" s="14" t="s">
        <v>2818</v>
      </c>
      <c r="M51" s="16"/>
      <c r="N51" s="15" t="s">
        <v>937</v>
      </c>
      <c r="O51" s="14">
        <v>9.89</v>
      </c>
      <c r="P51" s="14" t="s">
        <v>2845</v>
      </c>
      <c r="Q51" s="14" cm="1">
        <f t="array" ref="Q51">_xlfn.IFS(P51="USD",O51,P51="VND",O51/26090,P51="JPY",O51/161)</f>
        <v>9.89</v>
      </c>
      <c r="R51" s="14">
        <v>21</v>
      </c>
      <c r="S51" s="14">
        <v>1</v>
      </c>
      <c r="T51" s="14"/>
      <c r="U51" s="14" t="s">
        <v>2849</v>
      </c>
      <c r="V51" s="14" t="s">
        <v>2857</v>
      </c>
      <c r="W51" s="14" t="s">
        <v>2858</v>
      </c>
      <c r="X51" s="17">
        <v>0</v>
      </c>
      <c r="Y51" s="15" t="s">
        <v>2875</v>
      </c>
      <c r="Z51" s="20">
        <v>46029</v>
      </c>
      <c r="AA51" s="18"/>
      <c r="AB51" s="16"/>
      <c r="AC51" s="16"/>
      <c r="AD51" s="16"/>
      <c r="AE51" s="16" t="s">
        <v>3025</v>
      </c>
      <c r="AF51" s="16"/>
      <c r="AI51" s="3" t="str">
        <f t="shared" ca="1" si="0"/>
        <v>OK</v>
      </c>
    </row>
    <row r="52" spans="1:35" hidden="1" x14ac:dyDescent="0.3">
      <c r="A52" s="13">
        <v>46032</v>
      </c>
      <c r="B52" s="14" t="s">
        <v>2806</v>
      </c>
      <c r="C52" s="16"/>
      <c r="D52" s="16"/>
      <c r="E52" s="15" t="s">
        <v>863</v>
      </c>
      <c r="F52" s="15" t="s">
        <v>1252</v>
      </c>
      <c r="G52" s="15" t="s">
        <v>100</v>
      </c>
      <c r="H52" s="15"/>
      <c r="I52" s="15" t="s">
        <v>1370</v>
      </c>
      <c r="J52" s="15" t="s">
        <v>1371</v>
      </c>
      <c r="K52" s="16"/>
      <c r="L52" s="14" t="s">
        <v>2815</v>
      </c>
      <c r="M52" s="16"/>
      <c r="N52" s="15" t="s">
        <v>938</v>
      </c>
      <c r="O52" s="14">
        <v>61.94</v>
      </c>
      <c r="P52" s="14" t="s">
        <v>2845</v>
      </c>
      <c r="Q52" s="14" cm="1">
        <f t="array" ref="Q52">_xlfn.IFS(P52="USD",O52,P52="VND",O52/26090,P52="JPY",O52/161)</f>
        <v>61.94</v>
      </c>
      <c r="R52" s="14">
        <v>42</v>
      </c>
      <c r="S52" s="14">
        <v>1</v>
      </c>
      <c r="T52" s="14"/>
      <c r="U52" s="14" t="s">
        <v>2848</v>
      </c>
      <c r="V52" s="14" t="s">
        <v>2857</v>
      </c>
      <c r="W52" s="14" t="s">
        <v>2858</v>
      </c>
      <c r="X52" s="17">
        <v>0</v>
      </c>
      <c r="Y52" s="15" t="s">
        <v>2881</v>
      </c>
      <c r="Z52" s="20">
        <v>45937</v>
      </c>
      <c r="AA52" s="18"/>
      <c r="AB52" s="16"/>
      <c r="AC52" s="16"/>
      <c r="AD52" s="16"/>
      <c r="AE52" s="16" t="s">
        <v>3005</v>
      </c>
      <c r="AF52" s="16"/>
      <c r="AI52" s="3" t="str">
        <f t="shared" ca="1" si="0"/>
        <v>OK</v>
      </c>
    </row>
    <row r="53" spans="1:35" hidden="1" x14ac:dyDescent="0.3">
      <c r="A53" s="13">
        <v>46032</v>
      </c>
      <c r="B53" s="14" t="s">
        <v>2806</v>
      </c>
      <c r="C53" s="16"/>
      <c r="D53" s="16"/>
      <c r="E53" s="15" t="s">
        <v>855</v>
      </c>
      <c r="F53" s="15" t="s">
        <v>907</v>
      </c>
      <c r="G53" s="15" t="s">
        <v>101</v>
      </c>
      <c r="H53" s="15"/>
      <c r="I53" s="15" t="s">
        <v>1372</v>
      </c>
      <c r="J53" s="15" t="s">
        <v>1373</v>
      </c>
      <c r="K53" s="16"/>
      <c r="L53" s="14" t="s">
        <v>2815</v>
      </c>
      <c r="M53" s="16"/>
      <c r="N53" s="15" t="s">
        <v>924</v>
      </c>
      <c r="O53" s="14">
        <v>2.9049999999999998</v>
      </c>
      <c r="P53" s="14" t="s">
        <v>2845</v>
      </c>
      <c r="Q53" s="14" cm="1">
        <f t="array" ref="Q53">_xlfn.IFS(P53="USD",O53,P53="VND",O53/26090,P53="JPY",O53/161)</f>
        <v>2.9049999999999998</v>
      </c>
      <c r="R53" s="14">
        <v>21</v>
      </c>
      <c r="S53" s="14">
        <v>100</v>
      </c>
      <c r="T53" s="14"/>
      <c r="U53" s="14" t="s">
        <v>2849</v>
      </c>
      <c r="V53" s="14" t="s">
        <v>2857</v>
      </c>
      <c r="W53" s="14" t="s">
        <v>2858</v>
      </c>
      <c r="X53" s="17">
        <v>0</v>
      </c>
      <c r="Y53" s="15" t="s">
        <v>2875</v>
      </c>
      <c r="Z53" s="20">
        <v>46029</v>
      </c>
      <c r="AA53" s="18"/>
      <c r="AB53" s="16"/>
      <c r="AC53" s="16"/>
      <c r="AD53" s="16"/>
      <c r="AE53" s="16" t="s">
        <v>3025</v>
      </c>
      <c r="AF53" s="16"/>
      <c r="AI53" s="3" t="str">
        <f t="shared" ca="1" si="0"/>
        <v>OK</v>
      </c>
    </row>
    <row r="54" spans="1:35" hidden="1" x14ac:dyDescent="0.3">
      <c r="A54" s="13">
        <v>46032</v>
      </c>
      <c r="B54" s="14" t="s">
        <v>2806</v>
      </c>
      <c r="C54" s="16"/>
      <c r="D54" s="16"/>
      <c r="E54" s="15" t="s">
        <v>855</v>
      </c>
      <c r="F54" s="15" t="s">
        <v>907</v>
      </c>
      <c r="G54" s="15" t="s">
        <v>102</v>
      </c>
      <c r="H54" s="15"/>
      <c r="I54" s="15" t="s">
        <v>1374</v>
      </c>
      <c r="J54" s="15" t="s">
        <v>1375</v>
      </c>
      <c r="K54" s="16"/>
      <c r="L54" s="14" t="s">
        <v>2815</v>
      </c>
      <c r="M54" s="16"/>
      <c r="N54" s="15" t="s">
        <v>924</v>
      </c>
      <c r="O54" s="14">
        <v>6.8570000000000002</v>
      </c>
      <c r="P54" s="14" t="s">
        <v>2845</v>
      </c>
      <c r="Q54" s="14" cm="1">
        <f t="array" ref="Q54">_xlfn.IFS(P54="USD",O54,P54="VND",O54/26090,P54="JPY",O54/161)</f>
        <v>6.8570000000000002</v>
      </c>
      <c r="R54" s="14">
        <v>21</v>
      </c>
      <c r="S54" s="14">
        <v>30</v>
      </c>
      <c r="T54" s="14"/>
      <c r="U54" s="14" t="s">
        <v>2849</v>
      </c>
      <c r="V54" s="14" t="s">
        <v>2857</v>
      </c>
      <c r="W54" s="14" t="s">
        <v>2858</v>
      </c>
      <c r="X54" s="17">
        <v>0</v>
      </c>
      <c r="Y54" s="15" t="s">
        <v>2875</v>
      </c>
      <c r="Z54" s="20">
        <v>46029</v>
      </c>
      <c r="AA54" s="18"/>
      <c r="AB54" s="16"/>
      <c r="AC54" s="16"/>
      <c r="AD54" s="16"/>
      <c r="AE54" s="16" t="s">
        <v>3025</v>
      </c>
      <c r="AF54" s="16"/>
      <c r="AI54" s="3" t="str">
        <f t="shared" ca="1" si="0"/>
        <v>OK</v>
      </c>
    </row>
    <row r="55" spans="1:35" hidden="1" x14ac:dyDescent="0.3">
      <c r="A55" s="13">
        <v>46032</v>
      </c>
      <c r="B55" s="14" t="s">
        <v>2806</v>
      </c>
      <c r="C55" s="16"/>
      <c r="D55" s="16"/>
      <c r="E55" s="15" t="s">
        <v>855</v>
      </c>
      <c r="F55" s="15" t="s">
        <v>907</v>
      </c>
      <c r="G55" s="15" t="s">
        <v>103</v>
      </c>
      <c r="H55" s="15"/>
      <c r="I55" s="15" t="s">
        <v>1376</v>
      </c>
      <c r="J55" s="15" t="s">
        <v>1377</v>
      </c>
      <c r="K55" s="16"/>
      <c r="L55" s="14" t="s">
        <v>2815</v>
      </c>
      <c r="M55" s="16"/>
      <c r="N55" s="15" t="s">
        <v>924</v>
      </c>
      <c r="O55" s="14">
        <v>8.32</v>
      </c>
      <c r="P55" s="14" t="s">
        <v>2845</v>
      </c>
      <c r="Q55" s="14" cm="1">
        <f t="array" ref="Q55">_xlfn.IFS(P55="USD",O55,P55="VND",O55/26090,P55="JPY",O55/161)</f>
        <v>8.32</v>
      </c>
      <c r="R55" s="14">
        <v>21</v>
      </c>
      <c r="S55" s="14">
        <v>60</v>
      </c>
      <c r="T55" s="14"/>
      <c r="U55" s="14" t="s">
        <v>2849</v>
      </c>
      <c r="V55" s="14" t="s">
        <v>2857</v>
      </c>
      <c r="W55" s="14" t="s">
        <v>2858</v>
      </c>
      <c r="X55" s="17">
        <v>0</v>
      </c>
      <c r="Y55" s="15" t="s">
        <v>2875</v>
      </c>
      <c r="Z55" s="20">
        <v>46029</v>
      </c>
      <c r="AA55" s="18"/>
      <c r="AB55" s="16"/>
      <c r="AC55" s="16"/>
      <c r="AD55" s="16"/>
      <c r="AE55" s="16" t="s">
        <v>3025</v>
      </c>
      <c r="AF55" s="16"/>
      <c r="AI55" s="3" t="str">
        <f t="shared" ca="1" si="0"/>
        <v>OK</v>
      </c>
    </row>
    <row r="56" spans="1:35" hidden="1" x14ac:dyDescent="0.3">
      <c r="A56" s="13">
        <v>46032</v>
      </c>
      <c r="B56" s="14" t="s">
        <v>2806</v>
      </c>
      <c r="C56" s="16"/>
      <c r="D56" s="16"/>
      <c r="E56" s="15" t="s">
        <v>849</v>
      </c>
      <c r="F56" s="15" t="s">
        <v>1243</v>
      </c>
      <c r="G56" s="15" t="s">
        <v>104</v>
      </c>
      <c r="H56" s="15"/>
      <c r="I56" s="15" t="s">
        <v>1378</v>
      </c>
      <c r="J56" s="15" t="s">
        <v>1379</v>
      </c>
      <c r="K56" s="16"/>
      <c r="L56" s="14" t="s">
        <v>2818</v>
      </c>
      <c r="M56" s="16"/>
      <c r="N56" s="15" t="s">
        <v>939</v>
      </c>
      <c r="O56" s="14">
        <v>6.62</v>
      </c>
      <c r="P56" s="14" t="s">
        <v>2845</v>
      </c>
      <c r="Q56" s="14" cm="1">
        <f t="array" ref="Q56">_xlfn.IFS(P56="USD",O56,P56="VND",O56/26090,P56="JPY",O56/161)</f>
        <v>6.62</v>
      </c>
      <c r="R56" s="14">
        <v>25</v>
      </c>
      <c r="S56" s="14">
        <v>1</v>
      </c>
      <c r="T56" s="14"/>
      <c r="U56" s="14" t="s">
        <v>2849</v>
      </c>
      <c r="V56" s="14" t="s">
        <v>2857</v>
      </c>
      <c r="W56" s="14" t="s">
        <v>2858</v>
      </c>
      <c r="X56" s="17">
        <v>0</v>
      </c>
      <c r="Y56" s="15" t="s">
        <v>2875</v>
      </c>
      <c r="Z56" s="20">
        <v>46028</v>
      </c>
      <c r="AA56" s="20">
        <v>46393</v>
      </c>
      <c r="AB56" s="16"/>
      <c r="AC56" s="16"/>
      <c r="AD56" s="16"/>
      <c r="AE56" s="15" t="s">
        <v>2958</v>
      </c>
      <c r="AF56" s="16"/>
      <c r="AI56" s="3" t="str">
        <f t="shared" ca="1" si="0"/>
        <v>OK</v>
      </c>
    </row>
    <row r="57" spans="1:35" hidden="1" x14ac:dyDescent="0.3">
      <c r="A57" s="13">
        <v>46032</v>
      </c>
      <c r="B57" s="14" t="s">
        <v>2806</v>
      </c>
      <c r="C57" s="16"/>
      <c r="D57" s="16"/>
      <c r="E57" s="15" t="s">
        <v>861</v>
      </c>
      <c r="F57" s="15" t="s">
        <v>1250</v>
      </c>
      <c r="G57" s="15" t="s">
        <v>105</v>
      </c>
      <c r="H57" s="15"/>
      <c r="I57" s="15" t="s">
        <v>1380</v>
      </c>
      <c r="J57" s="15" t="s">
        <v>1381</v>
      </c>
      <c r="K57" s="16"/>
      <c r="L57" s="14" t="s">
        <v>2817</v>
      </c>
      <c r="M57" s="16"/>
      <c r="N57" s="15" t="s">
        <v>932</v>
      </c>
      <c r="O57" s="14">
        <v>0.28999999999999998</v>
      </c>
      <c r="P57" s="14" t="s">
        <v>2845</v>
      </c>
      <c r="Q57" s="14" cm="1">
        <f t="array" ref="Q57">_xlfn.IFS(P57="USD",O57,P57="VND",O57/26090,P57="JPY",O57/161)</f>
        <v>0.28999999999999998</v>
      </c>
      <c r="R57" s="14">
        <v>45</v>
      </c>
      <c r="S57" s="14">
        <v>500</v>
      </c>
      <c r="T57" s="14"/>
      <c r="U57" s="14" t="s">
        <v>2848</v>
      </c>
      <c r="V57" s="14" t="s">
        <v>2857</v>
      </c>
      <c r="W57" s="14" t="s">
        <v>2858</v>
      </c>
      <c r="X57" s="17">
        <v>0</v>
      </c>
      <c r="Y57" s="15" t="s">
        <v>2875</v>
      </c>
      <c r="Z57" s="20">
        <v>46057</v>
      </c>
      <c r="AA57" s="18"/>
      <c r="AB57" s="16"/>
      <c r="AC57" s="16"/>
      <c r="AD57" s="16"/>
      <c r="AE57" s="16" t="s">
        <v>3004</v>
      </c>
      <c r="AF57" s="16"/>
      <c r="AI57" s="3" t="str">
        <f t="shared" ca="1" si="0"/>
        <v>OK</v>
      </c>
    </row>
    <row r="58" spans="1:35" x14ac:dyDescent="0.3">
      <c r="A58" s="13">
        <v>46032</v>
      </c>
      <c r="B58" s="14" t="s">
        <v>2806</v>
      </c>
      <c r="C58" s="16"/>
      <c r="D58" s="16"/>
      <c r="E58" s="15" t="s">
        <v>864</v>
      </c>
      <c r="F58" s="15" t="s">
        <v>1253</v>
      </c>
      <c r="G58" s="15" t="s">
        <v>106</v>
      </c>
      <c r="H58" s="15"/>
      <c r="I58" s="15" t="s">
        <v>1382</v>
      </c>
      <c r="J58" s="15" t="s">
        <v>1383</v>
      </c>
      <c r="K58" s="16"/>
      <c r="L58" s="14" t="s">
        <v>2813</v>
      </c>
      <c r="M58" s="16"/>
      <c r="N58" s="15" t="s">
        <v>940</v>
      </c>
      <c r="O58" s="14">
        <v>39.6</v>
      </c>
      <c r="P58" s="14" t="s">
        <v>2845</v>
      </c>
      <c r="Q58" s="14" cm="1">
        <f t="array" ref="Q58">_xlfn.IFS(P58="USD",O58,P58="VND",O58/26090,P58="JPY",O58/161)</f>
        <v>39.6</v>
      </c>
      <c r="R58" s="14">
        <v>7</v>
      </c>
      <c r="S58" s="14">
        <v>20</v>
      </c>
      <c r="T58" s="14"/>
      <c r="U58" s="14" t="s">
        <v>2848</v>
      </c>
      <c r="V58" s="14" t="s">
        <v>2857</v>
      </c>
      <c r="W58" s="14" t="s">
        <v>2858</v>
      </c>
      <c r="X58" s="17">
        <v>0</v>
      </c>
      <c r="Y58" s="15" t="s">
        <v>2875</v>
      </c>
      <c r="Z58" s="18" t="s">
        <v>2927</v>
      </c>
      <c r="AA58" s="22" t="s">
        <v>2928</v>
      </c>
      <c r="AB58" s="16"/>
      <c r="AC58" s="16"/>
      <c r="AD58" s="16"/>
      <c r="AE58" s="16" t="s">
        <v>2926</v>
      </c>
      <c r="AF58" s="16"/>
      <c r="AI58" s="3" t="str">
        <f t="shared" ca="1" si="0"/>
        <v>OK</v>
      </c>
    </row>
    <row r="59" spans="1:35" x14ac:dyDescent="0.3">
      <c r="A59" s="13">
        <v>46032</v>
      </c>
      <c r="B59" s="14" t="s">
        <v>2806</v>
      </c>
      <c r="C59" s="16"/>
      <c r="D59" s="16"/>
      <c r="E59" s="15" t="s">
        <v>865</v>
      </c>
      <c r="F59" s="15" t="s">
        <v>904</v>
      </c>
      <c r="G59" s="15" t="s">
        <v>107</v>
      </c>
      <c r="H59" s="15"/>
      <c r="I59" s="15" t="s">
        <v>1384</v>
      </c>
      <c r="J59" s="15" t="s">
        <v>1385</v>
      </c>
      <c r="K59" s="16"/>
      <c r="L59" s="14" t="s">
        <v>2814</v>
      </c>
      <c r="M59" s="16"/>
      <c r="N59" s="15" t="s">
        <v>941</v>
      </c>
      <c r="O59" s="14">
        <v>61.02</v>
      </c>
      <c r="P59" s="14" t="s">
        <v>2845</v>
      </c>
      <c r="Q59" s="14" cm="1">
        <f t="array" ref="Q59">_xlfn.IFS(P59="USD",O59,P59="VND",O59/26090,P59="JPY",O59/161)</f>
        <v>61.02</v>
      </c>
      <c r="R59" s="14">
        <v>7</v>
      </c>
      <c r="S59" s="14">
        <v>20</v>
      </c>
      <c r="T59" s="14"/>
      <c r="U59" s="14" t="s">
        <v>2848</v>
      </c>
      <c r="V59" s="14" t="s">
        <v>2857</v>
      </c>
      <c r="W59" s="14" t="s">
        <v>2858</v>
      </c>
      <c r="X59" s="17">
        <v>0</v>
      </c>
      <c r="Y59" s="15" t="s">
        <v>2875</v>
      </c>
      <c r="Z59" s="20">
        <v>46031</v>
      </c>
      <c r="AA59" s="22" t="s">
        <v>2973</v>
      </c>
      <c r="AB59" s="16"/>
      <c r="AC59" s="16"/>
      <c r="AD59" s="16"/>
      <c r="AE59" s="16" t="s">
        <v>3024</v>
      </c>
      <c r="AF59" s="16"/>
      <c r="AI59" s="3" t="str">
        <f t="shared" ca="1" si="0"/>
        <v>OK</v>
      </c>
    </row>
    <row r="60" spans="1:35" hidden="1" x14ac:dyDescent="0.3">
      <c r="A60" s="13">
        <v>46032</v>
      </c>
      <c r="B60" s="14" t="s">
        <v>2806</v>
      </c>
      <c r="C60" s="16"/>
      <c r="D60" s="16"/>
      <c r="E60" s="15" t="s">
        <v>866</v>
      </c>
      <c r="F60" s="15" t="s">
        <v>1254</v>
      </c>
      <c r="G60" s="15" t="s">
        <v>108</v>
      </c>
      <c r="H60" s="15"/>
      <c r="I60" s="15" t="s">
        <v>1386</v>
      </c>
      <c r="J60" s="15" t="s">
        <v>1387</v>
      </c>
      <c r="K60" s="16"/>
      <c r="L60" s="14" t="s">
        <v>2814</v>
      </c>
      <c r="M60" s="16"/>
      <c r="N60" s="15" t="s">
        <v>942</v>
      </c>
      <c r="O60" s="14">
        <v>10.7</v>
      </c>
      <c r="P60" s="14" t="s">
        <v>2845</v>
      </c>
      <c r="Q60" s="14" cm="1">
        <f t="array" ref="Q60">_xlfn.IFS(P60="USD",O60,P60="VND",O60/26090,P60="JPY",O60/161)</f>
        <v>10.7</v>
      </c>
      <c r="R60" s="14">
        <v>30</v>
      </c>
      <c r="S60" s="14">
        <v>500</v>
      </c>
      <c r="T60" s="14"/>
      <c r="U60" s="14" t="s">
        <v>2849</v>
      </c>
      <c r="V60" s="14" t="s">
        <v>2857</v>
      </c>
      <c r="W60" s="14" t="s">
        <v>2858</v>
      </c>
      <c r="X60" s="17">
        <v>0</v>
      </c>
      <c r="Y60" s="15" t="s">
        <v>2882</v>
      </c>
      <c r="Z60" s="20">
        <v>46026</v>
      </c>
      <c r="AA60" s="18"/>
      <c r="AB60" s="16"/>
      <c r="AC60" s="16"/>
      <c r="AD60" s="16"/>
      <c r="AE60" s="16" t="s">
        <v>2921</v>
      </c>
      <c r="AF60" s="16"/>
      <c r="AI60" s="3" t="str">
        <f t="shared" ca="1" si="0"/>
        <v>OK</v>
      </c>
    </row>
    <row r="61" spans="1:35" hidden="1" x14ac:dyDescent="0.3">
      <c r="A61" s="13">
        <v>46032</v>
      </c>
      <c r="B61" s="14" t="s">
        <v>2806</v>
      </c>
      <c r="C61" s="16"/>
      <c r="D61" s="16"/>
      <c r="E61" s="15" t="s">
        <v>855</v>
      </c>
      <c r="F61" s="15" t="s">
        <v>907</v>
      </c>
      <c r="G61" s="15" t="s">
        <v>109</v>
      </c>
      <c r="H61" s="15"/>
      <c r="I61" s="15" t="s">
        <v>1388</v>
      </c>
      <c r="J61" s="15" t="s">
        <v>1389</v>
      </c>
      <c r="K61" s="16"/>
      <c r="L61" s="14" t="s">
        <v>2815</v>
      </c>
      <c r="M61" s="16"/>
      <c r="N61" s="15" t="s">
        <v>928</v>
      </c>
      <c r="O61" s="14">
        <v>4.58</v>
      </c>
      <c r="P61" s="14" t="s">
        <v>2845</v>
      </c>
      <c r="Q61" s="14" cm="1">
        <f t="array" ref="Q61">_xlfn.IFS(P61="USD",O61,P61="VND",O61/26090,P61="JPY",O61/161)</f>
        <v>4.58</v>
      </c>
      <c r="R61" s="14">
        <v>21</v>
      </c>
      <c r="S61" s="14">
        <v>20</v>
      </c>
      <c r="T61" s="14"/>
      <c r="U61" s="14" t="s">
        <v>2849</v>
      </c>
      <c r="V61" s="14" t="s">
        <v>2857</v>
      </c>
      <c r="W61" s="14" t="s">
        <v>2858</v>
      </c>
      <c r="X61" s="17">
        <v>0</v>
      </c>
      <c r="Y61" s="15" t="s">
        <v>2875</v>
      </c>
      <c r="Z61" s="20">
        <v>46029</v>
      </c>
      <c r="AA61" s="18"/>
      <c r="AB61" s="16"/>
      <c r="AC61" s="16"/>
      <c r="AD61" s="16"/>
      <c r="AE61" s="16" t="s">
        <v>3025</v>
      </c>
      <c r="AF61" s="16"/>
      <c r="AI61" s="3" t="str">
        <f t="shared" ca="1" si="0"/>
        <v>OK</v>
      </c>
    </row>
    <row r="62" spans="1:35" x14ac:dyDescent="0.3">
      <c r="A62" s="13">
        <v>46032</v>
      </c>
      <c r="B62" s="14" t="s">
        <v>2806</v>
      </c>
      <c r="C62" s="16"/>
      <c r="D62" s="16"/>
      <c r="E62" s="15" t="s">
        <v>865</v>
      </c>
      <c r="F62" s="15" t="s">
        <v>904</v>
      </c>
      <c r="G62" s="15" t="s">
        <v>110</v>
      </c>
      <c r="H62" s="15"/>
      <c r="I62" s="15" t="s">
        <v>1390</v>
      </c>
      <c r="J62" s="15" t="s">
        <v>1391</v>
      </c>
      <c r="K62" s="16"/>
      <c r="L62" s="14" t="s">
        <v>2814</v>
      </c>
      <c r="M62" s="16"/>
      <c r="N62" s="15" t="s">
        <v>941</v>
      </c>
      <c r="O62" s="14">
        <v>61.02</v>
      </c>
      <c r="P62" s="14" t="s">
        <v>2845</v>
      </c>
      <c r="Q62" s="14" cm="1">
        <f t="array" ref="Q62">_xlfn.IFS(P62="USD",O62,P62="VND",O62/26090,P62="JPY",O62/161)</f>
        <v>61.02</v>
      </c>
      <c r="R62" s="14">
        <v>7</v>
      </c>
      <c r="S62" s="14">
        <v>20</v>
      </c>
      <c r="T62" s="14"/>
      <c r="U62" s="14" t="s">
        <v>2848</v>
      </c>
      <c r="V62" s="14" t="s">
        <v>2857</v>
      </c>
      <c r="W62" s="14" t="s">
        <v>2858</v>
      </c>
      <c r="X62" s="17">
        <v>0</v>
      </c>
      <c r="Y62" s="15" t="s">
        <v>2875</v>
      </c>
      <c r="Z62" s="20">
        <v>46031</v>
      </c>
      <c r="AA62" s="22" t="s">
        <v>2973</v>
      </c>
      <c r="AB62" s="16"/>
      <c r="AC62" s="16"/>
      <c r="AD62" s="16"/>
      <c r="AE62" s="16" t="s">
        <v>3024</v>
      </c>
      <c r="AF62" s="16"/>
      <c r="AI62" s="3" t="str">
        <f t="shared" ca="1" si="0"/>
        <v>OK</v>
      </c>
    </row>
    <row r="63" spans="1:35" hidden="1" x14ac:dyDescent="0.3">
      <c r="A63" s="13">
        <v>46032</v>
      </c>
      <c r="B63" s="14" t="s">
        <v>2806</v>
      </c>
      <c r="C63" s="16"/>
      <c r="D63" s="16"/>
      <c r="E63" s="15" t="s">
        <v>867</v>
      </c>
      <c r="F63" s="15" t="s">
        <v>1255</v>
      </c>
      <c r="G63" s="15" t="s">
        <v>111</v>
      </c>
      <c r="H63" s="15"/>
      <c r="I63" s="15" t="s">
        <v>1392</v>
      </c>
      <c r="J63" s="15" t="s">
        <v>1393</v>
      </c>
      <c r="K63" s="16"/>
      <c r="L63" s="14" t="s">
        <v>2813</v>
      </c>
      <c r="M63" s="16"/>
      <c r="N63" s="15" t="s">
        <v>944</v>
      </c>
      <c r="O63" s="14">
        <v>761</v>
      </c>
      <c r="P63" s="14" t="s">
        <v>2845</v>
      </c>
      <c r="Q63" s="14" cm="1">
        <f t="array" ref="Q63">_xlfn.IFS(P63="USD",O63,P63="VND",O63/26090,P63="JPY",O63/161)</f>
        <v>761</v>
      </c>
      <c r="R63" s="14">
        <v>60</v>
      </c>
      <c r="S63" s="14">
        <v>1</v>
      </c>
      <c r="T63" s="14"/>
      <c r="U63" s="14" t="s">
        <v>2853</v>
      </c>
      <c r="V63" s="14" t="s">
        <v>914</v>
      </c>
      <c r="W63" s="14" t="s">
        <v>2860</v>
      </c>
      <c r="X63" s="17">
        <v>0</v>
      </c>
      <c r="Y63" s="15" t="s">
        <v>2883</v>
      </c>
      <c r="Z63" s="20">
        <v>41682</v>
      </c>
      <c r="AA63" s="18"/>
      <c r="AB63" s="16"/>
      <c r="AC63" s="16"/>
      <c r="AD63" s="16"/>
      <c r="AE63" s="16" t="s">
        <v>2991</v>
      </c>
      <c r="AF63" s="16"/>
      <c r="AI63" s="3" t="str">
        <f t="shared" ca="1" si="0"/>
        <v>OK</v>
      </c>
    </row>
    <row r="64" spans="1:35" hidden="1" x14ac:dyDescent="0.3">
      <c r="A64" s="13">
        <v>46032</v>
      </c>
      <c r="B64" s="14" t="s">
        <v>2806</v>
      </c>
      <c r="C64" s="16"/>
      <c r="D64" s="16"/>
      <c r="E64" s="15" t="s">
        <v>868</v>
      </c>
      <c r="F64" s="15" t="s">
        <v>1256</v>
      </c>
      <c r="G64" s="15" t="s">
        <v>112</v>
      </c>
      <c r="H64" s="15"/>
      <c r="I64" s="15" t="s">
        <v>1394</v>
      </c>
      <c r="J64" s="15" t="s">
        <v>1395</v>
      </c>
      <c r="K64" s="16"/>
      <c r="L64" s="14" t="s">
        <v>2815</v>
      </c>
      <c r="M64" s="16"/>
      <c r="N64" s="15" t="s">
        <v>945</v>
      </c>
      <c r="O64" s="14">
        <v>2.12</v>
      </c>
      <c r="P64" s="14" t="s">
        <v>2845</v>
      </c>
      <c r="Q64" s="14" cm="1">
        <f t="array" ref="Q64">_xlfn.IFS(P64="USD",O64,P64="VND",O64/26090,P64="JPY",O64/161)</f>
        <v>2.12</v>
      </c>
      <c r="R64" s="14">
        <v>120</v>
      </c>
      <c r="S64" s="14">
        <v>50</v>
      </c>
      <c r="T64" s="14"/>
      <c r="U64" s="14" t="s">
        <v>2854</v>
      </c>
      <c r="V64" s="14" t="s">
        <v>2865</v>
      </c>
      <c r="W64" s="14" t="s">
        <v>2856</v>
      </c>
      <c r="X64" s="17">
        <v>0</v>
      </c>
      <c r="Y64" s="15" t="s">
        <v>2884</v>
      </c>
      <c r="Z64" s="18" t="s">
        <v>3011</v>
      </c>
      <c r="AA64" s="18"/>
      <c r="AB64" s="16"/>
      <c r="AC64" s="16"/>
      <c r="AD64" s="16"/>
      <c r="AE64" s="16" t="s">
        <v>3010</v>
      </c>
      <c r="AF64" s="16"/>
      <c r="AI64" s="3" t="str">
        <f t="shared" ca="1" si="0"/>
        <v>OK</v>
      </c>
    </row>
    <row r="65" spans="1:35" hidden="1" x14ac:dyDescent="0.3">
      <c r="A65" s="13">
        <v>46032</v>
      </c>
      <c r="B65" s="14" t="s">
        <v>2806</v>
      </c>
      <c r="C65" s="16"/>
      <c r="D65" s="16"/>
      <c r="E65" s="15" t="s">
        <v>855</v>
      </c>
      <c r="F65" s="15" t="s">
        <v>907</v>
      </c>
      <c r="G65" s="15" t="s">
        <v>113</v>
      </c>
      <c r="H65" s="15"/>
      <c r="I65" s="15" t="s">
        <v>1396</v>
      </c>
      <c r="J65" s="15" t="s">
        <v>1397</v>
      </c>
      <c r="K65" s="16"/>
      <c r="L65" s="14" t="s">
        <v>2815</v>
      </c>
      <c r="M65" s="16"/>
      <c r="N65" s="15" t="s">
        <v>924</v>
      </c>
      <c r="O65" s="14">
        <v>3.7290000000000001</v>
      </c>
      <c r="P65" s="14" t="s">
        <v>2845</v>
      </c>
      <c r="Q65" s="14" cm="1">
        <f t="array" ref="Q65">_xlfn.IFS(P65="USD",O65,P65="VND",O65/26090,P65="JPY",O65/161)</f>
        <v>3.7290000000000001</v>
      </c>
      <c r="R65" s="14">
        <v>30</v>
      </c>
      <c r="S65" s="14">
        <v>100</v>
      </c>
      <c r="T65" s="14"/>
      <c r="U65" s="14" t="s">
        <v>2849</v>
      </c>
      <c r="V65" s="14" t="s">
        <v>2857</v>
      </c>
      <c r="W65" s="14" t="s">
        <v>2858</v>
      </c>
      <c r="X65" s="17">
        <v>0</v>
      </c>
      <c r="Y65" s="15" t="s">
        <v>2875</v>
      </c>
      <c r="Z65" s="20">
        <v>46029</v>
      </c>
      <c r="AA65" s="18"/>
      <c r="AB65" s="16"/>
      <c r="AC65" s="16"/>
      <c r="AD65" s="16"/>
      <c r="AE65" s="16" t="s">
        <v>3025</v>
      </c>
      <c r="AF65" s="16"/>
      <c r="AI65" s="3" t="str">
        <f t="shared" ca="1" si="0"/>
        <v>OK</v>
      </c>
    </row>
    <row r="66" spans="1:35" x14ac:dyDescent="0.3">
      <c r="A66" s="13">
        <v>46032</v>
      </c>
      <c r="B66" s="14" t="s">
        <v>2806</v>
      </c>
      <c r="C66" s="16"/>
      <c r="D66" s="16"/>
      <c r="E66" s="15" t="s">
        <v>865</v>
      </c>
      <c r="F66" s="15" t="s">
        <v>904</v>
      </c>
      <c r="G66" s="15" t="s">
        <v>114</v>
      </c>
      <c r="H66" s="15"/>
      <c r="I66" s="15" t="s">
        <v>1398</v>
      </c>
      <c r="J66" s="15" t="s">
        <v>1399</v>
      </c>
      <c r="K66" s="16"/>
      <c r="L66" s="14" t="s">
        <v>2814</v>
      </c>
      <c r="M66" s="16"/>
      <c r="N66" s="15" t="s">
        <v>941</v>
      </c>
      <c r="O66" s="14">
        <v>66.92</v>
      </c>
      <c r="P66" s="14" t="s">
        <v>2845</v>
      </c>
      <c r="Q66" s="14" cm="1">
        <f t="array" ref="Q66">_xlfn.IFS(P66="USD",O66,P66="VND",O66/26090,P66="JPY",O66/161)</f>
        <v>66.92</v>
      </c>
      <c r="R66" s="14">
        <v>7</v>
      </c>
      <c r="S66" s="14">
        <v>10</v>
      </c>
      <c r="T66" s="14"/>
      <c r="U66" s="14" t="s">
        <v>2848</v>
      </c>
      <c r="V66" s="14" t="s">
        <v>2857</v>
      </c>
      <c r="W66" s="14" t="s">
        <v>2858</v>
      </c>
      <c r="X66" s="17">
        <v>0</v>
      </c>
      <c r="Y66" s="15" t="s">
        <v>2875</v>
      </c>
      <c r="Z66" s="20">
        <v>46031</v>
      </c>
      <c r="AA66" s="22" t="s">
        <v>2973</v>
      </c>
      <c r="AB66" s="16"/>
      <c r="AC66" s="16"/>
      <c r="AD66" s="16"/>
      <c r="AE66" s="16" t="s">
        <v>3024</v>
      </c>
      <c r="AF66" s="16"/>
      <c r="AI66" s="3" t="str">
        <f t="shared" ca="1" si="0"/>
        <v>OK</v>
      </c>
    </row>
    <row r="67" spans="1:35" hidden="1" x14ac:dyDescent="0.3">
      <c r="A67" s="13">
        <v>46032</v>
      </c>
      <c r="B67" s="14" t="s">
        <v>2806</v>
      </c>
      <c r="C67" s="16"/>
      <c r="D67" s="16"/>
      <c r="E67" s="15" t="s">
        <v>857</v>
      </c>
      <c r="F67" s="15" t="s">
        <v>912</v>
      </c>
      <c r="G67" s="15" t="s">
        <v>115</v>
      </c>
      <c r="H67" s="15"/>
      <c r="I67" s="15" t="s">
        <v>1400</v>
      </c>
      <c r="J67" s="15" t="s">
        <v>1401</v>
      </c>
      <c r="K67" s="16"/>
      <c r="L67" s="14" t="s">
        <v>2815</v>
      </c>
      <c r="M67" s="16"/>
      <c r="N67" s="15" t="s">
        <v>935</v>
      </c>
      <c r="O67" s="14">
        <v>4.7</v>
      </c>
      <c r="P67" s="14" t="s">
        <v>2845</v>
      </c>
      <c r="Q67" s="14" cm="1">
        <f t="array" ref="Q67">_xlfn.IFS(P67="USD",O67,P67="VND",O67/26090,P67="JPY",O67/161)</f>
        <v>4.7</v>
      </c>
      <c r="R67" s="14">
        <v>35</v>
      </c>
      <c r="S67" s="14">
        <v>1</v>
      </c>
      <c r="T67" s="14"/>
      <c r="U67" s="14" t="s">
        <v>2848</v>
      </c>
      <c r="V67" s="14" t="s">
        <v>2857</v>
      </c>
      <c r="W67" s="14" t="s">
        <v>2858</v>
      </c>
      <c r="X67" s="17">
        <v>0</v>
      </c>
      <c r="Y67" s="15" t="s">
        <v>2875</v>
      </c>
      <c r="Z67" s="20">
        <v>46243</v>
      </c>
      <c r="AA67" s="20">
        <v>46608</v>
      </c>
      <c r="AB67" s="16"/>
      <c r="AC67" s="16"/>
      <c r="AD67" s="16"/>
      <c r="AE67" s="16" t="s">
        <v>2957</v>
      </c>
      <c r="AF67" s="16"/>
      <c r="AI67" s="3" t="str">
        <f t="shared" ref="AI67:AI130" ca="1" si="1">IF(AA67="","OK",IF(AA67&lt;TODAY(),"NG","OK"))</f>
        <v>OK</v>
      </c>
    </row>
    <row r="68" spans="1:35" hidden="1" x14ac:dyDescent="0.3">
      <c r="A68" s="13">
        <v>46032</v>
      </c>
      <c r="B68" s="14" t="s">
        <v>2806</v>
      </c>
      <c r="C68" s="16"/>
      <c r="D68" s="16"/>
      <c r="E68" s="15" t="s">
        <v>863</v>
      </c>
      <c r="F68" s="15" t="s">
        <v>1252</v>
      </c>
      <c r="G68" s="15" t="s">
        <v>116</v>
      </c>
      <c r="H68" s="15"/>
      <c r="I68" s="15" t="s">
        <v>1402</v>
      </c>
      <c r="J68" s="15" t="s">
        <v>1403</v>
      </c>
      <c r="K68" s="16"/>
      <c r="L68" s="14" t="s">
        <v>2815</v>
      </c>
      <c r="M68" s="16"/>
      <c r="N68" s="15" t="s">
        <v>938</v>
      </c>
      <c r="O68" s="14">
        <v>49.78</v>
      </c>
      <c r="P68" s="14" t="s">
        <v>2845</v>
      </c>
      <c r="Q68" s="14" cm="1">
        <f t="array" ref="Q68">_xlfn.IFS(P68="USD",O68,P68="VND",O68/26090,P68="JPY",O68/161)</f>
        <v>49.78</v>
      </c>
      <c r="R68" s="14">
        <v>42</v>
      </c>
      <c r="S68" s="14">
        <v>10</v>
      </c>
      <c r="T68" s="14"/>
      <c r="U68" s="14" t="s">
        <v>2848</v>
      </c>
      <c r="V68" s="14" t="s">
        <v>2857</v>
      </c>
      <c r="W68" s="14" t="s">
        <v>2858</v>
      </c>
      <c r="X68" s="17">
        <v>0</v>
      </c>
      <c r="Y68" s="15" t="s">
        <v>2881</v>
      </c>
      <c r="Z68" s="20">
        <v>45937</v>
      </c>
      <c r="AA68" s="18"/>
      <c r="AB68" s="16"/>
      <c r="AC68" s="16"/>
      <c r="AD68" s="16"/>
      <c r="AE68" s="16" t="s">
        <v>3005</v>
      </c>
      <c r="AF68" s="16"/>
      <c r="AI68" s="3" t="str">
        <f t="shared" ca="1" si="1"/>
        <v>OK</v>
      </c>
    </row>
    <row r="69" spans="1:35" hidden="1" x14ac:dyDescent="0.3">
      <c r="A69" s="13">
        <v>46032</v>
      </c>
      <c r="B69" s="14" t="s">
        <v>2806</v>
      </c>
      <c r="C69" s="16"/>
      <c r="D69" s="16"/>
      <c r="E69" s="15" t="s">
        <v>869</v>
      </c>
      <c r="F69" s="15" t="s">
        <v>905</v>
      </c>
      <c r="G69" s="15" t="s">
        <v>117</v>
      </c>
      <c r="H69" s="15"/>
      <c r="I69" s="15" t="s">
        <v>1404</v>
      </c>
      <c r="J69" s="15" t="s">
        <v>1405</v>
      </c>
      <c r="K69" s="16"/>
      <c r="L69" s="14" t="s">
        <v>2815</v>
      </c>
      <c r="M69" s="16"/>
      <c r="N69" s="15" t="s">
        <v>947</v>
      </c>
      <c r="O69" s="14">
        <v>48</v>
      </c>
      <c r="P69" s="14" t="s">
        <v>2845</v>
      </c>
      <c r="Q69" s="14" cm="1">
        <f t="array" ref="Q69">_xlfn.IFS(P69="USD",O69,P69="VND",O69/26090,P69="JPY",O69/161)</f>
        <v>48</v>
      </c>
      <c r="R69" s="14">
        <v>15</v>
      </c>
      <c r="S69" s="14">
        <v>10</v>
      </c>
      <c r="T69" s="14"/>
      <c r="U69" s="14" t="s">
        <v>2848</v>
      </c>
      <c r="V69" s="14" t="s">
        <v>2857</v>
      </c>
      <c r="W69" s="14" t="s">
        <v>2858</v>
      </c>
      <c r="X69" s="17">
        <v>0</v>
      </c>
      <c r="Y69" s="15" t="s">
        <v>2885</v>
      </c>
      <c r="Z69" s="20">
        <v>46029</v>
      </c>
      <c r="AA69" s="18"/>
      <c r="AB69" s="16"/>
      <c r="AC69" s="16"/>
      <c r="AD69" s="16"/>
      <c r="AE69" s="16" t="s">
        <v>3035</v>
      </c>
      <c r="AF69" s="16"/>
      <c r="AI69" s="3" t="str">
        <f t="shared" ca="1" si="1"/>
        <v>OK</v>
      </c>
    </row>
    <row r="70" spans="1:35" hidden="1" x14ac:dyDescent="0.3">
      <c r="A70" s="13">
        <v>46032</v>
      </c>
      <c r="B70" s="14" t="s">
        <v>2806</v>
      </c>
      <c r="C70" s="16"/>
      <c r="D70" s="16"/>
      <c r="E70" s="15" t="s">
        <v>870</v>
      </c>
      <c r="F70" s="15" t="s">
        <v>1257</v>
      </c>
      <c r="G70" s="15" t="s">
        <v>118</v>
      </c>
      <c r="H70" s="15"/>
      <c r="I70" s="15" t="s">
        <v>1406</v>
      </c>
      <c r="J70" s="15" t="s">
        <v>1407</v>
      </c>
      <c r="K70" s="16"/>
      <c r="L70" s="14" t="s">
        <v>2815</v>
      </c>
      <c r="M70" s="16"/>
      <c r="N70" s="15" t="s">
        <v>948</v>
      </c>
      <c r="O70" s="14">
        <v>30.16</v>
      </c>
      <c r="P70" s="14" t="s">
        <v>2845</v>
      </c>
      <c r="Q70" s="14" cm="1">
        <f t="array" ref="Q70">_xlfn.IFS(P70="USD",O70,P70="VND",O70/26090,P70="JPY",O70/161)</f>
        <v>30.16</v>
      </c>
      <c r="R70" s="14">
        <v>75</v>
      </c>
      <c r="S70" s="14">
        <v>210</v>
      </c>
      <c r="T70" s="14"/>
      <c r="U70" s="14" t="s">
        <v>2854</v>
      </c>
      <c r="V70" s="14" t="s">
        <v>2866</v>
      </c>
      <c r="W70" s="14" t="s">
        <v>2856</v>
      </c>
      <c r="X70" s="17">
        <v>0</v>
      </c>
      <c r="Y70" s="15" t="s">
        <v>2886</v>
      </c>
      <c r="Z70" s="18" t="s">
        <v>2943</v>
      </c>
      <c r="AA70" s="18"/>
      <c r="AB70" s="16"/>
      <c r="AC70" s="16"/>
      <c r="AD70" s="16"/>
      <c r="AE70" s="16" t="s">
        <v>3021</v>
      </c>
      <c r="AF70" s="16"/>
      <c r="AI70" s="3" t="str">
        <f t="shared" ca="1" si="1"/>
        <v>OK</v>
      </c>
    </row>
    <row r="71" spans="1:35" hidden="1" x14ac:dyDescent="0.3">
      <c r="A71" s="13">
        <v>46032</v>
      </c>
      <c r="B71" s="14" t="s">
        <v>2806</v>
      </c>
      <c r="C71" s="16"/>
      <c r="D71" s="16"/>
      <c r="E71" s="15" t="s">
        <v>861</v>
      </c>
      <c r="F71" s="15" t="s">
        <v>1250</v>
      </c>
      <c r="G71" s="15" t="s">
        <v>119</v>
      </c>
      <c r="H71" s="15"/>
      <c r="I71" s="15" t="s">
        <v>1408</v>
      </c>
      <c r="J71" s="15" t="s">
        <v>1409</v>
      </c>
      <c r="K71" s="16"/>
      <c r="L71" s="14" t="s">
        <v>2817</v>
      </c>
      <c r="M71" s="16"/>
      <c r="N71" s="15" t="s">
        <v>932</v>
      </c>
      <c r="O71" s="14">
        <v>17.28</v>
      </c>
      <c r="P71" s="14" t="s">
        <v>2845</v>
      </c>
      <c r="Q71" s="14" cm="1">
        <f t="array" ref="Q71">_xlfn.IFS(P71="USD",O71,P71="VND",O71/26090,P71="JPY",O71/161)</f>
        <v>17.28</v>
      </c>
      <c r="R71" s="14">
        <v>45</v>
      </c>
      <c r="S71" s="14">
        <v>500</v>
      </c>
      <c r="T71" s="14"/>
      <c r="U71" s="14" t="s">
        <v>2848</v>
      </c>
      <c r="V71" s="14" t="s">
        <v>2857</v>
      </c>
      <c r="W71" s="14" t="s">
        <v>2858</v>
      </c>
      <c r="X71" s="17">
        <v>0</v>
      </c>
      <c r="Y71" s="15" t="s">
        <v>2875</v>
      </c>
      <c r="Z71" s="20">
        <v>46057</v>
      </c>
      <c r="AA71" s="18"/>
      <c r="AB71" s="16"/>
      <c r="AC71" s="16"/>
      <c r="AD71" s="16"/>
      <c r="AE71" s="16" t="s">
        <v>3004</v>
      </c>
      <c r="AF71" s="16"/>
      <c r="AI71" s="3" t="str">
        <f t="shared" ca="1" si="1"/>
        <v>OK</v>
      </c>
    </row>
    <row r="72" spans="1:35" hidden="1" x14ac:dyDescent="0.3">
      <c r="A72" s="13">
        <v>46032</v>
      </c>
      <c r="B72" s="14" t="s">
        <v>2806</v>
      </c>
      <c r="C72" s="16"/>
      <c r="D72" s="16"/>
      <c r="E72" s="15" t="s">
        <v>855</v>
      </c>
      <c r="F72" s="15" t="s">
        <v>907</v>
      </c>
      <c r="G72" s="15" t="s">
        <v>120</v>
      </c>
      <c r="H72" s="15"/>
      <c r="I72" s="15" t="s">
        <v>1410</v>
      </c>
      <c r="J72" s="15" t="s">
        <v>1411</v>
      </c>
      <c r="K72" s="16"/>
      <c r="L72" s="14" t="s">
        <v>2815</v>
      </c>
      <c r="M72" s="16"/>
      <c r="N72" s="15" t="s">
        <v>928</v>
      </c>
      <c r="O72" s="14">
        <v>7.88</v>
      </c>
      <c r="P72" s="14" t="s">
        <v>2845</v>
      </c>
      <c r="Q72" s="14" cm="1">
        <f t="array" ref="Q72">_xlfn.IFS(P72="USD",O72,P72="VND",O72/26090,P72="JPY",O72/161)</f>
        <v>7.88</v>
      </c>
      <c r="R72" s="14">
        <v>21</v>
      </c>
      <c r="S72" s="14">
        <v>20</v>
      </c>
      <c r="T72" s="14"/>
      <c r="U72" s="14" t="s">
        <v>2849</v>
      </c>
      <c r="V72" s="14" t="s">
        <v>2857</v>
      </c>
      <c r="W72" s="14" t="s">
        <v>2858</v>
      </c>
      <c r="X72" s="17">
        <v>0</v>
      </c>
      <c r="Y72" s="15" t="s">
        <v>2875</v>
      </c>
      <c r="Z72" s="20">
        <v>46029</v>
      </c>
      <c r="AA72" s="18"/>
      <c r="AB72" s="16"/>
      <c r="AC72" s="16"/>
      <c r="AD72" s="16"/>
      <c r="AE72" s="16" t="s">
        <v>3025</v>
      </c>
      <c r="AF72" s="16"/>
      <c r="AI72" s="3" t="str">
        <f t="shared" ca="1" si="1"/>
        <v>OK</v>
      </c>
    </row>
    <row r="73" spans="1:35" hidden="1" x14ac:dyDescent="0.3">
      <c r="A73" s="13">
        <v>46032</v>
      </c>
      <c r="B73" s="14" t="s">
        <v>2806</v>
      </c>
      <c r="C73" s="16"/>
      <c r="D73" s="16"/>
      <c r="E73" s="15" t="s">
        <v>868</v>
      </c>
      <c r="F73" s="15" t="s">
        <v>1256</v>
      </c>
      <c r="G73" s="15" t="s">
        <v>121</v>
      </c>
      <c r="H73" s="15"/>
      <c r="I73" s="15" t="s">
        <v>1412</v>
      </c>
      <c r="J73" s="15" t="s">
        <v>1413</v>
      </c>
      <c r="K73" s="16"/>
      <c r="L73" s="14" t="s">
        <v>2815</v>
      </c>
      <c r="M73" s="16"/>
      <c r="N73" s="15" t="s">
        <v>945</v>
      </c>
      <c r="O73" s="14">
        <v>24.08</v>
      </c>
      <c r="P73" s="14" t="s">
        <v>2845</v>
      </c>
      <c r="Q73" s="14" cm="1">
        <f t="array" ref="Q73">_xlfn.IFS(P73="USD",O73,P73="VND",O73/26090,P73="JPY",O73/161)</f>
        <v>24.08</v>
      </c>
      <c r="R73" s="14">
        <v>120</v>
      </c>
      <c r="S73" s="14">
        <v>3</v>
      </c>
      <c r="T73" s="14"/>
      <c r="U73" s="14" t="s">
        <v>2854</v>
      </c>
      <c r="V73" s="14" t="s">
        <v>2866</v>
      </c>
      <c r="W73" s="14" t="s">
        <v>2856</v>
      </c>
      <c r="X73" s="17">
        <v>0</v>
      </c>
      <c r="Y73" s="15" t="s">
        <v>2884</v>
      </c>
      <c r="Z73" s="18" t="s">
        <v>3011</v>
      </c>
      <c r="AA73" s="18"/>
      <c r="AB73" s="16"/>
      <c r="AC73" s="16"/>
      <c r="AD73" s="16"/>
      <c r="AE73" s="16" t="s">
        <v>3010</v>
      </c>
      <c r="AF73" s="16"/>
      <c r="AI73" s="3" t="str">
        <f t="shared" ca="1" si="1"/>
        <v>OK</v>
      </c>
    </row>
    <row r="74" spans="1:35" x14ac:dyDescent="0.3">
      <c r="A74" s="13">
        <v>46032</v>
      </c>
      <c r="B74" s="14" t="s">
        <v>2806</v>
      </c>
      <c r="C74" s="16"/>
      <c r="D74" s="16"/>
      <c r="E74" s="15" t="s">
        <v>862</v>
      </c>
      <c r="F74" s="15" t="s">
        <v>1251</v>
      </c>
      <c r="G74" s="15" t="s">
        <v>122</v>
      </c>
      <c r="H74" s="15"/>
      <c r="I74" s="15" t="s">
        <v>1414</v>
      </c>
      <c r="J74" s="15" t="s">
        <v>1415</v>
      </c>
      <c r="K74" s="16"/>
      <c r="L74" s="14" t="s">
        <v>2817</v>
      </c>
      <c r="M74" s="16"/>
      <c r="N74" s="15" t="s">
        <v>949</v>
      </c>
      <c r="O74" s="14">
        <v>845740</v>
      </c>
      <c r="P74" s="14" t="s">
        <v>2846</v>
      </c>
      <c r="Q74" s="14" cm="1">
        <f t="array" ref="Q74">_xlfn.IFS(P74="USD",O74,P74="VND",O74/26090,P74="JPY",O74/161)</f>
        <v>32.416251437332313</v>
      </c>
      <c r="R74" s="14">
        <v>7</v>
      </c>
      <c r="S74" s="14">
        <v>100</v>
      </c>
      <c r="T74" s="14"/>
      <c r="U74" s="14" t="s">
        <v>2848</v>
      </c>
      <c r="V74" s="14" t="s">
        <v>2857</v>
      </c>
      <c r="W74" s="14" t="s">
        <v>2858</v>
      </c>
      <c r="X74" s="17">
        <v>0</v>
      </c>
      <c r="Y74" s="15" t="s">
        <v>2875</v>
      </c>
      <c r="Z74" s="18" t="s">
        <v>2929</v>
      </c>
      <c r="AA74" s="22" t="s">
        <v>2931</v>
      </c>
      <c r="AB74" s="16"/>
      <c r="AC74" s="16"/>
      <c r="AD74" s="16"/>
      <c r="AE74" s="16" t="s">
        <v>2932</v>
      </c>
      <c r="AF74" s="16"/>
      <c r="AI74" s="3" t="str">
        <f t="shared" ca="1" si="1"/>
        <v>OK</v>
      </c>
    </row>
    <row r="75" spans="1:35" x14ac:dyDescent="0.3">
      <c r="A75" s="13">
        <v>46032</v>
      </c>
      <c r="B75" s="14" t="s">
        <v>2806</v>
      </c>
      <c r="C75" s="16"/>
      <c r="D75" s="16"/>
      <c r="E75" s="15" t="s">
        <v>862</v>
      </c>
      <c r="F75" s="15" t="s">
        <v>1251</v>
      </c>
      <c r="G75" s="15" t="s">
        <v>123</v>
      </c>
      <c r="H75" s="15"/>
      <c r="I75" s="15" t="s">
        <v>1416</v>
      </c>
      <c r="J75" s="15" t="s">
        <v>1417</v>
      </c>
      <c r="K75" s="16"/>
      <c r="L75" s="14" t="s">
        <v>2807</v>
      </c>
      <c r="M75" s="16"/>
      <c r="N75" s="15" t="s">
        <v>950</v>
      </c>
      <c r="O75" s="14">
        <v>73500</v>
      </c>
      <c r="P75" s="14" t="s">
        <v>2846</v>
      </c>
      <c r="Q75" s="14" cm="1">
        <f t="array" ref="Q75">_xlfn.IFS(P75="USD",O75,P75="VND",O75/26090,P75="JPY",O75/161)</f>
        <v>2.8171713300114987</v>
      </c>
      <c r="R75" s="14">
        <v>7</v>
      </c>
      <c r="S75" s="14">
        <v>100</v>
      </c>
      <c r="T75" s="14"/>
      <c r="U75" s="14" t="s">
        <v>2848</v>
      </c>
      <c r="V75" s="14" t="s">
        <v>2857</v>
      </c>
      <c r="W75" s="14" t="s">
        <v>2858</v>
      </c>
      <c r="X75" s="17">
        <v>0</v>
      </c>
      <c r="Y75" s="15" t="s">
        <v>2875</v>
      </c>
      <c r="Z75" s="18" t="s">
        <v>2929</v>
      </c>
      <c r="AA75" s="22" t="s">
        <v>2931</v>
      </c>
      <c r="AB75" s="16"/>
      <c r="AC75" s="16"/>
      <c r="AD75" s="16"/>
      <c r="AE75" s="16" t="s">
        <v>2932</v>
      </c>
      <c r="AF75" s="16"/>
      <c r="AI75" s="3" t="str">
        <f t="shared" ca="1" si="1"/>
        <v>OK</v>
      </c>
    </row>
    <row r="76" spans="1:35" x14ac:dyDescent="0.3">
      <c r="A76" s="13">
        <v>46032</v>
      </c>
      <c r="B76" s="14" t="s">
        <v>2806</v>
      </c>
      <c r="C76" s="16"/>
      <c r="D76" s="16"/>
      <c r="E76" s="15" t="s">
        <v>862</v>
      </c>
      <c r="F76" s="15" t="s">
        <v>1251</v>
      </c>
      <c r="G76" s="15" t="s">
        <v>124</v>
      </c>
      <c r="H76" s="15"/>
      <c r="I76" s="15" t="s">
        <v>1418</v>
      </c>
      <c r="J76" s="15" t="s">
        <v>1419</v>
      </c>
      <c r="K76" s="16"/>
      <c r="L76" s="14" t="s">
        <v>2807</v>
      </c>
      <c r="M76" s="16"/>
      <c r="N76" s="15" t="s">
        <v>950</v>
      </c>
      <c r="O76" s="14">
        <v>73500</v>
      </c>
      <c r="P76" s="14" t="s">
        <v>2846</v>
      </c>
      <c r="Q76" s="14" cm="1">
        <f t="array" ref="Q76">_xlfn.IFS(P76="USD",O76,P76="VND",O76/26090,P76="JPY",O76/161)</f>
        <v>2.8171713300114987</v>
      </c>
      <c r="R76" s="14">
        <v>7</v>
      </c>
      <c r="S76" s="14">
        <v>50</v>
      </c>
      <c r="T76" s="14"/>
      <c r="U76" s="14" t="s">
        <v>2848</v>
      </c>
      <c r="V76" s="14" t="s">
        <v>2857</v>
      </c>
      <c r="W76" s="14" t="s">
        <v>2858</v>
      </c>
      <c r="X76" s="17">
        <v>0</v>
      </c>
      <c r="Y76" s="15" t="s">
        <v>2875</v>
      </c>
      <c r="Z76" s="18" t="s">
        <v>2929</v>
      </c>
      <c r="AA76" s="22" t="s">
        <v>2931</v>
      </c>
      <c r="AB76" s="16"/>
      <c r="AC76" s="16"/>
      <c r="AD76" s="16"/>
      <c r="AE76" s="16" t="s">
        <v>2932</v>
      </c>
      <c r="AF76" s="16"/>
      <c r="AI76" s="3" t="str">
        <f t="shared" ca="1" si="1"/>
        <v>OK</v>
      </c>
    </row>
    <row r="77" spans="1:35" x14ac:dyDescent="0.3">
      <c r="A77" s="13">
        <v>46032</v>
      </c>
      <c r="B77" s="14" t="s">
        <v>2806</v>
      </c>
      <c r="C77" s="16"/>
      <c r="D77" s="16"/>
      <c r="E77" s="15" t="s">
        <v>871</v>
      </c>
      <c r="F77" s="15" t="s">
        <v>916</v>
      </c>
      <c r="G77" s="15" t="s">
        <v>125</v>
      </c>
      <c r="H77" s="15"/>
      <c r="I77" s="15" t="s">
        <v>1420</v>
      </c>
      <c r="J77" s="15" t="s">
        <v>1421</v>
      </c>
      <c r="K77" s="16"/>
      <c r="L77" s="14" t="s">
        <v>2820</v>
      </c>
      <c r="M77" s="16"/>
      <c r="N77" s="15" t="s">
        <v>951</v>
      </c>
      <c r="O77" s="14">
        <v>1243000</v>
      </c>
      <c r="P77" s="14" t="s">
        <v>2846</v>
      </c>
      <c r="Q77" s="14" cm="1">
        <f t="array" ref="Q77">_xlfn.IFS(P77="USD",O77,P77="VND",O77/26090,P77="JPY",O77/161)</f>
        <v>47.642775009582216</v>
      </c>
      <c r="R77" s="14">
        <v>90</v>
      </c>
      <c r="S77" s="14">
        <v>10</v>
      </c>
      <c r="T77" s="14"/>
      <c r="U77" s="14" t="s">
        <v>2848</v>
      </c>
      <c r="V77" s="14" t="s">
        <v>2857</v>
      </c>
      <c r="W77" s="14" t="s">
        <v>2858</v>
      </c>
      <c r="X77" s="17">
        <v>0</v>
      </c>
      <c r="Y77" s="15" t="s">
        <v>2875</v>
      </c>
      <c r="Z77" s="18" t="s">
        <v>3037</v>
      </c>
      <c r="AA77" s="22" t="s">
        <v>2994</v>
      </c>
      <c r="AB77" s="16"/>
      <c r="AC77" s="16"/>
      <c r="AD77" s="16"/>
      <c r="AE77" s="16" t="s">
        <v>3036</v>
      </c>
      <c r="AF77" s="16"/>
      <c r="AI77" s="3" t="str">
        <f t="shared" ca="1" si="1"/>
        <v>OK</v>
      </c>
    </row>
    <row r="78" spans="1:35" x14ac:dyDescent="0.3">
      <c r="A78" s="13">
        <v>46032</v>
      </c>
      <c r="B78" s="14" t="s">
        <v>2806</v>
      </c>
      <c r="C78" s="16"/>
      <c r="D78" s="16"/>
      <c r="E78" s="15" t="s">
        <v>865</v>
      </c>
      <c r="F78" s="15" t="s">
        <v>904</v>
      </c>
      <c r="G78" s="15" t="s">
        <v>126</v>
      </c>
      <c r="H78" s="15"/>
      <c r="I78" s="15" t="s">
        <v>1422</v>
      </c>
      <c r="J78" s="15" t="s">
        <v>1423</v>
      </c>
      <c r="K78" s="16"/>
      <c r="L78" s="14" t="s">
        <v>2814</v>
      </c>
      <c r="M78" s="16"/>
      <c r="N78" s="15" t="s">
        <v>941</v>
      </c>
      <c r="O78" s="14">
        <v>99.64</v>
      </c>
      <c r="P78" s="14" t="s">
        <v>2845</v>
      </c>
      <c r="Q78" s="14" cm="1">
        <f t="array" ref="Q78">_xlfn.IFS(P78="USD",O78,P78="VND",O78/26090,P78="JPY",O78/161)</f>
        <v>99.64</v>
      </c>
      <c r="R78" s="14">
        <v>7</v>
      </c>
      <c r="S78" s="14">
        <v>1</v>
      </c>
      <c r="T78" s="14"/>
      <c r="U78" s="14" t="s">
        <v>2848</v>
      </c>
      <c r="V78" s="14" t="s">
        <v>2857</v>
      </c>
      <c r="W78" s="14" t="s">
        <v>2858</v>
      </c>
      <c r="X78" s="17">
        <v>0</v>
      </c>
      <c r="Y78" s="15" t="s">
        <v>2875</v>
      </c>
      <c r="Z78" s="20">
        <v>46031</v>
      </c>
      <c r="AA78" s="22" t="s">
        <v>2973</v>
      </c>
      <c r="AB78" s="16"/>
      <c r="AC78" s="16"/>
      <c r="AD78" s="16"/>
      <c r="AE78" s="16" t="s">
        <v>3024</v>
      </c>
      <c r="AF78" s="16"/>
      <c r="AI78" s="3" t="str">
        <f t="shared" ca="1" si="1"/>
        <v>OK</v>
      </c>
    </row>
    <row r="79" spans="1:35" hidden="1" x14ac:dyDescent="0.3">
      <c r="A79" s="13">
        <v>46032</v>
      </c>
      <c r="B79" s="14" t="s">
        <v>2806</v>
      </c>
      <c r="C79" s="16"/>
      <c r="D79" s="16"/>
      <c r="E79" s="15" t="s">
        <v>850</v>
      </c>
      <c r="F79" s="15" t="s">
        <v>915</v>
      </c>
      <c r="G79" s="15" t="s">
        <v>127</v>
      </c>
      <c r="H79" s="15"/>
      <c r="I79" s="15" t="s">
        <v>1424</v>
      </c>
      <c r="J79" s="15" t="s">
        <v>1425</v>
      </c>
      <c r="K79" s="16"/>
      <c r="L79" s="14" t="s">
        <v>2809</v>
      </c>
      <c r="M79" s="16"/>
      <c r="N79" s="15" t="s">
        <v>952</v>
      </c>
      <c r="O79" s="14">
        <v>2.85</v>
      </c>
      <c r="P79" s="14" t="s">
        <v>2845</v>
      </c>
      <c r="Q79" s="14" cm="1">
        <f t="array" ref="Q79">_xlfn.IFS(P79="USD",O79,P79="VND",O79/26090,P79="JPY",O79/161)</f>
        <v>2.85</v>
      </c>
      <c r="R79" s="14">
        <v>60</v>
      </c>
      <c r="S79" s="14">
        <v>6000</v>
      </c>
      <c r="T79" s="14"/>
      <c r="U79" s="14" t="s">
        <v>2850</v>
      </c>
      <c r="V79" s="14" t="s">
        <v>2867</v>
      </c>
      <c r="W79" s="14" t="s">
        <v>2860</v>
      </c>
      <c r="X79" s="17">
        <v>0</v>
      </c>
      <c r="Y79" s="15" t="s">
        <v>2876</v>
      </c>
      <c r="Z79" s="18"/>
      <c r="AA79" s="18"/>
      <c r="AB79" s="16"/>
      <c r="AC79" s="16"/>
      <c r="AD79" s="16"/>
      <c r="AE79" s="16"/>
      <c r="AF79" s="16"/>
      <c r="AI79" s="3" t="str">
        <f t="shared" ca="1" si="1"/>
        <v>OK</v>
      </c>
    </row>
    <row r="80" spans="1:35" hidden="1" x14ac:dyDescent="0.3">
      <c r="A80" s="13">
        <v>46032</v>
      </c>
      <c r="B80" s="14" t="s">
        <v>2806</v>
      </c>
      <c r="C80" s="16"/>
      <c r="D80" s="16"/>
      <c r="E80" s="15" t="s">
        <v>858</v>
      </c>
      <c r="F80" s="15" t="s">
        <v>1248</v>
      </c>
      <c r="G80" s="15" t="s">
        <v>128</v>
      </c>
      <c r="H80" s="15"/>
      <c r="I80" s="15" t="s">
        <v>1426</v>
      </c>
      <c r="J80" s="15" t="s">
        <v>1427</v>
      </c>
      <c r="K80" s="16"/>
      <c r="L80" s="14" t="s">
        <v>2816</v>
      </c>
      <c r="M80" s="16"/>
      <c r="N80" s="15" t="s">
        <v>953</v>
      </c>
      <c r="O80" s="14">
        <v>1370.7</v>
      </c>
      <c r="P80" s="14" t="s">
        <v>2845</v>
      </c>
      <c r="Q80" s="14" cm="1">
        <f t="array" ref="Q80">_xlfn.IFS(P80="USD",O80,P80="VND",O80/26090,P80="JPY",O80/161)</f>
        <v>1370.7</v>
      </c>
      <c r="R80" s="14">
        <v>60</v>
      </c>
      <c r="S80" s="14">
        <v>1</v>
      </c>
      <c r="T80" s="14"/>
      <c r="U80" s="14" t="s">
        <v>2851</v>
      </c>
      <c r="V80" s="14" t="s">
        <v>2863</v>
      </c>
      <c r="W80" s="14" t="s">
        <v>2860</v>
      </c>
      <c r="X80" s="17">
        <v>0</v>
      </c>
      <c r="Y80" s="15" t="s">
        <v>2880</v>
      </c>
      <c r="Z80" s="20">
        <v>46333</v>
      </c>
      <c r="AA80" s="20">
        <v>46305</v>
      </c>
      <c r="AB80" s="16"/>
      <c r="AC80" s="16"/>
      <c r="AD80" s="16"/>
      <c r="AE80" s="16" t="s">
        <v>3047</v>
      </c>
      <c r="AF80" s="16"/>
      <c r="AI80" s="3" t="str">
        <f t="shared" ca="1" si="1"/>
        <v>OK</v>
      </c>
    </row>
    <row r="81" spans="1:35" hidden="1" x14ac:dyDescent="0.3">
      <c r="A81" s="13">
        <v>46032</v>
      </c>
      <c r="B81" s="14" t="s">
        <v>2806</v>
      </c>
      <c r="C81" s="16"/>
      <c r="D81" s="16"/>
      <c r="E81" s="15" t="s">
        <v>851</v>
      </c>
      <c r="F81" s="15" t="s">
        <v>1244</v>
      </c>
      <c r="G81" s="15" t="s">
        <v>129</v>
      </c>
      <c r="H81" s="15"/>
      <c r="I81" s="15" t="s">
        <v>1428</v>
      </c>
      <c r="J81" s="15" t="s">
        <v>1429</v>
      </c>
      <c r="K81" s="16"/>
      <c r="L81" s="14" t="s">
        <v>2810</v>
      </c>
      <c r="M81" s="16"/>
      <c r="N81" s="15" t="s">
        <v>920</v>
      </c>
      <c r="O81" s="14">
        <v>19.95</v>
      </c>
      <c r="P81" s="14" t="s">
        <v>2845</v>
      </c>
      <c r="Q81" s="14" cm="1">
        <f t="array" ref="Q81">_xlfn.IFS(P81="USD",O81,P81="VND",O81/26090,P81="JPY",O81/161)</f>
        <v>19.95</v>
      </c>
      <c r="R81" s="14">
        <v>60</v>
      </c>
      <c r="S81" s="14">
        <v>120</v>
      </c>
      <c r="T81" s="14"/>
      <c r="U81" s="14" t="s">
        <v>2848</v>
      </c>
      <c r="V81" s="14" t="s">
        <v>2857</v>
      </c>
      <c r="W81" s="14" t="s">
        <v>2858</v>
      </c>
      <c r="X81" s="17">
        <v>0</v>
      </c>
      <c r="Y81" s="15" t="s">
        <v>2875</v>
      </c>
      <c r="Z81" s="18" t="s">
        <v>2943</v>
      </c>
      <c r="AA81" s="18"/>
      <c r="AB81" s="16"/>
      <c r="AC81" s="16"/>
      <c r="AD81" s="16"/>
      <c r="AE81" s="16" t="s">
        <v>2942</v>
      </c>
      <c r="AF81" s="16"/>
      <c r="AI81" s="3" t="str">
        <f t="shared" ca="1" si="1"/>
        <v>OK</v>
      </c>
    </row>
    <row r="82" spans="1:35" hidden="1" x14ac:dyDescent="0.3">
      <c r="A82" s="13">
        <v>46032</v>
      </c>
      <c r="B82" s="14" t="s">
        <v>2806</v>
      </c>
      <c r="C82" s="16"/>
      <c r="D82" s="16"/>
      <c r="E82" s="15" t="s">
        <v>857</v>
      </c>
      <c r="F82" s="15" t="s">
        <v>912</v>
      </c>
      <c r="G82" s="15" t="s">
        <v>130</v>
      </c>
      <c r="H82" s="15"/>
      <c r="I82" s="15" t="s">
        <v>1430</v>
      </c>
      <c r="J82" s="15" t="s">
        <v>1431</v>
      </c>
      <c r="K82" s="16"/>
      <c r="L82" s="14" t="s">
        <v>2821</v>
      </c>
      <c r="M82" s="16"/>
      <c r="N82" s="15" t="s">
        <v>954</v>
      </c>
      <c r="O82" s="14">
        <v>10.35</v>
      </c>
      <c r="P82" s="14" t="s">
        <v>2845</v>
      </c>
      <c r="Q82" s="14" cm="1">
        <f t="array" ref="Q82">_xlfn.IFS(P82="USD",O82,P82="VND",O82/26090,P82="JPY",O82/161)</f>
        <v>10.35</v>
      </c>
      <c r="R82" s="14">
        <v>35</v>
      </c>
      <c r="S82" s="14">
        <v>1</v>
      </c>
      <c r="T82" s="14"/>
      <c r="U82" s="14" t="s">
        <v>2848</v>
      </c>
      <c r="V82" s="14" t="s">
        <v>2857</v>
      </c>
      <c r="W82" s="14" t="s">
        <v>2858</v>
      </c>
      <c r="X82" s="17">
        <v>0</v>
      </c>
      <c r="Y82" s="15" t="s">
        <v>2875</v>
      </c>
      <c r="Z82" s="20">
        <v>46243</v>
      </c>
      <c r="AA82" s="20">
        <v>46608</v>
      </c>
      <c r="AB82" s="16"/>
      <c r="AC82" s="16"/>
      <c r="AD82" s="16"/>
      <c r="AE82" s="16" t="s">
        <v>2957</v>
      </c>
      <c r="AF82" s="16"/>
      <c r="AI82" s="3" t="str">
        <f t="shared" ca="1" si="1"/>
        <v>OK</v>
      </c>
    </row>
    <row r="83" spans="1:35" hidden="1" x14ac:dyDescent="0.3">
      <c r="A83" s="13">
        <v>46032</v>
      </c>
      <c r="B83" s="14" t="s">
        <v>2806</v>
      </c>
      <c r="C83" s="16"/>
      <c r="D83" s="16"/>
      <c r="E83" s="15" t="s">
        <v>857</v>
      </c>
      <c r="F83" s="15" t="s">
        <v>912</v>
      </c>
      <c r="G83" s="15" t="s">
        <v>131</v>
      </c>
      <c r="H83" s="15"/>
      <c r="I83" s="15" t="s">
        <v>1432</v>
      </c>
      <c r="J83" s="15" t="s">
        <v>1433</v>
      </c>
      <c r="K83" s="16"/>
      <c r="L83" s="14" t="s">
        <v>2815</v>
      </c>
      <c r="M83" s="16"/>
      <c r="N83" s="15" t="s">
        <v>954</v>
      </c>
      <c r="O83" s="14">
        <v>8.1199999999999992</v>
      </c>
      <c r="P83" s="14" t="s">
        <v>2845</v>
      </c>
      <c r="Q83" s="14" cm="1">
        <f t="array" ref="Q83">_xlfn.IFS(P83="USD",O83,P83="VND",O83/26090,P83="JPY",O83/161)</f>
        <v>8.1199999999999992</v>
      </c>
      <c r="R83" s="14">
        <v>35</v>
      </c>
      <c r="S83" s="14">
        <v>1</v>
      </c>
      <c r="T83" s="14"/>
      <c r="U83" s="14" t="s">
        <v>2848</v>
      </c>
      <c r="V83" s="14" t="s">
        <v>2857</v>
      </c>
      <c r="W83" s="14" t="s">
        <v>2858</v>
      </c>
      <c r="X83" s="17">
        <v>0</v>
      </c>
      <c r="Y83" s="15" t="s">
        <v>2875</v>
      </c>
      <c r="Z83" s="20">
        <v>46243</v>
      </c>
      <c r="AA83" s="20">
        <v>46608</v>
      </c>
      <c r="AB83" s="16"/>
      <c r="AC83" s="16"/>
      <c r="AD83" s="16"/>
      <c r="AE83" s="16" t="s">
        <v>2957</v>
      </c>
      <c r="AF83" s="16"/>
      <c r="AI83" s="3" t="str">
        <f t="shared" ca="1" si="1"/>
        <v>OK</v>
      </c>
    </row>
    <row r="84" spans="1:35" x14ac:dyDescent="0.3">
      <c r="A84" s="13">
        <v>46032</v>
      </c>
      <c r="B84" s="14" t="s">
        <v>2806</v>
      </c>
      <c r="C84" s="16"/>
      <c r="D84" s="16"/>
      <c r="E84" s="15" t="s">
        <v>858</v>
      </c>
      <c r="F84" s="15" t="s">
        <v>1248</v>
      </c>
      <c r="G84" s="15" t="s">
        <v>132</v>
      </c>
      <c r="H84" s="15"/>
      <c r="I84" s="15" t="s">
        <v>1434</v>
      </c>
      <c r="J84" s="15" t="s">
        <v>1435</v>
      </c>
      <c r="K84" s="16"/>
      <c r="L84" s="14" t="s">
        <v>2808</v>
      </c>
      <c r="M84" s="16"/>
      <c r="N84" s="15" t="s">
        <v>955</v>
      </c>
      <c r="O84" s="14">
        <v>11.89</v>
      </c>
      <c r="P84" s="14" t="s">
        <v>2845</v>
      </c>
      <c r="Q84" s="14" cm="1">
        <f t="array" ref="Q84">_xlfn.IFS(P84="USD",O84,P84="VND",O84/26090,P84="JPY",O84/161)</f>
        <v>11.89</v>
      </c>
      <c r="R84" s="14">
        <v>30</v>
      </c>
      <c r="S84" s="14">
        <v>10</v>
      </c>
      <c r="T84" s="14"/>
      <c r="U84" s="14" t="s">
        <v>2852</v>
      </c>
      <c r="V84" s="14" t="s">
        <v>2864</v>
      </c>
      <c r="W84" s="14" t="s">
        <v>2860</v>
      </c>
      <c r="X84" s="17">
        <v>0</v>
      </c>
      <c r="Y84" s="15" t="s">
        <v>2880</v>
      </c>
      <c r="Z84" s="20">
        <v>46029</v>
      </c>
      <c r="AA84" s="23">
        <v>46030</v>
      </c>
      <c r="AB84" s="16"/>
      <c r="AC84" s="16"/>
      <c r="AD84" s="16"/>
      <c r="AE84" s="16" t="s">
        <v>3051</v>
      </c>
      <c r="AF84" s="16"/>
      <c r="AI84" s="3" t="str">
        <f t="shared" ca="1" si="1"/>
        <v>NG</v>
      </c>
    </row>
    <row r="85" spans="1:35" hidden="1" x14ac:dyDescent="0.3">
      <c r="A85" s="13">
        <v>46032</v>
      </c>
      <c r="B85" s="14" t="s">
        <v>2806</v>
      </c>
      <c r="C85" s="16"/>
      <c r="D85" s="16"/>
      <c r="E85" s="15" t="s">
        <v>853</v>
      </c>
      <c r="F85" s="15" t="s">
        <v>903</v>
      </c>
      <c r="G85" s="15" t="s">
        <v>133</v>
      </c>
      <c r="H85" s="15"/>
      <c r="I85" s="15" t="s">
        <v>1436</v>
      </c>
      <c r="J85" s="15" t="s">
        <v>1437</v>
      </c>
      <c r="K85" s="16"/>
      <c r="L85" s="14" t="s">
        <v>2813</v>
      </c>
      <c r="M85" s="16"/>
      <c r="N85" s="15" t="s">
        <v>922</v>
      </c>
      <c r="O85" s="14">
        <v>386.9</v>
      </c>
      <c r="P85" s="14" t="s">
        <v>2845</v>
      </c>
      <c r="Q85" s="14" cm="1">
        <f t="array" ref="Q85">_xlfn.IFS(P85="USD",O85,P85="VND",O85/26090,P85="JPY",O85/161)</f>
        <v>386.9</v>
      </c>
      <c r="R85" s="14">
        <v>152</v>
      </c>
      <c r="S85" s="14">
        <v>6</v>
      </c>
      <c r="T85" s="14"/>
      <c r="U85" s="14" t="s">
        <v>2850</v>
      </c>
      <c r="V85" s="14" t="s">
        <v>2861</v>
      </c>
      <c r="W85" s="14" t="s">
        <v>2856</v>
      </c>
      <c r="X85" s="17">
        <v>0</v>
      </c>
      <c r="Y85" s="15" t="s">
        <v>2878</v>
      </c>
      <c r="Z85" s="20">
        <v>46031</v>
      </c>
      <c r="AA85" s="18"/>
      <c r="AB85" s="16"/>
      <c r="AC85" s="16"/>
      <c r="AD85" s="16"/>
      <c r="AE85" s="16" t="s">
        <v>2984</v>
      </c>
      <c r="AF85" s="16"/>
      <c r="AI85" s="3" t="str">
        <f t="shared" ca="1" si="1"/>
        <v>OK</v>
      </c>
    </row>
    <row r="86" spans="1:35" hidden="1" x14ac:dyDescent="0.3">
      <c r="A86" s="13">
        <v>46032</v>
      </c>
      <c r="B86" s="14" t="s">
        <v>2806</v>
      </c>
      <c r="C86" s="16"/>
      <c r="D86" s="16"/>
      <c r="E86" s="15" t="s">
        <v>857</v>
      </c>
      <c r="F86" s="15" t="s">
        <v>912</v>
      </c>
      <c r="G86" s="15" t="s">
        <v>134</v>
      </c>
      <c r="H86" s="15"/>
      <c r="I86" s="15" t="s">
        <v>1438</v>
      </c>
      <c r="J86" s="15" t="s">
        <v>1439</v>
      </c>
      <c r="K86" s="16"/>
      <c r="L86" s="14" t="s">
        <v>2821</v>
      </c>
      <c r="M86" s="16"/>
      <c r="N86" s="15" t="s">
        <v>954</v>
      </c>
      <c r="O86" s="14">
        <v>10.85</v>
      </c>
      <c r="P86" s="14" t="s">
        <v>2845</v>
      </c>
      <c r="Q86" s="14" cm="1">
        <f t="array" ref="Q86">_xlfn.IFS(P86="USD",O86,P86="VND",O86/26090,P86="JPY",O86/161)</f>
        <v>10.85</v>
      </c>
      <c r="R86" s="14">
        <v>35</v>
      </c>
      <c r="S86" s="14">
        <v>1</v>
      </c>
      <c r="T86" s="14"/>
      <c r="U86" s="14" t="s">
        <v>2848</v>
      </c>
      <c r="V86" s="14" t="s">
        <v>2857</v>
      </c>
      <c r="W86" s="14" t="s">
        <v>2858</v>
      </c>
      <c r="X86" s="17">
        <v>0</v>
      </c>
      <c r="Y86" s="15" t="s">
        <v>2875</v>
      </c>
      <c r="Z86" s="20">
        <v>46243</v>
      </c>
      <c r="AA86" s="20">
        <v>46608</v>
      </c>
      <c r="AB86" s="16"/>
      <c r="AC86" s="16"/>
      <c r="AD86" s="16"/>
      <c r="AE86" s="16" t="s">
        <v>2957</v>
      </c>
      <c r="AF86" s="16"/>
      <c r="AI86" s="3" t="str">
        <f t="shared" ca="1" si="1"/>
        <v>OK</v>
      </c>
    </row>
    <row r="87" spans="1:35" hidden="1" x14ac:dyDescent="0.3">
      <c r="A87" s="13">
        <v>46032</v>
      </c>
      <c r="B87" s="14" t="s">
        <v>2806</v>
      </c>
      <c r="C87" s="16"/>
      <c r="D87" s="16"/>
      <c r="E87" s="15" t="s">
        <v>857</v>
      </c>
      <c r="F87" s="15" t="s">
        <v>912</v>
      </c>
      <c r="G87" s="15" t="s">
        <v>135</v>
      </c>
      <c r="H87" s="15"/>
      <c r="I87" s="15" t="s">
        <v>1440</v>
      </c>
      <c r="J87" s="15" t="s">
        <v>1441</v>
      </c>
      <c r="K87" s="16"/>
      <c r="L87" s="14" t="s">
        <v>2821</v>
      </c>
      <c r="M87" s="16"/>
      <c r="N87" s="15" t="s">
        <v>954</v>
      </c>
      <c r="O87" s="14">
        <v>10.45</v>
      </c>
      <c r="P87" s="14" t="s">
        <v>2845</v>
      </c>
      <c r="Q87" s="14" cm="1">
        <f t="array" ref="Q87">_xlfn.IFS(P87="USD",O87,P87="VND",O87/26090,P87="JPY",O87/161)</f>
        <v>10.45</v>
      </c>
      <c r="R87" s="14">
        <v>35</v>
      </c>
      <c r="S87" s="14">
        <v>1</v>
      </c>
      <c r="T87" s="14"/>
      <c r="U87" s="14" t="s">
        <v>2848</v>
      </c>
      <c r="V87" s="14" t="s">
        <v>2857</v>
      </c>
      <c r="W87" s="14" t="s">
        <v>2858</v>
      </c>
      <c r="X87" s="17">
        <v>0</v>
      </c>
      <c r="Y87" s="15" t="s">
        <v>2875</v>
      </c>
      <c r="Z87" s="20">
        <v>46243</v>
      </c>
      <c r="AA87" s="20">
        <v>46608</v>
      </c>
      <c r="AB87" s="16"/>
      <c r="AC87" s="16"/>
      <c r="AD87" s="16"/>
      <c r="AE87" s="16" t="s">
        <v>2957</v>
      </c>
      <c r="AF87" s="16"/>
      <c r="AI87" s="3" t="str">
        <f t="shared" ca="1" si="1"/>
        <v>OK</v>
      </c>
    </row>
    <row r="88" spans="1:35" hidden="1" x14ac:dyDescent="0.3">
      <c r="A88" s="13">
        <v>46032</v>
      </c>
      <c r="B88" s="14" t="s">
        <v>2806</v>
      </c>
      <c r="C88" s="16"/>
      <c r="D88" s="16"/>
      <c r="E88" s="15" t="s">
        <v>857</v>
      </c>
      <c r="F88" s="15" t="s">
        <v>912</v>
      </c>
      <c r="G88" s="15" t="s">
        <v>136</v>
      </c>
      <c r="H88" s="15"/>
      <c r="I88" s="15" t="s">
        <v>1442</v>
      </c>
      <c r="J88" s="15" t="s">
        <v>1443</v>
      </c>
      <c r="K88" s="16"/>
      <c r="L88" s="14" t="s">
        <v>2815</v>
      </c>
      <c r="M88" s="16"/>
      <c r="N88" s="15" t="s">
        <v>935</v>
      </c>
      <c r="O88" s="14">
        <v>12.3</v>
      </c>
      <c r="P88" s="14" t="s">
        <v>2845</v>
      </c>
      <c r="Q88" s="14" cm="1">
        <f t="array" ref="Q88">_xlfn.IFS(P88="USD",O88,P88="VND",O88/26090,P88="JPY",O88/161)</f>
        <v>12.3</v>
      </c>
      <c r="R88" s="14">
        <v>35</v>
      </c>
      <c r="S88" s="14">
        <v>1</v>
      </c>
      <c r="T88" s="14"/>
      <c r="U88" s="14" t="s">
        <v>2848</v>
      </c>
      <c r="V88" s="14" t="s">
        <v>2857</v>
      </c>
      <c r="W88" s="14" t="s">
        <v>2858</v>
      </c>
      <c r="X88" s="17">
        <v>0</v>
      </c>
      <c r="Y88" s="15" t="s">
        <v>2875</v>
      </c>
      <c r="Z88" s="20">
        <v>46243</v>
      </c>
      <c r="AA88" s="20">
        <v>46608</v>
      </c>
      <c r="AB88" s="16"/>
      <c r="AC88" s="16"/>
      <c r="AD88" s="16"/>
      <c r="AE88" s="16" t="s">
        <v>2957</v>
      </c>
      <c r="AF88" s="16"/>
      <c r="AI88" s="3" t="str">
        <f t="shared" ca="1" si="1"/>
        <v>OK</v>
      </c>
    </row>
    <row r="89" spans="1:35" hidden="1" x14ac:dyDescent="0.3">
      <c r="A89" s="13">
        <v>46032</v>
      </c>
      <c r="B89" s="14" t="s">
        <v>2806</v>
      </c>
      <c r="C89" s="16"/>
      <c r="D89" s="16"/>
      <c r="E89" s="15" t="s">
        <v>857</v>
      </c>
      <c r="F89" s="15" t="s">
        <v>912</v>
      </c>
      <c r="G89" s="15" t="s">
        <v>137</v>
      </c>
      <c r="H89" s="15"/>
      <c r="I89" s="15" t="s">
        <v>1444</v>
      </c>
      <c r="J89" s="15" t="s">
        <v>1445</v>
      </c>
      <c r="K89" s="16"/>
      <c r="L89" s="14" t="s">
        <v>2815</v>
      </c>
      <c r="M89" s="16"/>
      <c r="N89" s="15" t="s">
        <v>954</v>
      </c>
      <c r="O89" s="14">
        <v>5.65</v>
      </c>
      <c r="P89" s="14" t="s">
        <v>2845</v>
      </c>
      <c r="Q89" s="14" cm="1">
        <f t="array" ref="Q89">_xlfn.IFS(P89="USD",O89,P89="VND",O89/26090,P89="JPY",O89/161)</f>
        <v>5.65</v>
      </c>
      <c r="R89" s="14">
        <v>35</v>
      </c>
      <c r="S89" s="14">
        <v>1</v>
      </c>
      <c r="T89" s="14"/>
      <c r="U89" s="14" t="s">
        <v>2848</v>
      </c>
      <c r="V89" s="14" t="s">
        <v>2857</v>
      </c>
      <c r="W89" s="14" t="s">
        <v>2858</v>
      </c>
      <c r="X89" s="17">
        <v>0</v>
      </c>
      <c r="Y89" s="15" t="s">
        <v>2875</v>
      </c>
      <c r="Z89" s="20">
        <v>46243</v>
      </c>
      <c r="AA89" s="20">
        <v>46608</v>
      </c>
      <c r="AB89" s="16"/>
      <c r="AC89" s="16"/>
      <c r="AD89" s="16"/>
      <c r="AE89" s="16" t="s">
        <v>2957</v>
      </c>
      <c r="AF89" s="16"/>
      <c r="AI89" s="3" t="str">
        <f t="shared" ca="1" si="1"/>
        <v>OK</v>
      </c>
    </row>
    <row r="90" spans="1:35" hidden="1" x14ac:dyDescent="0.3">
      <c r="A90" s="13">
        <v>46032</v>
      </c>
      <c r="B90" s="14" t="s">
        <v>2806</v>
      </c>
      <c r="C90" s="16"/>
      <c r="D90" s="16"/>
      <c r="E90" s="15" t="s">
        <v>857</v>
      </c>
      <c r="F90" s="15" t="s">
        <v>912</v>
      </c>
      <c r="G90" s="15" t="s">
        <v>138</v>
      </c>
      <c r="H90" s="15"/>
      <c r="I90" s="15" t="s">
        <v>1446</v>
      </c>
      <c r="J90" s="15" t="s">
        <v>1447</v>
      </c>
      <c r="K90" s="16"/>
      <c r="L90" s="14" t="s">
        <v>2818</v>
      </c>
      <c r="M90" s="16"/>
      <c r="N90" s="15" t="s">
        <v>939</v>
      </c>
      <c r="O90" s="14">
        <v>5.6</v>
      </c>
      <c r="P90" s="14" t="s">
        <v>2845</v>
      </c>
      <c r="Q90" s="14" cm="1">
        <f t="array" ref="Q90">_xlfn.IFS(P90="USD",O90,P90="VND",O90/26090,P90="JPY",O90/161)</f>
        <v>5.6</v>
      </c>
      <c r="R90" s="14">
        <v>35</v>
      </c>
      <c r="S90" s="14">
        <v>1</v>
      </c>
      <c r="T90" s="14"/>
      <c r="U90" s="14" t="s">
        <v>2848</v>
      </c>
      <c r="V90" s="14" t="s">
        <v>2857</v>
      </c>
      <c r="W90" s="14" t="s">
        <v>2858</v>
      </c>
      <c r="X90" s="17">
        <v>0</v>
      </c>
      <c r="Y90" s="15" t="s">
        <v>2875</v>
      </c>
      <c r="Z90" s="20">
        <v>46243</v>
      </c>
      <c r="AA90" s="20">
        <v>46608</v>
      </c>
      <c r="AB90" s="16"/>
      <c r="AC90" s="16"/>
      <c r="AD90" s="16"/>
      <c r="AE90" s="16" t="s">
        <v>2957</v>
      </c>
      <c r="AF90" s="16"/>
      <c r="AI90" s="3" t="str">
        <f t="shared" ca="1" si="1"/>
        <v>OK</v>
      </c>
    </row>
    <row r="91" spans="1:35" x14ac:dyDescent="0.3">
      <c r="A91" s="13">
        <v>46032</v>
      </c>
      <c r="B91" s="14" t="s">
        <v>2806</v>
      </c>
      <c r="C91" s="16"/>
      <c r="D91" s="16"/>
      <c r="E91" s="15" t="s">
        <v>858</v>
      </c>
      <c r="F91" s="15" t="s">
        <v>1248</v>
      </c>
      <c r="G91" s="15" t="s">
        <v>139</v>
      </c>
      <c r="H91" s="15"/>
      <c r="I91" s="15" t="s">
        <v>1448</v>
      </c>
      <c r="J91" s="15" t="s">
        <v>1449</v>
      </c>
      <c r="K91" s="16"/>
      <c r="L91" s="14" t="s">
        <v>2822</v>
      </c>
      <c r="M91" s="16"/>
      <c r="N91" s="15" t="s">
        <v>956</v>
      </c>
      <c r="O91" s="14">
        <v>165</v>
      </c>
      <c r="P91" s="14" t="s">
        <v>2845</v>
      </c>
      <c r="Q91" s="14" cm="1">
        <f t="array" ref="Q91">_xlfn.IFS(P91="USD",O91,P91="VND",O91/26090,P91="JPY",O91/161)</f>
        <v>165</v>
      </c>
      <c r="R91" s="14">
        <v>60</v>
      </c>
      <c r="S91" s="14">
        <v>1</v>
      </c>
      <c r="T91" s="14"/>
      <c r="U91" s="14" t="s">
        <v>2850</v>
      </c>
      <c r="V91" s="14" t="s">
        <v>2868</v>
      </c>
      <c r="W91" s="14" t="s">
        <v>2860</v>
      </c>
      <c r="X91" s="17">
        <v>0</v>
      </c>
      <c r="Y91" s="15" t="s">
        <v>2880</v>
      </c>
      <c r="Z91" s="20">
        <v>46029</v>
      </c>
      <c r="AA91" s="23">
        <v>46030</v>
      </c>
      <c r="AB91" s="16"/>
      <c r="AC91" s="16"/>
      <c r="AD91" s="16"/>
      <c r="AE91" s="16" t="s">
        <v>3051</v>
      </c>
      <c r="AF91" s="16"/>
      <c r="AI91" s="3" t="str">
        <f t="shared" ca="1" si="1"/>
        <v>NG</v>
      </c>
    </row>
    <row r="92" spans="1:35" x14ac:dyDescent="0.3">
      <c r="A92" s="13">
        <v>46032</v>
      </c>
      <c r="B92" s="14" t="s">
        <v>2806</v>
      </c>
      <c r="C92" s="16"/>
      <c r="D92" s="16"/>
      <c r="E92" s="15" t="s">
        <v>858</v>
      </c>
      <c r="F92" s="15" t="s">
        <v>1248</v>
      </c>
      <c r="G92" s="15" t="s">
        <v>140</v>
      </c>
      <c r="H92" s="15"/>
      <c r="I92" s="15" t="s">
        <v>1450</v>
      </c>
      <c r="J92" s="15" t="s">
        <v>1451</v>
      </c>
      <c r="K92" s="16"/>
      <c r="L92" s="14" t="s">
        <v>2822</v>
      </c>
      <c r="M92" s="16"/>
      <c r="N92" s="15" t="s">
        <v>956</v>
      </c>
      <c r="O92" s="14">
        <v>221</v>
      </c>
      <c r="P92" s="14" t="s">
        <v>2845</v>
      </c>
      <c r="Q92" s="14" cm="1">
        <f t="array" ref="Q92">_xlfn.IFS(P92="USD",O92,P92="VND",O92/26090,P92="JPY",O92/161)</f>
        <v>221</v>
      </c>
      <c r="R92" s="14">
        <v>60</v>
      </c>
      <c r="S92" s="14">
        <v>1</v>
      </c>
      <c r="T92" s="14"/>
      <c r="U92" s="14" t="s">
        <v>2850</v>
      </c>
      <c r="V92" s="14" t="s">
        <v>2868</v>
      </c>
      <c r="W92" s="14" t="s">
        <v>2860</v>
      </c>
      <c r="X92" s="17">
        <v>0</v>
      </c>
      <c r="Y92" s="15" t="s">
        <v>2880</v>
      </c>
      <c r="Z92" s="20">
        <v>46029</v>
      </c>
      <c r="AA92" s="23">
        <v>46030</v>
      </c>
      <c r="AB92" s="16"/>
      <c r="AC92" s="16"/>
      <c r="AD92" s="16"/>
      <c r="AE92" s="16" t="s">
        <v>3051</v>
      </c>
      <c r="AF92" s="16"/>
      <c r="AI92" s="3" t="str">
        <f t="shared" ca="1" si="1"/>
        <v>NG</v>
      </c>
    </row>
    <row r="93" spans="1:35" hidden="1" x14ac:dyDescent="0.3">
      <c r="A93" s="13">
        <v>46032</v>
      </c>
      <c r="B93" s="14" t="s">
        <v>2806</v>
      </c>
      <c r="C93" s="16"/>
      <c r="D93" s="16"/>
      <c r="E93" s="15" t="s">
        <v>857</v>
      </c>
      <c r="F93" s="15" t="s">
        <v>912</v>
      </c>
      <c r="G93" s="15" t="s">
        <v>141</v>
      </c>
      <c r="H93" s="15"/>
      <c r="I93" s="15" t="s">
        <v>1452</v>
      </c>
      <c r="J93" s="15" t="s">
        <v>1453</v>
      </c>
      <c r="K93" s="16"/>
      <c r="L93" s="14" t="s">
        <v>2821</v>
      </c>
      <c r="M93" s="16"/>
      <c r="N93" s="15" t="s">
        <v>954</v>
      </c>
      <c r="O93" s="14">
        <v>10.41</v>
      </c>
      <c r="P93" s="14" t="s">
        <v>2845</v>
      </c>
      <c r="Q93" s="14" cm="1">
        <f t="array" ref="Q93">_xlfn.IFS(P93="USD",O93,P93="VND",O93/26090,P93="JPY",O93/161)</f>
        <v>10.41</v>
      </c>
      <c r="R93" s="14">
        <v>35</v>
      </c>
      <c r="S93" s="14">
        <v>1</v>
      </c>
      <c r="T93" s="14"/>
      <c r="U93" s="14" t="s">
        <v>2848</v>
      </c>
      <c r="V93" s="14" t="s">
        <v>2857</v>
      </c>
      <c r="W93" s="14" t="s">
        <v>2858</v>
      </c>
      <c r="X93" s="17">
        <v>0</v>
      </c>
      <c r="Y93" s="15" t="s">
        <v>2875</v>
      </c>
      <c r="Z93" s="20">
        <v>46243</v>
      </c>
      <c r="AA93" s="20">
        <v>46608</v>
      </c>
      <c r="AB93" s="16"/>
      <c r="AC93" s="16"/>
      <c r="AD93" s="16"/>
      <c r="AE93" s="16" t="s">
        <v>2957</v>
      </c>
      <c r="AF93" s="16"/>
      <c r="AI93" s="3" t="str">
        <f t="shared" ca="1" si="1"/>
        <v>OK</v>
      </c>
    </row>
    <row r="94" spans="1:35" hidden="1" x14ac:dyDescent="0.3">
      <c r="A94" s="13">
        <v>46032</v>
      </c>
      <c r="B94" s="14" t="s">
        <v>2806</v>
      </c>
      <c r="C94" s="16"/>
      <c r="D94" s="16"/>
      <c r="E94" s="15" t="s">
        <v>857</v>
      </c>
      <c r="F94" s="15" t="s">
        <v>912</v>
      </c>
      <c r="G94" s="15" t="s">
        <v>142</v>
      </c>
      <c r="H94" s="15"/>
      <c r="I94" s="15" t="s">
        <v>1454</v>
      </c>
      <c r="J94" s="15" t="s">
        <v>1455</v>
      </c>
      <c r="K94" s="16"/>
      <c r="L94" s="14" t="s">
        <v>2815</v>
      </c>
      <c r="M94" s="16"/>
      <c r="N94" s="15" t="s">
        <v>935</v>
      </c>
      <c r="O94" s="14">
        <v>23.75</v>
      </c>
      <c r="P94" s="14" t="s">
        <v>2845</v>
      </c>
      <c r="Q94" s="14" cm="1">
        <f t="array" ref="Q94">_xlfn.IFS(P94="USD",O94,P94="VND",O94/26090,P94="JPY",O94/161)</f>
        <v>23.75</v>
      </c>
      <c r="R94" s="14">
        <v>35</v>
      </c>
      <c r="S94" s="14">
        <v>1</v>
      </c>
      <c r="T94" s="14"/>
      <c r="U94" s="14" t="s">
        <v>2848</v>
      </c>
      <c r="V94" s="14" t="s">
        <v>2857</v>
      </c>
      <c r="W94" s="14" t="s">
        <v>2858</v>
      </c>
      <c r="X94" s="17">
        <v>0</v>
      </c>
      <c r="Y94" s="15" t="s">
        <v>2875</v>
      </c>
      <c r="Z94" s="20">
        <v>46243</v>
      </c>
      <c r="AA94" s="20">
        <v>46608</v>
      </c>
      <c r="AB94" s="16"/>
      <c r="AC94" s="16"/>
      <c r="AD94" s="16"/>
      <c r="AE94" s="16" t="s">
        <v>2957</v>
      </c>
      <c r="AF94" s="16"/>
      <c r="AI94" s="3" t="str">
        <f t="shared" ca="1" si="1"/>
        <v>OK</v>
      </c>
    </row>
    <row r="95" spans="1:35" hidden="1" x14ac:dyDescent="0.3">
      <c r="A95" s="13">
        <v>46032</v>
      </c>
      <c r="B95" s="14" t="s">
        <v>2806</v>
      </c>
      <c r="C95" s="16"/>
      <c r="D95" s="16"/>
      <c r="E95" s="15" t="s">
        <v>850</v>
      </c>
      <c r="F95" s="15" t="s">
        <v>915</v>
      </c>
      <c r="G95" s="15" t="s">
        <v>143</v>
      </c>
      <c r="H95" s="15"/>
      <c r="I95" s="15" t="s">
        <v>1456</v>
      </c>
      <c r="J95" s="15" t="s">
        <v>1457</v>
      </c>
      <c r="K95" s="16"/>
      <c r="L95" s="14" t="s">
        <v>2808</v>
      </c>
      <c r="M95" s="16"/>
      <c r="N95" s="15" t="s">
        <v>957</v>
      </c>
      <c r="O95" s="14">
        <v>13.55</v>
      </c>
      <c r="P95" s="14" t="s">
        <v>2845</v>
      </c>
      <c r="Q95" s="14" cm="1">
        <f t="array" ref="Q95">_xlfn.IFS(P95="USD",O95,P95="VND",O95/26090,P95="JPY",O95/161)</f>
        <v>13.55</v>
      </c>
      <c r="R95" s="14">
        <v>60</v>
      </c>
      <c r="S95" s="14">
        <v>5</v>
      </c>
      <c r="T95" s="14"/>
      <c r="U95" s="14" t="s">
        <v>2855</v>
      </c>
      <c r="V95" s="14" t="s">
        <v>2859</v>
      </c>
      <c r="W95" s="14" t="s">
        <v>2856</v>
      </c>
      <c r="X95" s="17">
        <v>0</v>
      </c>
      <c r="Y95" s="15" t="s">
        <v>2876</v>
      </c>
      <c r="Z95" s="18"/>
      <c r="AA95" s="18"/>
      <c r="AB95" s="16"/>
      <c r="AC95" s="16"/>
      <c r="AD95" s="16"/>
      <c r="AE95" s="16"/>
      <c r="AF95" s="16"/>
      <c r="AI95" s="3" t="str">
        <f t="shared" ca="1" si="1"/>
        <v>OK</v>
      </c>
    </row>
    <row r="96" spans="1:35" hidden="1" x14ac:dyDescent="0.3">
      <c r="A96" s="13">
        <v>46032</v>
      </c>
      <c r="B96" s="14" t="s">
        <v>2806</v>
      </c>
      <c r="C96" s="16"/>
      <c r="D96" s="16"/>
      <c r="E96" s="15" t="s">
        <v>872</v>
      </c>
      <c r="F96" s="15" t="s">
        <v>1258</v>
      </c>
      <c r="G96" s="15" t="s">
        <v>144</v>
      </c>
      <c r="H96" s="15"/>
      <c r="I96" s="15" t="s">
        <v>1458</v>
      </c>
      <c r="J96" s="15" t="s">
        <v>1459</v>
      </c>
      <c r="K96" s="16"/>
      <c r="L96" s="14" t="s">
        <v>2815</v>
      </c>
      <c r="M96" s="16"/>
      <c r="N96" s="15" t="s">
        <v>958</v>
      </c>
      <c r="O96" s="14">
        <v>0.42499999999999999</v>
      </c>
      <c r="P96" s="14" t="s">
        <v>2845</v>
      </c>
      <c r="Q96" s="14" cm="1">
        <f t="array" ref="Q96">_xlfn.IFS(P96="USD",O96,P96="VND",O96/26090,P96="JPY",O96/161)</f>
        <v>0.42499999999999999</v>
      </c>
      <c r="R96" s="14">
        <v>14</v>
      </c>
      <c r="S96" s="14">
        <v>1</v>
      </c>
      <c r="T96" s="14"/>
      <c r="U96" s="14" t="s">
        <v>2849</v>
      </c>
      <c r="V96" s="14" t="s">
        <v>2857</v>
      </c>
      <c r="W96" s="14" t="s">
        <v>2858</v>
      </c>
      <c r="X96" s="17">
        <v>0</v>
      </c>
      <c r="Y96" s="15" t="s">
        <v>2887</v>
      </c>
      <c r="Z96" s="18" t="s">
        <v>2930</v>
      </c>
      <c r="AA96" s="18"/>
      <c r="AB96" s="16"/>
      <c r="AC96" s="16"/>
      <c r="AD96" s="16"/>
      <c r="AE96" s="16" t="s">
        <v>2952</v>
      </c>
      <c r="AF96" s="16"/>
      <c r="AI96" s="3" t="str">
        <f t="shared" ca="1" si="1"/>
        <v>OK</v>
      </c>
    </row>
    <row r="97" spans="1:35" hidden="1" x14ac:dyDescent="0.3">
      <c r="A97" s="13">
        <v>46032</v>
      </c>
      <c r="B97" s="14" t="s">
        <v>2806</v>
      </c>
      <c r="C97" s="16"/>
      <c r="D97" s="16"/>
      <c r="E97" s="15" t="s">
        <v>857</v>
      </c>
      <c r="F97" s="15" t="s">
        <v>912</v>
      </c>
      <c r="G97" s="15" t="s">
        <v>145</v>
      </c>
      <c r="H97" s="15"/>
      <c r="I97" s="15" t="s">
        <v>1460</v>
      </c>
      <c r="J97" s="15" t="s">
        <v>1461</v>
      </c>
      <c r="K97" s="16"/>
      <c r="L97" s="14" t="s">
        <v>2821</v>
      </c>
      <c r="M97" s="16"/>
      <c r="N97" s="15" t="s">
        <v>954</v>
      </c>
      <c r="O97" s="14">
        <v>9.5</v>
      </c>
      <c r="P97" s="14" t="s">
        <v>2845</v>
      </c>
      <c r="Q97" s="14" cm="1">
        <f t="array" ref="Q97">_xlfn.IFS(P97="USD",O97,P97="VND",O97/26090,P97="JPY",O97/161)</f>
        <v>9.5</v>
      </c>
      <c r="R97" s="14">
        <v>21</v>
      </c>
      <c r="S97" s="14">
        <v>20</v>
      </c>
      <c r="T97" s="14"/>
      <c r="U97" s="14" t="s">
        <v>2848</v>
      </c>
      <c r="V97" s="14" t="s">
        <v>2857</v>
      </c>
      <c r="W97" s="14" t="s">
        <v>2858</v>
      </c>
      <c r="X97" s="17">
        <v>0</v>
      </c>
      <c r="Y97" s="15" t="s">
        <v>2875</v>
      </c>
      <c r="Z97" s="20">
        <v>46243</v>
      </c>
      <c r="AA97" s="20">
        <v>46608</v>
      </c>
      <c r="AB97" s="16"/>
      <c r="AC97" s="16"/>
      <c r="AD97" s="16"/>
      <c r="AE97" s="16" t="s">
        <v>2957</v>
      </c>
      <c r="AF97" s="16"/>
      <c r="AI97" s="3" t="str">
        <f t="shared" ca="1" si="1"/>
        <v>OK</v>
      </c>
    </row>
    <row r="98" spans="1:35" hidden="1" x14ac:dyDescent="0.3">
      <c r="A98" s="13">
        <v>46032</v>
      </c>
      <c r="B98" s="14" t="s">
        <v>2806</v>
      </c>
      <c r="C98" s="16"/>
      <c r="D98" s="16"/>
      <c r="E98" s="15" t="s">
        <v>873</v>
      </c>
      <c r="F98" s="15" t="s">
        <v>1259</v>
      </c>
      <c r="G98" s="15" t="s">
        <v>146</v>
      </c>
      <c r="H98" s="15"/>
      <c r="I98" s="15" t="s">
        <v>1462</v>
      </c>
      <c r="J98" s="15" t="s">
        <v>1463</v>
      </c>
      <c r="K98" s="16"/>
      <c r="L98" s="14" t="s">
        <v>2814</v>
      </c>
      <c r="M98" s="16"/>
      <c r="N98" s="15" t="s">
        <v>959</v>
      </c>
      <c r="O98" s="14">
        <v>157.69999999999999</v>
      </c>
      <c r="P98" s="14" t="s">
        <v>2845</v>
      </c>
      <c r="Q98" s="14" cm="1">
        <f t="array" ref="Q98">_xlfn.IFS(P98="USD",O98,P98="VND",O98/26090,P98="JPY",O98/161)</f>
        <v>157.69999999999999</v>
      </c>
      <c r="R98" s="14">
        <v>60</v>
      </c>
      <c r="S98" s="14">
        <v>200</v>
      </c>
      <c r="T98" s="14"/>
      <c r="U98" s="14" t="s">
        <v>2855</v>
      </c>
      <c r="V98" s="14" t="s">
        <v>2859</v>
      </c>
      <c r="W98" s="14" t="s">
        <v>2856</v>
      </c>
      <c r="X98" s="17">
        <v>0</v>
      </c>
      <c r="Y98" s="15" t="s">
        <v>2888</v>
      </c>
      <c r="Z98" s="20">
        <v>46032</v>
      </c>
      <c r="AA98" s="20" t="s">
        <v>2965</v>
      </c>
      <c r="AB98" s="16"/>
      <c r="AC98" s="16"/>
      <c r="AD98" s="16"/>
      <c r="AE98" s="16" t="s">
        <v>2966</v>
      </c>
      <c r="AF98" s="16"/>
      <c r="AI98" s="3" t="str">
        <f t="shared" ca="1" si="1"/>
        <v>OK</v>
      </c>
    </row>
    <row r="99" spans="1:35" hidden="1" x14ac:dyDescent="0.3">
      <c r="A99" s="13">
        <v>46032</v>
      </c>
      <c r="B99" s="14" t="s">
        <v>2806</v>
      </c>
      <c r="C99" s="16"/>
      <c r="D99" s="16"/>
      <c r="E99" s="15" t="s">
        <v>873</v>
      </c>
      <c r="F99" s="15" t="s">
        <v>1259</v>
      </c>
      <c r="G99" s="15" t="s">
        <v>147</v>
      </c>
      <c r="H99" s="15"/>
      <c r="I99" s="15" t="s">
        <v>1464</v>
      </c>
      <c r="J99" s="15" t="s">
        <v>1465</v>
      </c>
      <c r="K99" s="16"/>
      <c r="L99" s="14" t="s">
        <v>2814</v>
      </c>
      <c r="M99" s="16"/>
      <c r="N99" s="15" t="s">
        <v>959</v>
      </c>
      <c r="O99" s="14">
        <v>93.44</v>
      </c>
      <c r="P99" s="14" t="s">
        <v>2845</v>
      </c>
      <c r="Q99" s="14" cm="1">
        <f t="array" ref="Q99">_xlfn.IFS(P99="USD",O99,P99="VND",O99/26090,P99="JPY",O99/161)</f>
        <v>93.44</v>
      </c>
      <c r="R99" s="14">
        <v>60</v>
      </c>
      <c r="S99" s="14">
        <v>500</v>
      </c>
      <c r="T99" s="14"/>
      <c r="U99" s="14" t="s">
        <v>2855</v>
      </c>
      <c r="V99" s="14" t="s">
        <v>2859</v>
      </c>
      <c r="W99" s="14" t="s">
        <v>2856</v>
      </c>
      <c r="X99" s="17">
        <v>0</v>
      </c>
      <c r="Y99" s="15" t="s">
        <v>2888</v>
      </c>
      <c r="Z99" s="20">
        <v>46032</v>
      </c>
      <c r="AA99" s="20" t="s">
        <v>2965</v>
      </c>
      <c r="AB99" s="16"/>
      <c r="AC99" s="16"/>
      <c r="AD99" s="16"/>
      <c r="AE99" s="16" t="s">
        <v>2966</v>
      </c>
      <c r="AF99" s="16"/>
      <c r="AI99" s="3" t="str">
        <f t="shared" ca="1" si="1"/>
        <v>OK</v>
      </c>
    </row>
    <row r="100" spans="1:35" hidden="1" x14ac:dyDescent="0.3">
      <c r="A100" s="13">
        <v>46032</v>
      </c>
      <c r="B100" s="14" t="s">
        <v>2806</v>
      </c>
      <c r="C100" s="16"/>
      <c r="D100" s="16"/>
      <c r="E100" s="15" t="s">
        <v>872</v>
      </c>
      <c r="F100" s="15" t="s">
        <v>1258</v>
      </c>
      <c r="G100" s="15" t="s">
        <v>148</v>
      </c>
      <c r="H100" s="15"/>
      <c r="I100" s="15" t="s">
        <v>1466</v>
      </c>
      <c r="J100" s="15" t="s">
        <v>1467</v>
      </c>
      <c r="K100" s="16"/>
      <c r="L100" s="14" t="s">
        <v>2809</v>
      </c>
      <c r="M100" s="16"/>
      <c r="N100" s="15" t="s">
        <v>960</v>
      </c>
      <c r="O100" s="14">
        <v>1.65</v>
      </c>
      <c r="P100" s="14" t="s">
        <v>2845</v>
      </c>
      <c r="Q100" s="14" cm="1">
        <f t="array" ref="Q100">_xlfn.IFS(P100="USD",O100,P100="VND",O100/26090,P100="JPY",O100/161)</f>
        <v>1.65</v>
      </c>
      <c r="R100" s="14">
        <v>14</v>
      </c>
      <c r="S100" s="14">
        <v>1</v>
      </c>
      <c r="T100" s="14"/>
      <c r="U100" s="14" t="s">
        <v>2849</v>
      </c>
      <c r="V100" s="14" t="s">
        <v>2857</v>
      </c>
      <c r="W100" s="14" t="s">
        <v>2858</v>
      </c>
      <c r="X100" s="17">
        <v>0</v>
      </c>
      <c r="Y100" s="15" t="s">
        <v>2887</v>
      </c>
      <c r="Z100" s="18" t="s">
        <v>2930</v>
      </c>
      <c r="AA100" s="18"/>
      <c r="AB100" s="16"/>
      <c r="AC100" s="16"/>
      <c r="AD100" s="16"/>
      <c r="AE100" s="16" t="s">
        <v>2952</v>
      </c>
      <c r="AF100" s="16"/>
      <c r="AI100" s="3" t="str">
        <f t="shared" ca="1" si="1"/>
        <v>OK</v>
      </c>
    </row>
    <row r="101" spans="1:35" hidden="1" x14ac:dyDescent="0.3">
      <c r="A101" s="13">
        <v>46032</v>
      </c>
      <c r="B101" s="14" t="s">
        <v>2806</v>
      </c>
      <c r="C101" s="16"/>
      <c r="D101" s="16"/>
      <c r="E101" s="15" t="s">
        <v>872</v>
      </c>
      <c r="F101" s="15" t="s">
        <v>1258</v>
      </c>
      <c r="G101" s="15" t="s">
        <v>149</v>
      </c>
      <c r="H101" s="15"/>
      <c r="I101" s="15" t="s">
        <v>1468</v>
      </c>
      <c r="J101" s="15" t="s">
        <v>1469</v>
      </c>
      <c r="K101" s="16"/>
      <c r="L101" s="14" t="s">
        <v>2809</v>
      </c>
      <c r="M101" s="16"/>
      <c r="N101" s="15" t="s">
        <v>960</v>
      </c>
      <c r="O101" s="14">
        <v>1.8</v>
      </c>
      <c r="P101" s="14" t="s">
        <v>2845</v>
      </c>
      <c r="Q101" s="14" cm="1">
        <f t="array" ref="Q101">_xlfn.IFS(P101="USD",O101,P101="VND",O101/26090,P101="JPY",O101/161)</f>
        <v>1.8</v>
      </c>
      <c r="R101" s="14">
        <v>14</v>
      </c>
      <c r="S101" s="14">
        <v>1</v>
      </c>
      <c r="T101" s="14"/>
      <c r="U101" s="14" t="s">
        <v>2849</v>
      </c>
      <c r="V101" s="14" t="s">
        <v>2857</v>
      </c>
      <c r="W101" s="14" t="s">
        <v>2858</v>
      </c>
      <c r="X101" s="17">
        <v>0</v>
      </c>
      <c r="Y101" s="15" t="s">
        <v>2887</v>
      </c>
      <c r="Z101" s="18" t="s">
        <v>2930</v>
      </c>
      <c r="AA101" s="18"/>
      <c r="AB101" s="16"/>
      <c r="AC101" s="16"/>
      <c r="AD101" s="16"/>
      <c r="AE101" s="16" t="s">
        <v>2952</v>
      </c>
      <c r="AF101" s="16"/>
      <c r="AI101" s="3" t="str">
        <f t="shared" ca="1" si="1"/>
        <v>OK</v>
      </c>
    </row>
    <row r="102" spans="1:35" hidden="1" x14ac:dyDescent="0.3">
      <c r="A102" s="13">
        <v>46032</v>
      </c>
      <c r="B102" s="14" t="s">
        <v>2806</v>
      </c>
      <c r="C102" s="16"/>
      <c r="D102" s="16"/>
      <c r="E102" s="15" t="s">
        <v>856</v>
      </c>
      <c r="F102" s="15" t="s">
        <v>1247</v>
      </c>
      <c r="G102" s="15" t="s">
        <v>150</v>
      </c>
      <c r="H102" s="15"/>
      <c r="I102" s="15" t="s">
        <v>1470</v>
      </c>
      <c r="J102" s="15" t="s">
        <v>1471</v>
      </c>
      <c r="K102" s="16"/>
      <c r="L102" s="14" t="s">
        <v>2815</v>
      </c>
      <c r="M102" s="16"/>
      <c r="N102" s="15" t="s">
        <v>925</v>
      </c>
      <c r="O102" s="14">
        <v>1.08</v>
      </c>
      <c r="P102" s="14" t="s">
        <v>2845</v>
      </c>
      <c r="Q102" s="14" cm="1">
        <f t="array" ref="Q102">_xlfn.IFS(P102="USD",O102,P102="VND",O102/26090,P102="JPY",O102/161)</f>
        <v>1.08</v>
      </c>
      <c r="R102" s="14">
        <v>120</v>
      </c>
      <c r="S102" s="14">
        <v>400</v>
      </c>
      <c r="T102" s="14"/>
      <c r="U102" s="14" t="s">
        <v>2848</v>
      </c>
      <c r="V102" s="14" t="s">
        <v>2857</v>
      </c>
      <c r="W102" s="14" t="s">
        <v>2858</v>
      </c>
      <c r="X102" s="17">
        <v>0</v>
      </c>
      <c r="Y102" s="15" t="s">
        <v>2879</v>
      </c>
      <c r="Z102" s="20">
        <v>46028</v>
      </c>
      <c r="AA102" s="18"/>
      <c r="AB102" s="16"/>
      <c r="AC102" s="16"/>
      <c r="AD102" s="16"/>
      <c r="AE102" s="16" t="s">
        <v>3012</v>
      </c>
      <c r="AF102" s="16"/>
      <c r="AI102" s="3" t="str">
        <f t="shared" ca="1" si="1"/>
        <v>OK</v>
      </c>
    </row>
    <row r="103" spans="1:35" hidden="1" x14ac:dyDescent="0.3">
      <c r="A103" s="13">
        <v>46032</v>
      </c>
      <c r="B103" s="14" t="s">
        <v>2806</v>
      </c>
      <c r="C103" s="16"/>
      <c r="D103" s="16"/>
      <c r="E103" s="15" t="s">
        <v>872</v>
      </c>
      <c r="F103" s="15" t="s">
        <v>1258</v>
      </c>
      <c r="G103" s="15" t="s">
        <v>151</v>
      </c>
      <c r="H103" s="15"/>
      <c r="I103" s="15" t="s">
        <v>1472</v>
      </c>
      <c r="J103" s="15" t="s">
        <v>1473</v>
      </c>
      <c r="K103" s="16"/>
      <c r="L103" s="14" t="s">
        <v>2815</v>
      </c>
      <c r="M103" s="16"/>
      <c r="N103" s="15" t="s">
        <v>961</v>
      </c>
      <c r="O103" s="14">
        <v>6.65</v>
      </c>
      <c r="P103" s="14" t="s">
        <v>2845</v>
      </c>
      <c r="Q103" s="14" cm="1">
        <f t="array" ref="Q103">_xlfn.IFS(P103="USD",O103,P103="VND",O103/26090,P103="JPY",O103/161)</f>
        <v>6.65</v>
      </c>
      <c r="R103" s="14">
        <v>14</v>
      </c>
      <c r="S103" s="14">
        <v>1</v>
      </c>
      <c r="T103" s="14"/>
      <c r="U103" s="14" t="s">
        <v>2849</v>
      </c>
      <c r="V103" s="14" t="s">
        <v>2857</v>
      </c>
      <c r="W103" s="14" t="s">
        <v>2858</v>
      </c>
      <c r="X103" s="17">
        <v>0</v>
      </c>
      <c r="Y103" s="15" t="s">
        <v>2887</v>
      </c>
      <c r="Z103" s="18" t="s">
        <v>2930</v>
      </c>
      <c r="AA103" s="18"/>
      <c r="AB103" s="16"/>
      <c r="AC103" s="16"/>
      <c r="AD103" s="16"/>
      <c r="AE103" s="16" t="s">
        <v>2952</v>
      </c>
      <c r="AF103" s="16"/>
      <c r="AI103" s="3" t="str">
        <f t="shared" ca="1" si="1"/>
        <v>OK</v>
      </c>
    </row>
    <row r="104" spans="1:35" hidden="1" x14ac:dyDescent="0.3">
      <c r="A104" s="13">
        <v>46032</v>
      </c>
      <c r="B104" s="14" t="s">
        <v>2806</v>
      </c>
      <c r="C104" s="16"/>
      <c r="D104" s="16"/>
      <c r="E104" s="15" t="s">
        <v>872</v>
      </c>
      <c r="F104" s="15" t="s">
        <v>1258</v>
      </c>
      <c r="G104" s="15" t="s">
        <v>152</v>
      </c>
      <c r="H104" s="15"/>
      <c r="I104" s="15" t="s">
        <v>1474</v>
      </c>
      <c r="J104" s="15" t="s">
        <v>1475</v>
      </c>
      <c r="K104" s="16"/>
      <c r="L104" s="14" t="s">
        <v>2815</v>
      </c>
      <c r="M104" s="16"/>
      <c r="N104" s="15" t="s">
        <v>961</v>
      </c>
      <c r="O104" s="14">
        <v>6.65</v>
      </c>
      <c r="P104" s="14" t="s">
        <v>2845</v>
      </c>
      <c r="Q104" s="14" cm="1">
        <f t="array" ref="Q104">_xlfn.IFS(P104="USD",O104,P104="VND",O104/26090,P104="JPY",O104/161)</f>
        <v>6.65</v>
      </c>
      <c r="R104" s="14">
        <v>14</v>
      </c>
      <c r="S104" s="14">
        <v>1</v>
      </c>
      <c r="T104" s="14"/>
      <c r="U104" s="14" t="s">
        <v>2849</v>
      </c>
      <c r="V104" s="14" t="s">
        <v>2857</v>
      </c>
      <c r="W104" s="14" t="s">
        <v>2858</v>
      </c>
      <c r="X104" s="17">
        <v>0</v>
      </c>
      <c r="Y104" s="15" t="s">
        <v>2887</v>
      </c>
      <c r="Z104" s="18" t="s">
        <v>2930</v>
      </c>
      <c r="AA104" s="18"/>
      <c r="AB104" s="16"/>
      <c r="AC104" s="16"/>
      <c r="AD104" s="16"/>
      <c r="AE104" s="16" t="s">
        <v>2952</v>
      </c>
      <c r="AF104" s="16"/>
      <c r="AI104" s="3" t="str">
        <f t="shared" ca="1" si="1"/>
        <v>OK</v>
      </c>
    </row>
    <row r="105" spans="1:35" hidden="1" x14ac:dyDescent="0.3">
      <c r="A105" s="13">
        <v>46032</v>
      </c>
      <c r="B105" s="14" t="s">
        <v>2806</v>
      </c>
      <c r="C105" s="16"/>
      <c r="D105" s="16"/>
      <c r="E105" s="15" t="s">
        <v>872</v>
      </c>
      <c r="F105" s="15" t="s">
        <v>1258</v>
      </c>
      <c r="G105" s="15" t="s">
        <v>153</v>
      </c>
      <c r="H105" s="15"/>
      <c r="I105" s="15" t="s">
        <v>1476</v>
      </c>
      <c r="J105" s="15" t="s">
        <v>1477</v>
      </c>
      <c r="K105" s="16"/>
      <c r="L105" s="14" t="s">
        <v>2815</v>
      </c>
      <c r="M105" s="16"/>
      <c r="N105" s="15" t="s">
        <v>961</v>
      </c>
      <c r="O105" s="14">
        <v>6.65</v>
      </c>
      <c r="P105" s="14" t="s">
        <v>2845</v>
      </c>
      <c r="Q105" s="14" cm="1">
        <f t="array" ref="Q105">_xlfn.IFS(P105="USD",O105,P105="VND",O105/26090,P105="JPY",O105/161)</f>
        <v>6.65</v>
      </c>
      <c r="R105" s="14">
        <v>14</v>
      </c>
      <c r="S105" s="14">
        <v>1</v>
      </c>
      <c r="T105" s="14"/>
      <c r="U105" s="14" t="s">
        <v>2849</v>
      </c>
      <c r="V105" s="14" t="s">
        <v>2857</v>
      </c>
      <c r="W105" s="14" t="s">
        <v>2858</v>
      </c>
      <c r="X105" s="17">
        <v>0</v>
      </c>
      <c r="Y105" s="15" t="s">
        <v>2887</v>
      </c>
      <c r="Z105" s="18" t="s">
        <v>2930</v>
      </c>
      <c r="AA105" s="18"/>
      <c r="AB105" s="16"/>
      <c r="AC105" s="16"/>
      <c r="AD105" s="16"/>
      <c r="AE105" s="16" t="s">
        <v>2952</v>
      </c>
      <c r="AF105" s="16"/>
      <c r="AI105" s="3" t="str">
        <f t="shared" ca="1" si="1"/>
        <v>OK</v>
      </c>
    </row>
    <row r="106" spans="1:35" hidden="1" x14ac:dyDescent="0.3">
      <c r="A106" s="13">
        <v>46032</v>
      </c>
      <c r="B106" s="14" t="s">
        <v>2806</v>
      </c>
      <c r="C106" s="16"/>
      <c r="D106" s="16"/>
      <c r="E106" s="15" t="s">
        <v>872</v>
      </c>
      <c r="F106" s="15" t="s">
        <v>1258</v>
      </c>
      <c r="G106" s="15" t="s">
        <v>154</v>
      </c>
      <c r="H106" s="15"/>
      <c r="I106" s="15" t="s">
        <v>1478</v>
      </c>
      <c r="J106" s="15" t="s">
        <v>1479</v>
      </c>
      <c r="K106" s="16"/>
      <c r="L106" s="14" t="s">
        <v>2815</v>
      </c>
      <c r="M106" s="16"/>
      <c r="N106" s="15" t="s">
        <v>961</v>
      </c>
      <c r="O106" s="14">
        <v>6.12</v>
      </c>
      <c r="P106" s="14" t="s">
        <v>2845</v>
      </c>
      <c r="Q106" s="14" cm="1">
        <f t="array" ref="Q106">_xlfn.IFS(P106="USD",O106,P106="VND",O106/26090,P106="JPY",O106/161)</f>
        <v>6.12</v>
      </c>
      <c r="R106" s="14">
        <v>14</v>
      </c>
      <c r="S106" s="14">
        <v>1</v>
      </c>
      <c r="T106" s="14"/>
      <c r="U106" s="14" t="s">
        <v>2849</v>
      </c>
      <c r="V106" s="14" t="s">
        <v>2857</v>
      </c>
      <c r="W106" s="14" t="s">
        <v>2858</v>
      </c>
      <c r="X106" s="17">
        <v>0</v>
      </c>
      <c r="Y106" s="15" t="s">
        <v>2887</v>
      </c>
      <c r="Z106" s="18" t="s">
        <v>2930</v>
      </c>
      <c r="AA106" s="18"/>
      <c r="AB106" s="16"/>
      <c r="AC106" s="16"/>
      <c r="AD106" s="16"/>
      <c r="AE106" s="16" t="s">
        <v>2952</v>
      </c>
      <c r="AF106" s="16"/>
      <c r="AI106" s="3" t="str">
        <f t="shared" ca="1" si="1"/>
        <v>OK</v>
      </c>
    </row>
    <row r="107" spans="1:35" hidden="1" x14ac:dyDescent="0.3">
      <c r="A107" s="13">
        <v>46032</v>
      </c>
      <c r="B107" s="14" t="s">
        <v>2806</v>
      </c>
      <c r="C107" s="16"/>
      <c r="D107" s="16"/>
      <c r="E107" s="15" t="s">
        <v>872</v>
      </c>
      <c r="F107" s="15" t="s">
        <v>1258</v>
      </c>
      <c r="G107" s="15" t="s">
        <v>155</v>
      </c>
      <c r="H107" s="15"/>
      <c r="I107" s="15" t="s">
        <v>1480</v>
      </c>
      <c r="J107" s="15" t="s">
        <v>1481</v>
      </c>
      <c r="K107" s="16"/>
      <c r="L107" s="14" t="s">
        <v>2815</v>
      </c>
      <c r="M107" s="16"/>
      <c r="N107" s="15" t="s">
        <v>961</v>
      </c>
      <c r="O107" s="14">
        <v>6.65</v>
      </c>
      <c r="P107" s="14" t="s">
        <v>2845</v>
      </c>
      <c r="Q107" s="14" cm="1">
        <f t="array" ref="Q107">_xlfn.IFS(P107="USD",O107,P107="VND",O107/26090,P107="JPY",O107/161)</f>
        <v>6.65</v>
      </c>
      <c r="R107" s="14">
        <v>14</v>
      </c>
      <c r="S107" s="14">
        <v>1</v>
      </c>
      <c r="T107" s="14"/>
      <c r="U107" s="14" t="s">
        <v>2849</v>
      </c>
      <c r="V107" s="14" t="s">
        <v>2857</v>
      </c>
      <c r="W107" s="14" t="s">
        <v>2858</v>
      </c>
      <c r="X107" s="17">
        <v>0</v>
      </c>
      <c r="Y107" s="15" t="s">
        <v>2887</v>
      </c>
      <c r="Z107" s="18" t="s">
        <v>2930</v>
      </c>
      <c r="AA107" s="18"/>
      <c r="AB107" s="16"/>
      <c r="AC107" s="16"/>
      <c r="AD107" s="16"/>
      <c r="AE107" s="16" t="s">
        <v>2952</v>
      </c>
      <c r="AF107" s="16"/>
      <c r="AI107" s="3" t="str">
        <f t="shared" ca="1" si="1"/>
        <v>OK</v>
      </c>
    </row>
    <row r="108" spans="1:35" hidden="1" x14ac:dyDescent="0.3">
      <c r="A108" s="13">
        <v>46032</v>
      </c>
      <c r="B108" s="14" t="s">
        <v>2806</v>
      </c>
      <c r="C108" s="16"/>
      <c r="D108" s="16"/>
      <c r="E108" s="15" t="s">
        <v>872</v>
      </c>
      <c r="F108" s="15" t="s">
        <v>1258</v>
      </c>
      <c r="G108" s="15" t="s">
        <v>156</v>
      </c>
      <c r="H108" s="15"/>
      <c r="I108" s="15" t="s">
        <v>1482</v>
      </c>
      <c r="J108" s="15" t="s">
        <v>1483</v>
      </c>
      <c r="K108" s="16"/>
      <c r="L108" s="14" t="s">
        <v>2815</v>
      </c>
      <c r="M108" s="16"/>
      <c r="N108" s="15" t="s">
        <v>961</v>
      </c>
      <c r="O108" s="14">
        <v>5.2</v>
      </c>
      <c r="P108" s="14" t="s">
        <v>2845</v>
      </c>
      <c r="Q108" s="14" cm="1">
        <f t="array" ref="Q108">_xlfn.IFS(P108="USD",O108,P108="VND",O108/26090,P108="JPY",O108/161)</f>
        <v>5.2</v>
      </c>
      <c r="R108" s="14">
        <v>14</v>
      </c>
      <c r="S108" s="14">
        <v>1</v>
      </c>
      <c r="T108" s="14"/>
      <c r="U108" s="14" t="s">
        <v>2849</v>
      </c>
      <c r="V108" s="14" t="s">
        <v>2857</v>
      </c>
      <c r="W108" s="14" t="s">
        <v>2858</v>
      </c>
      <c r="X108" s="17">
        <v>0</v>
      </c>
      <c r="Y108" s="15" t="s">
        <v>2887</v>
      </c>
      <c r="Z108" s="18" t="s">
        <v>2930</v>
      </c>
      <c r="AA108" s="18"/>
      <c r="AB108" s="16"/>
      <c r="AC108" s="16"/>
      <c r="AD108" s="16"/>
      <c r="AE108" s="16" t="s">
        <v>2952</v>
      </c>
      <c r="AF108" s="16"/>
      <c r="AI108" s="3" t="str">
        <f t="shared" ca="1" si="1"/>
        <v>OK</v>
      </c>
    </row>
    <row r="109" spans="1:35" hidden="1" x14ac:dyDescent="0.3">
      <c r="A109" s="13">
        <v>46032</v>
      </c>
      <c r="B109" s="14" t="s">
        <v>2806</v>
      </c>
      <c r="C109" s="16"/>
      <c r="D109" s="16"/>
      <c r="E109" s="15" t="s">
        <v>872</v>
      </c>
      <c r="F109" s="15" t="s">
        <v>1258</v>
      </c>
      <c r="G109" s="15" t="s">
        <v>157</v>
      </c>
      <c r="H109" s="15"/>
      <c r="I109" s="15" t="s">
        <v>1484</v>
      </c>
      <c r="J109" s="15" t="s">
        <v>1485</v>
      </c>
      <c r="K109" s="16"/>
      <c r="L109" s="14" t="s">
        <v>2815</v>
      </c>
      <c r="M109" s="16"/>
      <c r="N109" s="15" t="s">
        <v>961</v>
      </c>
      <c r="O109" s="14">
        <v>3.6</v>
      </c>
      <c r="P109" s="14" t="s">
        <v>2845</v>
      </c>
      <c r="Q109" s="14" cm="1">
        <f t="array" ref="Q109">_xlfn.IFS(P109="USD",O109,P109="VND",O109/26090,P109="JPY",O109/161)</f>
        <v>3.6</v>
      </c>
      <c r="R109" s="14">
        <v>14</v>
      </c>
      <c r="S109" s="14">
        <v>1</v>
      </c>
      <c r="T109" s="14"/>
      <c r="U109" s="14" t="s">
        <v>2849</v>
      </c>
      <c r="V109" s="14" t="s">
        <v>2857</v>
      </c>
      <c r="W109" s="14" t="s">
        <v>2858</v>
      </c>
      <c r="X109" s="17">
        <v>0</v>
      </c>
      <c r="Y109" s="15" t="s">
        <v>2887</v>
      </c>
      <c r="Z109" s="18" t="s">
        <v>2930</v>
      </c>
      <c r="AA109" s="18"/>
      <c r="AB109" s="16"/>
      <c r="AC109" s="16"/>
      <c r="AD109" s="16"/>
      <c r="AE109" s="16" t="s">
        <v>2952</v>
      </c>
      <c r="AF109" s="16"/>
      <c r="AI109" s="3" t="str">
        <f t="shared" ca="1" si="1"/>
        <v>OK</v>
      </c>
    </row>
    <row r="110" spans="1:35" x14ac:dyDescent="0.3">
      <c r="A110" s="13">
        <v>46032</v>
      </c>
      <c r="B110" s="14" t="s">
        <v>2806</v>
      </c>
      <c r="C110" s="16"/>
      <c r="D110" s="16"/>
      <c r="E110" s="15" t="s">
        <v>3013</v>
      </c>
      <c r="F110" s="15" t="s">
        <v>3014</v>
      </c>
      <c r="G110" s="15" t="s">
        <v>158</v>
      </c>
      <c r="H110" s="15"/>
      <c r="I110" s="15" t="s">
        <v>1486</v>
      </c>
      <c r="J110" s="15" t="s">
        <v>1487</v>
      </c>
      <c r="K110" s="16"/>
      <c r="L110" s="14" t="s">
        <v>2813</v>
      </c>
      <c r="M110" s="16"/>
      <c r="N110" s="15" t="s">
        <v>962</v>
      </c>
      <c r="O110" s="14">
        <v>54000</v>
      </c>
      <c r="P110" s="14" t="s">
        <v>2847</v>
      </c>
      <c r="Q110" s="14" cm="1">
        <f t="array" ref="Q110">_xlfn.IFS(P110="USD",O110,P110="VND",O110/26090,P110="JPY",O110/161)</f>
        <v>335.40372670807454</v>
      </c>
      <c r="R110" s="14">
        <v>90</v>
      </c>
      <c r="S110" s="14">
        <v>50</v>
      </c>
      <c r="T110" s="14"/>
      <c r="U110" s="14" t="s">
        <v>2854</v>
      </c>
      <c r="V110" s="14" t="s">
        <v>2865</v>
      </c>
      <c r="W110" s="14" t="s">
        <v>2856</v>
      </c>
      <c r="X110" s="17">
        <v>0</v>
      </c>
      <c r="Y110" s="15" t="s">
        <v>2875</v>
      </c>
      <c r="Z110" s="18" t="s">
        <v>2938</v>
      </c>
      <c r="AA110" s="22" t="s">
        <v>3016</v>
      </c>
      <c r="AB110" s="16"/>
      <c r="AC110" s="16"/>
      <c r="AD110" s="16"/>
      <c r="AE110" s="16" t="s">
        <v>3015</v>
      </c>
      <c r="AF110" s="16"/>
      <c r="AI110" s="3" t="str">
        <f t="shared" ca="1" si="1"/>
        <v>OK</v>
      </c>
    </row>
    <row r="111" spans="1:35" hidden="1" x14ac:dyDescent="0.3">
      <c r="A111" s="13">
        <v>46032</v>
      </c>
      <c r="B111" s="14" t="s">
        <v>2806</v>
      </c>
      <c r="C111" s="16"/>
      <c r="D111" s="16"/>
      <c r="E111" s="15" t="s">
        <v>855</v>
      </c>
      <c r="F111" s="15" t="s">
        <v>907</v>
      </c>
      <c r="G111" s="15" t="s">
        <v>159</v>
      </c>
      <c r="H111" s="15"/>
      <c r="I111" s="15" t="s">
        <v>1488</v>
      </c>
      <c r="J111" s="15" t="s">
        <v>1489</v>
      </c>
      <c r="K111" s="16"/>
      <c r="L111" s="14" t="s">
        <v>2815</v>
      </c>
      <c r="M111" s="16"/>
      <c r="N111" s="15" t="s">
        <v>924</v>
      </c>
      <c r="O111" s="14">
        <v>8.0399999999999991</v>
      </c>
      <c r="P111" s="14" t="s">
        <v>2845</v>
      </c>
      <c r="Q111" s="14" cm="1">
        <f t="array" ref="Q111">_xlfn.IFS(P111="USD",O111,P111="VND",O111/26090,P111="JPY",O111/161)</f>
        <v>8.0399999999999991</v>
      </c>
      <c r="R111" s="14">
        <v>21</v>
      </c>
      <c r="S111" s="14">
        <v>20</v>
      </c>
      <c r="T111" s="14"/>
      <c r="U111" s="14" t="s">
        <v>2849</v>
      </c>
      <c r="V111" s="14" t="s">
        <v>2857</v>
      </c>
      <c r="W111" s="14" t="s">
        <v>2858</v>
      </c>
      <c r="X111" s="17">
        <v>0</v>
      </c>
      <c r="Y111" s="15" t="s">
        <v>2875</v>
      </c>
      <c r="Z111" s="20">
        <v>46029</v>
      </c>
      <c r="AA111" s="18"/>
      <c r="AB111" s="16"/>
      <c r="AC111" s="16"/>
      <c r="AD111" s="16"/>
      <c r="AE111" s="16" t="s">
        <v>3025</v>
      </c>
      <c r="AF111" s="16"/>
      <c r="AI111" s="3" t="str">
        <f t="shared" ca="1" si="1"/>
        <v>OK</v>
      </c>
    </row>
    <row r="112" spans="1:35" hidden="1" x14ac:dyDescent="0.3">
      <c r="A112" s="13">
        <v>46032</v>
      </c>
      <c r="B112" s="14" t="s">
        <v>2806</v>
      </c>
      <c r="C112" s="16"/>
      <c r="D112" s="16"/>
      <c r="E112" s="15" t="s">
        <v>853</v>
      </c>
      <c r="F112" s="15" t="s">
        <v>903</v>
      </c>
      <c r="G112" s="15" t="s">
        <v>160</v>
      </c>
      <c r="H112" s="15"/>
      <c r="I112" s="15" t="s">
        <v>1490</v>
      </c>
      <c r="J112" s="15" t="s">
        <v>1491</v>
      </c>
      <c r="K112" s="16"/>
      <c r="L112" s="14" t="s">
        <v>2813</v>
      </c>
      <c r="M112" s="16"/>
      <c r="N112" s="15" t="s">
        <v>922</v>
      </c>
      <c r="O112" s="14">
        <v>65.3</v>
      </c>
      <c r="P112" s="14" t="s">
        <v>2845</v>
      </c>
      <c r="Q112" s="14" cm="1">
        <f t="array" ref="Q112">_xlfn.IFS(P112="USD",O112,P112="VND",O112/26090,P112="JPY",O112/161)</f>
        <v>65.3</v>
      </c>
      <c r="R112" s="14">
        <v>114</v>
      </c>
      <c r="S112" s="14">
        <v>400</v>
      </c>
      <c r="T112" s="14"/>
      <c r="U112" s="14" t="s">
        <v>2850</v>
      </c>
      <c r="V112" s="14" t="s">
        <v>2861</v>
      </c>
      <c r="W112" s="14" t="s">
        <v>2856</v>
      </c>
      <c r="X112" s="17">
        <v>0</v>
      </c>
      <c r="Y112" s="15" t="s">
        <v>2878</v>
      </c>
      <c r="Z112" s="20">
        <v>46031</v>
      </c>
      <c r="AA112" s="18"/>
      <c r="AB112" s="16"/>
      <c r="AC112" s="16"/>
      <c r="AD112" s="16"/>
      <c r="AE112" s="16" t="s">
        <v>2984</v>
      </c>
      <c r="AF112" s="16"/>
      <c r="AI112" s="3" t="str">
        <f t="shared" ca="1" si="1"/>
        <v>OK</v>
      </c>
    </row>
    <row r="113" spans="1:35" hidden="1" x14ac:dyDescent="0.3">
      <c r="A113" s="13">
        <v>46032</v>
      </c>
      <c r="B113" s="14" t="s">
        <v>2806</v>
      </c>
      <c r="C113" s="16"/>
      <c r="D113" s="16"/>
      <c r="E113" s="15" t="s">
        <v>863</v>
      </c>
      <c r="F113" s="15" t="s">
        <v>1252</v>
      </c>
      <c r="G113" s="15" t="s">
        <v>161</v>
      </c>
      <c r="H113" s="15"/>
      <c r="I113" s="15" t="s">
        <v>1492</v>
      </c>
      <c r="J113" s="15" t="s">
        <v>1493</v>
      </c>
      <c r="K113" s="16"/>
      <c r="L113" s="14" t="s">
        <v>2815</v>
      </c>
      <c r="M113" s="16"/>
      <c r="N113" s="15" t="s">
        <v>938</v>
      </c>
      <c r="O113" s="14">
        <v>18.96</v>
      </c>
      <c r="P113" s="14" t="s">
        <v>2845</v>
      </c>
      <c r="Q113" s="14" cm="1">
        <f t="array" ref="Q113">_xlfn.IFS(P113="USD",O113,P113="VND",O113/26090,P113="JPY",O113/161)</f>
        <v>18.96</v>
      </c>
      <c r="R113" s="14">
        <v>30</v>
      </c>
      <c r="S113" s="14">
        <v>50</v>
      </c>
      <c r="T113" s="14"/>
      <c r="U113" s="14" t="s">
        <v>2848</v>
      </c>
      <c r="V113" s="14" t="s">
        <v>2857</v>
      </c>
      <c r="W113" s="14" t="s">
        <v>2858</v>
      </c>
      <c r="X113" s="17">
        <v>0</v>
      </c>
      <c r="Y113" s="15" t="s">
        <v>2881</v>
      </c>
      <c r="Z113" s="20">
        <v>45937</v>
      </c>
      <c r="AA113" s="18"/>
      <c r="AB113" s="16"/>
      <c r="AC113" s="16"/>
      <c r="AD113" s="16"/>
      <c r="AE113" s="16" t="s">
        <v>3005</v>
      </c>
      <c r="AF113" s="16"/>
      <c r="AI113" s="3" t="str">
        <f t="shared" ca="1" si="1"/>
        <v>OK</v>
      </c>
    </row>
    <row r="114" spans="1:35" x14ac:dyDescent="0.3">
      <c r="A114" s="13">
        <v>46032</v>
      </c>
      <c r="B114" s="14" t="s">
        <v>2806</v>
      </c>
      <c r="C114" s="16"/>
      <c r="D114" s="16"/>
      <c r="E114" s="15" t="s">
        <v>862</v>
      </c>
      <c r="F114" s="15" t="s">
        <v>1251</v>
      </c>
      <c r="G114" s="15" t="s">
        <v>162</v>
      </c>
      <c r="H114" s="15"/>
      <c r="I114" s="15" t="s">
        <v>1494</v>
      </c>
      <c r="J114" s="15" t="s">
        <v>1495</v>
      </c>
      <c r="K114" s="16"/>
      <c r="L114" s="14" t="s">
        <v>2815</v>
      </c>
      <c r="M114" s="16"/>
      <c r="N114" s="15" t="s">
        <v>933</v>
      </c>
      <c r="O114" s="14">
        <v>376000</v>
      </c>
      <c r="P114" s="14" t="s">
        <v>2846</v>
      </c>
      <c r="Q114" s="14" cm="1">
        <f t="array" ref="Q114">_xlfn.IFS(P114="USD",O114,P114="VND",O114/26090,P114="JPY",O114/161)</f>
        <v>14.411651973936374</v>
      </c>
      <c r="R114" s="14">
        <v>20</v>
      </c>
      <c r="S114" s="14">
        <v>1000</v>
      </c>
      <c r="T114" s="14"/>
      <c r="U114" s="14" t="s">
        <v>2848</v>
      </c>
      <c r="V114" s="14" t="s">
        <v>2857</v>
      </c>
      <c r="W114" s="14" t="s">
        <v>2858</v>
      </c>
      <c r="X114" s="17">
        <v>0</v>
      </c>
      <c r="Y114" s="15" t="s">
        <v>2875</v>
      </c>
      <c r="Z114" s="18" t="s">
        <v>2929</v>
      </c>
      <c r="AA114" s="22" t="s">
        <v>2931</v>
      </c>
      <c r="AB114" s="16"/>
      <c r="AC114" s="16"/>
      <c r="AD114" s="16"/>
      <c r="AE114" s="16" t="s">
        <v>2932</v>
      </c>
      <c r="AF114" s="16"/>
      <c r="AI114" s="3" t="str">
        <f t="shared" ca="1" si="1"/>
        <v>OK</v>
      </c>
    </row>
    <row r="115" spans="1:35" hidden="1" x14ac:dyDescent="0.3">
      <c r="A115" s="13">
        <v>46032</v>
      </c>
      <c r="B115" s="14" t="s">
        <v>2806</v>
      </c>
      <c r="C115" s="16"/>
      <c r="D115" s="16"/>
      <c r="E115" s="15" t="s">
        <v>857</v>
      </c>
      <c r="F115" s="15" t="s">
        <v>912</v>
      </c>
      <c r="G115" s="15" t="s">
        <v>163</v>
      </c>
      <c r="H115" s="15"/>
      <c r="I115" s="15" t="s">
        <v>1496</v>
      </c>
      <c r="J115" s="15" t="s">
        <v>1497</v>
      </c>
      <c r="K115" s="16"/>
      <c r="L115" s="14" t="s">
        <v>2807</v>
      </c>
      <c r="M115" s="16"/>
      <c r="N115" s="15" t="s">
        <v>926</v>
      </c>
      <c r="O115" s="14">
        <v>3.47</v>
      </c>
      <c r="P115" s="14" t="s">
        <v>2845</v>
      </c>
      <c r="Q115" s="14" cm="1">
        <f t="array" ref="Q115">_xlfn.IFS(P115="USD",O115,P115="VND",O115/26090,P115="JPY",O115/161)</f>
        <v>3.47</v>
      </c>
      <c r="R115" s="14">
        <v>70</v>
      </c>
      <c r="S115" s="14">
        <v>1</v>
      </c>
      <c r="T115" s="14"/>
      <c r="U115" s="14" t="s">
        <v>2848</v>
      </c>
      <c r="V115" s="14" t="s">
        <v>2857</v>
      </c>
      <c r="W115" s="14" t="s">
        <v>2858</v>
      </c>
      <c r="X115" s="17">
        <v>0</v>
      </c>
      <c r="Y115" s="15" t="s">
        <v>2875</v>
      </c>
      <c r="Z115" s="20">
        <v>46243</v>
      </c>
      <c r="AA115" s="20">
        <v>46608</v>
      </c>
      <c r="AB115" s="16"/>
      <c r="AC115" s="16"/>
      <c r="AD115" s="16"/>
      <c r="AE115" s="16" t="s">
        <v>2957</v>
      </c>
      <c r="AF115" s="16"/>
      <c r="AI115" s="3" t="str">
        <f t="shared" ca="1" si="1"/>
        <v>OK</v>
      </c>
    </row>
    <row r="116" spans="1:35" hidden="1" x14ac:dyDescent="0.3">
      <c r="A116" s="13">
        <v>46032</v>
      </c>
      <c r="B116" s="14" t="s">
        <v>2806</v>
      </c>
      <c r="C116" s="16"/>
      <c r="D116" s="16"/>
      <c r="E116" s="15" t="s">
        <v>872</v>
      </c>
      <c r="F116" s="15" t="s">
        <v>1258</v>
      </c>
      <c r="G116" s="15" t="s">
        <v>164</v>
      </c>
      <c r="H116" s="15"/>
      <c r="I116" s="15" t="s">
        <v>1498</v>
      </c>
      <c r="J116" s="15" t="s">
        <v>1499</v>
      </c>
      <c r="K116" s="16"/>
      <c r="L116" s="14" t="s">
        <v>2815</v>
      </c>
      <c r="M116" s="16"/>
      <c r="N116" s="15" t="s">
        <v>963</v>
      </c>
      <c r="O116" s="14">
        <v>17.3</v>
      </c>
      <c r="P116" s="14" t="s">
        <v>2845</v>
      </c>
      <c r="Q116" s="14" cm="1">
        <f t="array" ref="Q116">_xlfn.IFS(P116="USD",O116,P116="VND",O116/26090,P116="JPY",O116/161)</f>
        <v>17.3</v>
      </c>
      <c r="R116" s="14">
        <v>14</v>
      </c>
      <c r="S116" s="14">
        <v>1</v>
      </c>
      <c r="T116" s="14"/>
      <c r="U116" s="14" t="s">
        <v>2849</v>
      </c>
      <c r="V116" s="14" t="s">
        <v>2857</v>
      </c>
      <c r="W116" s="14" t="s">
        <v>2858</v>
      </c>
      <c r="X116" s="17">
        <v>0</v>
      </c>
      <c r="Y116" s="15" t="s">
        <v>2887</v>
      </c>
      <c r="Z116" s="18" t="s">
        <v>2930</v>
      </c>
      <c r="AA116" s="18"/>
      <c r="AB116" s="16"/>
      <c r="AC116" s="16"/>
      <c r="AD116" s="16"/>
      <c r="AE116" s="16" t="s">
        <v>2952</v>
      </c>
      <c r="AF116" s="16"/>
      <c r="AI116" s="3" t="str">
        <f t="shared" ca="1" si="1"/>
        <v>OK</v>
      </c>
    </row>
    <row r="117" spans="1:35" hidden="1" x14ac:dyDescent="0.3">
      <c r="A117" s="13">
        <v>46032</v>
      </c>
      <c r="B117" s="14" t="s">
        <v>2806</v>
      </c>
      <c r="C117" s="16"/>
      <c r="D117" s="16"/>
      <c r="E117" s="15" t="s">
        <v>855</v>
      </c>
      <c r="F117" s="15" t="s">
        <v>907</v>
      </c>
      <c r="G117" s="15" t="s">
        <v>165</v>
      </c>
      <c r="H117" s="15"/>
      <c r="I117" s="15" t="s">
        <v>1500</v>
      </c>
      <c r="J117" s="15" t="s">
        <v>1501</v>
      </c>
      <c r="K117" s="16"/>
      <c r="L117" s="14" t="s">
        <v>2815</v>
      </c>
      <c r="M117" s="16"/>
      <c r="N117" s="15" t="s">
        <v>924</v>
      </c>
      <c r="O117" s="14">
        <v>3.8010000000000002</v>
      </c>
      <c r="P117" s="14" t="s">
        <v>2845</v>
      </c>
      <c r="Q117" s="14" cm="1">
        <f t="array" ref="Q117">_xlfn.IFS(P117="USD",O117,P117="VND",O117/26090,P117="JPY",O117/161)</f>
        <v>3.8010000000000002</v>
      </c>
      <c r="R117" s="14">
        <v>21</v>
      </c>
      <c r="S117" s="14">
        <v>20</v>
      </c>
      <c r="T117" s="14"/>
      <c r="U117" s="14" t="s">
        <v>2849</v>
      </c>
      <c r="V117" s="14" t="s">
        <v>2857</v>
      </c>
      <c r="W117" s="14" t="s">
        <v>2858</v>
      </c>
      <c r="X117" s="17">
        <v>0</v>
      </c>
      <c r="Y117" s="15" t="s">
        <v>2875</v>
      </c>
      <c r="Z117" s="20">
        <v>46029</v>
      </c>
      <c r="AA117" s="18"/>
      <c r="AB117" s="16"/>
      <c r="AC117" s="16"/>
      <c r="AD117" s="16"/>
      <c r="AE117" s="16" t="s">
        <v>3025</v>
      </c>
      <c r="AF117" s="16"/>
      <c r="AI117" s="3" t="str">
        <f t="shared" ca="1" si="1"/>
        <v>OK</v>
      </c>
    </row>
    <row r="118" spans="1:35" hidden="1" x14ac:dyDescent="0.3">
      <c r="A118" s="13">
        <v>46032</v>
      </c>
      <c r="B118" s="14" t="s">
        <v>2806</v>
      </c>
      <c r="C118" s="16"/>
      <c r="D118" s="16"/>
      <c r="E118" s="15" t="s">
        <v>857</v>
      </c>
      <c r="F118" s="15" t="s">
        <v>912</v>
      </c>
      <c r="G118" s="15" t="s">
        <v>166</v>
      </c>
      <c r="H118" s="15"/>
      <c r="I118" s="15" t="s">
        <v>1502</v>
      </c>
      <c r="J118" s="15" t="s">
        <v>1503</v>
      </c>
      <c r="K118" s="16"/>
      <c r="L118" s="14" t="s">
        <v>2815</v>
      </c>
      <c r="M118" s="16"/>
      <c r="N118" s="15" t="s">
        <v>954</v>
      </c>
      <c r="O118" s="14">
        <v>8.1</v>
      </c>
      <c r="P118" s="14" t="s">
        <v>2845</v>
      </c>
      <c r="Q118" s="14" cm="1">
        <f t="array" ref="Q118">_xlfn.IFS(P118="USD",O118,P118="VND",O118/26090,P118="JPY",O118/161)</f>
        <v>8.1</v>
      </c>
      <c r="R118" s="14">
        <v>35</v>
      </c>
      <c r="S118" s="14">
        <v>1</v>
      </c>
      <c r="T118" s="14"/>
      <c r="U118" s="14" t="s">
        <v>2848</v>
      </c>
      <c r="V118" s="14" t="s">
        <v>2857</v>
      </c>
      <c r="W118" s="14" t="s">
        <v>2858</v>
      </c>
      <c r="X118" s="17">
        <v>0</v>
      </c>
      <c r="Y118" s="15" t="s">
        <v>2875</v>
      </c>
      <c r="Z118" s="20">
        <v>46243</v>
      </c>
      <c r="AA118" s="20">
        <v>46608</v>
      </c>
      <c r="AB118" s="16"/>
      <c r="AC118" s="16"/>
      <c r="AD118" s="16"/>
      <c r="AE118" s="16" t="s">
        <v>2957</v>
      </c>
      <c r="AF118" s="16"/>
      <c r="AI118" s="3" t="str">
        <f t="shared" ca="1" si="1"/>
        <v>OK</v>
      </c>
    </row>
    <row r="119" spans="1:35" hidden="1" x14ac:dyDescent="0.3">
      <c r="A119" s="13">
        <v>46032</v>
      </c>
      <c r="B119" s="14" t="s">
        <v>2806</v>
      </c>
      <c r="C119" s="16"/>
      <c r="D119" s="16"/>
      <c r="E119" s="15" t="s">
        <v>857</v>
      </c>
      <c r="F119" s="15" t="s">
        <v>912</v>
      </c>
      <c r="G119" s="15" t="s">
        <v>167</v>
      </c>
      <c r="H119" s="15"/>
      <c r="I119" s="15" t="s">
        <v>1504</v>
      </c>
      <c r="J119" s="15" t="s">
        <v>1505</v>
      </c>
      <c r="K119" s="16"/>
      <c r="L119" s="14" t="s">
        <v>2815</v>
      </c>
      <c r="M119" s="16"/>
      <c r="N119" s="15" t="s">
        <v>954</v>
      </c>
      <c r="O119" s="14">
        <v>7.06</v>
      </c>
      <c r="P119" s="14" t="s">
        <v>2845</v>
      </c>
      <c r="Q119" s="14" cm="1">
        <f t="array" ref="Q119">_xlfn.IFS(P119="USD",O119,P119="VND",O119/26090,P119="JPY",O119/161)</f>
        <v>7.06</v>
      </c>
      <c r="R119" s="14">
        <v>35</v>
      </c>
      <c r="S119" s="14">
        <v>1</v>
      </c>
      <c r="T119" s="14"/>
      <c r="U119" s="14" t="s">
        <v>2848</v>
      </c>
      <c r="V119" s="14" t="s">
        <v>2857</v>
      </c>
      <c r="W119" s="14" t="s">
        <v>2858</v>
      </c>
      <c r="X119" s="17">
        <v>0</v>
      </c>
      <c r="Y119" s="15" t="s">
        <v>2875</v>
      </c>
      <c r="Z119" s="20">
        <v>46243</v>
      </c>
      <c r="AA119" s="20">
        <v>46608</v>
      </c>
      <c r="AB119" s="16"/>
      <c r="AC119" s="16"/>
      <c r="AD119" s="16"/>
      <c r="AE119" s="16" t="s">
        <v>2957</v>
      </c>
      <c r="AF119" s="16"/>
      <c r="AI119" s="3" t="str">
        <f t="shared" ca="1" si="1"/>
        <v>OK</v>
      </c>
    </row>
    <row r="120" spans="1:35" hidden="1" x14ac:dyDescent="0.3">
      <c r="A120" s="13">
        <v>46032</v>
      </c>
      <c r="B120" s="14" t="s">
        <v>2806</v>
      </c>
      <c r="C120" s="16"/>
      <c r="D120" s="16"/>
      <c r="E120" s="15" t="s">
        <v>857</v>
      </c>
      <c r="F120" s="15" t="s">
        <v>912</v>
      </c>
      <c r="G120" s="15" t="s">
        <v>168</v>
      </c>
      <c r="H120" s="15"/>
      <c r="I120" s="15" t="s">
        <v>1506</v>
      </c>
      <c r="J120" s="15" t="s">
        <v>1507</v>
      </c>
      <c r="K120" s="16"/>
      <c r="L120" s="14" t="s">
        <v>2815</v>
      </c>
      <c r="M120" s="16"/>
      <c r="N120" s="15" t="s">
        <v>954</v>
      </c>
      <c r="O120" s="14">
        <v>6.5</v>
      </c>
      <c r="P120" s="14" t="s">
        <v>2845</v>
      </c>
      <c r="Q120" s="14" cm="1">
        <f t="array" ref="Q120">_xlfn.IFS(P120="USD",O120,P120="VND",O120/26090,P120="JPY",O120/161)</f>
        <v>6.5</v>
      </c>
      <c r="R120" s="14">
        <v>35</v>
      </c>
      <c r="S120" s="14">
        <v>1</v>
      </c>
      <c r="T120" s="14"/>
      <c r="U120" s="14" t="s">
        <v>2848</v>
      </c>
      <c r="V120" s="14" t="s">
        <v>2857</v>
      </c>
      <c r="W120" s="14" t="s">
        <v>2858</v>
      </c>
      <c r="X120" s="17">
        <v>0</v>
      </c>
      <c r="Y120" s="15" t="s">
        <v>2875</v>
      </c>
      <c r="Z120" s="20">
        <v>46243</v>
      </c>
      <c r="AA120" s="20">
        <v>46608</v>
      </c>
      <c r="AB120" s="16"/>
      <c r="AC120" s="16"/>
      <c r="AD120" s="16"/>
      <c r="AE120" s="16" t="s">
        <v>2957</v>
      </c>
      <c r="AF120" s="16"/>
      <c r="AI120" s="3" t="str">
        <f t="shared" ca="1" si="1"/>
        <v>OK</v>
      </c>
    </row>
    <row r="121" spans="1:35" hidden="1" x14ac:dyDescent="0.3">
      <c r="A121" s="13">
        <v>46032</v>
      </c>
      <c r="B121" s="14" t="s">
        <v>2806</v>
      </c>
      <c r="C121" s="16"/>
      <c r="D121" s="16"/>
      <c r="E121" s="15" t="s">
        <v>859</v>
      </c>
      <c r="F121" s="15" t="s">
        <v>908</v>
      </c>
      <c r="G121" s="15" t="s">
        <v>169</v>
      </c>
      <c r="H121" s="15"/>
      <c r="I121" s="15" t="s">
        <v>1508</v>
      </c>
      <c r="J121" s="15" t="s">
        <v>1509</v>
      </c>
      <c r="K121" s="16"/>
      <c r="L121" s="14" t="s">
        <v>2807</v>
      </c>
      <c r="M121" s="16"/>
      <c r="N121" s="15" t="s">
        <v>930</v>
      </c>
      <c r="O121" s="14">
        <v>3.46</v>
      </c>
      <c r="P121" s="14" t="s">
        <v>2845</v>
      </c>
      <c r="Q121" s="14" cm="1">
        <f t="array" ref="Q121">_xlfn.IFS(P121="USD",O121,P121="VND",O121/26090,P121="JPY",O121/161)</f>
        <v>3.46</v>
      </c>
      <c r="R121" s="14">
        <v>15</v>
      </c>
      <c r="S121" s="14">
        <v>300</v>
      </c>
      <c r="T121" s="14"/>
      <c r="U121" s="14" t="s">
        <v>2848</v>
      </c>
      <c r="V121" s="14" t="s">
        <v>2857</v>
      </c>
      <c r="W121" s="14" t="s">
        <v>2858</v>
      </c>
      <c r="X121" s="17">
        <v>0</v>
      </c>
      <c r="Y121" s="15" t="s">
        <v>2875</v>
      </c>
      <c r="Z121" s="20">
        <v>45664</v>
      </c>
      <c r="AA121" s="18"/>
      <c r="AB121" s="16"/>
      <c r="AC121" s="16"/>
      <c r="AD121" s="16"/>
      <c r="AE121" s="16" t="s">
        <v>3034</v>
      </c>
      <c r="AF121" s="16"/>
      <c r="AI121" s="3" t="str">
        <f t="shared" ca="1" si="1"/>
        <v>OK</v>
      </c>
    </row>
    <row r="122" spans="1:35" hidden="1" x14ac:dyDescent="0.3">
      <c r="A122" s="13">
        <v>46032</v>
      </c>
      <c r="B122" s="14" t="s">
        <v>2806</v>
      </c>
      <c r="C122" s="16"/>
      <c r="D122" s="16"/>
      <c r="E122" s="15" t="s">
        <v>863</v>
      </c>
      <c r="F122" s="15" t="s">
        <v>1252</v>
      </c>
      <c r="G122" s="15" t="s">
        <v>170</v>
      </c>
      <c r="H122" s="15"/>
      <c r="I122" s="15" t="s">
        <v>1510</v>
      </c>
      <c r="J122" s="15" t="s">
        <v>1511</v>
      </c>
      <c r="K122" s="16"/>
      <c r="L122" s="14" t="s">
        <v>2815</v>
      </c>
      <c r="M122" s="16"/>
      <c r="N122" s="15" t="s">
        <v>954</v>
      </c>
      <c r="O122" s="14">
        <v>13.3</v>
      </c>
      <c r="P122" s="14" t="s">
        <v>2845</v>
      </c>
      <c r="Q122" s="14" cm="1">
        <f t="array" ref="Q122">_xlfn.IFS(P122="USD",O122,P122="VND",O122/26090,P122="JPY",O122/161)</f>
        <v>13.3</v>
      </c>
      <c r="R122" s="14">
        <v>30</v>
      </c>
      <c r="S122" s="14">
        <v>50</v>
      </c>
      <c r="T122" s="14"/>
      <c r="U122" s="14" t="s">
        <v>2848</v>
      </c>
      <c r="V122" s="14" t="s">
        <v>2857</v>
      </c>
      <c r="W122" s="14" t="s">
        <v>2858</v>
      </c>
      <c r="X122" s="17">
        <v>0</v>
      </c>
      <c r="Y122" s="15" t="s">
        <v>2881</v>
      </c>
      <c r="Z122" s="20">
        <v>45937</v>
      </c>
      <c r="AA122" s="18"/>
      <c r="AB122" s="16"/>
      <c r="AC122" s="16"/>
      <c r="AD122" s="16"/>
      <c r="AE122" s="16" t="s">
        <v>3006</v>
      </c>
      <c r="AF122" s="16"/>
      <c r="AI122" s="3" t="str">
        <f t="shared" ca="1" si="1"/>
        <v>OK</v>
      </c>
    </row>
    <row r="123" spans="1:35" hidden="1" x14ac:dyDescent="0.3">
      <c r="A123" s="13">
        <v>46032</v>
      </c>
      <c r="B123" s="14" t="s">
        <v>2806</v>
      </c>
      <c r="C123" s="16"/>
      <c r="D123" s="16"/>
      <c r="E123" s="15" t="s">
        <v>874</v>
      </c>
      <c r="F123" s="15" t="s">
        <v>1260</v>
      </c>
      <c r="G123" s="15" t="s">
        <v>171</v>
      </c>
      <c r="H123" s="15"/>
      <c r="I123" s="15" t="s">
        <v>1512</v>
      </c>
      <c r="J123" s="15" t="s">
        <v>1513</v>
      </c>
      <c r="K123" s="16"/>
      <c r="L123" s="14" t="s">
        <v>2814</v>
      </c>
      <c r="M123" s="16"/>
      <c r="N123" s="15" t="s">
        <v>964</v>
      </c>
      <c r="O123" s="14">
        <v>310000</v>
      </c>
      <c r="P123" s="14" t="s">
        <v>2846</v>
      </c>
      <c r="Q123" s="14" cm="1">
        <f t="array" ref="Q123">_xlfn.IFS(P123="USD",O123,P123="VND",O123/26090,P123="JPY",O123/161)</f>
        <v>11.881947106170946</v>
      </c>
      <c r="R123" s="14">
        <v>90</v>
      </c>
      <c r="S123" s="14">
        <v>480</v>
      </c>
      <c r="T123" s="14"/>
      <c r="U123" s="14" t="s">
        <v>2848</v>
      </c>
      <c r="V123" s="14" t="s">
        <v>2857</v>
      </c>
      <c r="W123" s="14" t="s">
        <v>2858</v>
      </c>
      <c r="X123" s="17">
        <v>0</v>
      </c>
      <c r="Y123" s="15" t="s">
        <v>2889</v>
      </c>
      <c r="Z123" s="18" t="s">
        <v>3039</v>
      </c>
      <c r="AA123" s="18"/>
      <c r="AB123" s="16"/>
      <c r="AC123" s="16"/>
      <c r="AD123" s="16"/>
      <c r="AE123" s="16" t="s">
        <v>3038</v>
      </c>
      <c r="AF123" s="16"/>
      <c r="AI123" s="3" t="str">
        <f t="shared" ca="1" si="1"/>
        <v>OK</v>
      </c>
    </row>
    <row r="124" spans="1:35" hidden="1" x14ac:dyDescent="0.3">
      <c r="A124" s="13">
        <v>46032</v>
      </c>
      <c r="B124" s="14" t="s">
        <v>2806</v>
      </c>
      <c r="C124" s="16"/>
      <c r="D124" s="16"/>
      <c r="E124" s="15" t="s">
        <v>868</v>
      </c>
      <c r="F124" s="15" t="s">
        <v>1256</v>
      </c>
      <c r="G124" s="15" t="s">
        <v>172</v>
      </c>
      <c r="H124" s="15"/>
      <c r="I124" s="15" t="s">
        <v>1514</v>
      </c>
      <c r="J124" s="15" t="s">
        <v>1515</v>
      </c>
      <c r="K124" s="16"/>
      <c r="L124" s="14" t="s">
        <v>2815</v>
      </c>
      <c r="M124" s="16"/>
      <c r="N124" s="15" t="s">
        <v>945</v>
      </c>
      <c r="O124" s="14">
        <v>1.1399999999999999</v>
      </c>
      <c r="P124" s="14" t="s">
        <v>2845</v>
      </c>
      <c r="Q124" s="14" cm="1">
        <f t="array" ref="Q124">_xlfn.IFS(P124="USD",O124,P124="VND",O124/26090,P124="JPY",O124/161)</f>
        <v>1.1399999999999999</v>
      </c>
      <c r="R124" s="14">
        <v>120</v>
      </c>
      <c r="S124" s="14">
        <v>3360</v>
      </c>
      <c r="T124" s="14"/>
      <c r="U124" s="14" t="s">
        <v>2854</v>
      </c>
      <c r="V124" s="14" t="s">
        <v>2866</v>
      </c>
      <c r="W124" s="14" t="s">
        <v>2856</v>
      </c>
      <c r="X124" s="17">
        <v>0</v>
      </c>
      <c r="Y124" s="15" t="s">
        <v>2884</v>
      </c>
      <c r="Z124" s="18" t="s">
        <v>3011</v>
      </c>
      <c r="AA124" s="18"/>
      <c r="AB124" s="16"/>
      <c r="AC124" s="16"/>
      <c r="AD124" s="16"/>
      <c r="AE124" s="16" t="s">
        <v>3010</v>
      </c>
      <c r="AF124" s="16"/>
      <c r="AI124" s="3" t="str">
        <f t="shared" ca="1" si="1"/>
        <v>OK</v>
      </c>
    </row>
    <row r="125" spans="1:35" hidden="1" x14ac:dyDescent="0.3">
      <c r="A125" s="13">
        <v>46032</v>
      </c>
      <c r="B125" s="14" t="s">
        <v>2806</v>
      </c>
      <c r="C125" s="16"/>
      <c r="D125" s="16"/>
      <c r="E125" s="15" t="s">
        <v>873</v>
      </c>
      <c r="F125" s="15" t="s">
        <v>1259</v>
      </c>
      <c r="G125" s="15" t="s">
        <v>173</v>
      </c>
      <c r="H125" s="15"/>
      <c r="I125" s="15" t="s">
        <v>1516</v>
      </c>
      <c r="J125" s="15" t="s">
        <v>1517</v>
      </c>
      <c r="K125" s="16"/>
      <c r="L125" s="14" t="s">
        <v>2814</v>
      </c>
      <c r="M125" s="16"/>
      <c r="N125" s="15" t="s">
        <v>959</v>
      </c>
      <c r="O125" s="14">
        <v>372.44</v>
      </c>
      <c r="P125" s="14" t="s">
        <v>2845</v>
      </c>
      <c r="Q125" s="14" cm="1">
        <f t="array" ref="Q125">_xlfn.IFS(P125="USD",O125,P125="VND",O125/26090,P125="JPY",O125/161)</f>
        <v>372.44</v>
      </c>
      <c r="R125" s="14">
        <v>60</v>
      </c>
      <c r="S125" s="14">
        <v>200</v>
      </c>
      <c r="T125" s="14"/>
      <c r="U125" s="14" t="s">
        <v>2855</v>
      </c>
      <c r="V125" s="14" t="s">
        <v>2859</v>
      </c>
      <c r="W125" s="14" t="s">
        <v>2856</v>
      </c>
      <c r="X125" s="17">
        <v>0</v>
      </c>
      <c r="Y125" s="15" t="s">
        <v>2888</v>
      </c>
      <c r="Z125" s="20">
        <v>46032</v>
      </c>
      <c r="AA125" s="20" t="s">
        <v>2965</v>
      </c>
      <c r="AB125" s="16"/>
      <c r="AC125" s="16"/>
      <c r="AD125" s="16"/>
      <c r="AE125" s="16" t="s">
        <v>2966</v>
      </c>
      <c r="AF125" s="16"/>
      <c r="AI125" s="3" t="str">
        <f t="shared" ca="1" si="1"/>
        <v>OK</v>
      </c>
    </row>
    <row r="126" spans="1:35" x14ac:dyDescent="0.3">
      <c r="A126" s="13">
        <v>46032</v>
      </c>
      <c r="B126" s="14" t="s">
        <v>2806</v>
      </c>
      <c r="C126" s="16"/>
      <c r="D126" s="16"/>
      <c r="E126" s="15" t="s">
        <v>858</v>
      </c>
      <c r="F126" s="15" t="s">
        <v>1248</v>
      </c>
      <c r="G126" s="15" t="s">
        <v>174</v>
      </c>
      <c r="H126" s="15"/>
      <c r="I126" s="15" t="s">
        <v>1518</v>
      </c>
      <c r="J126" s="15" t="s">
        <v>1519</v>
      </c>
      <c r="K126" s="16"/>
      <c r="L126" s="14" t="s">
        <v>2808</v>
      </c>
      <c r="M126" s="16"/>
      <c r="N126" s="15" t="s">
        <v>965</v>
      </c>
      <c r="O126" s="14">
        <v>95.4</v>
      </c>
      <c r="P126" s="14" t="s">
        <v>2845</v>
      </c>
      <c r="Q126" s="14" cm="1">
        <f t="array" ref="Q126">_xlfn.IFS(P126="USD",O126,P126="VND",O126/26090,P126="JPY",O126/161)</f>
        <v>95.4</v>
      </c>
      <c r="R126" s="14">
        <v>60</v>
      </c>
      <c r="S126" s="14">
        <v>1</v>
      </c>
      <c r="T126" s="14"/>
      <c r="U126" s="14" t="s">
        <v>2852</v>
      </c>
      <c r="V126" s="14" t="s">
        <v>2864</v>
      </c>
      <c r="W126" s="14" t="s">
        <v>2860</v>
      </c>
      <c r="X126" s="17">
        <v>0</v>
      </c>
      <c r="Y126" s="15" t="s">
        <v>2880</v>
      </c>
      <c r="Z126" s="20">
        <v>46029</v>
      </c>
      <c r="AA126" s="23">
        <v>46030</v>
      </c>
      <c r="AB126" s="16"/>
      <c r="AC126" s="16"/>
      <c r="AD126" s="16"/>
      <c r="AE126" s="16" t="s">
        <v>3051</v>
      </c>
      <c r="AF126" s="16"/>
      <c r="AI126" s="3" t="str">
        <f t="shared" ca="1" si="1"/>
        <v>NG</v>
      </c>
    </row>
    <row r="127" spans="1:35" hidden="1" x14ac:dyDescent="0.3">
      <c r="A127" s="13">
        <v>46032</v>
      </c>
      <c r="B127" s="14" t="s">
        <v>2806</v>
      </c>
      <c r="C127" s="16"/>
      <c r="D127" s="16"/>
      <c r="E127" s="15" t="s">
        <v>857</v>
      </c>
      <c r="F127" s="15" t="s">
        <v>912</v>
      </c>
      <c r="G127" s="15" t="s">
        <v>175</v>
      </c>
      <c r="H127" s="15"/>
      <c r="I127" s="15" t="s">
        <v>1520</v>
      </c>
      <c r="J127" s="15" t="s">
        <v>1521</v>
      </c>
      <c r="K127" s="16"/>
      <c r="L127" s="14" t="s">
        <v>2815</v>
      </c>
      <c r="M127" s="16"/>
      <c r="N127" s="15" t="s">
        <v>938</v>
      </c>
      <c r="O127" s="14">
        <v>25</v>
      </c>
      <c r="P127" s="14" t="s">
        <v>2845</v>
      </c>
      <c r="Q127" s="14" cm="1">
        <f t="array" ref="Q127">_xlfn.IFS(P127="USD",O127,P127="VND",O127/26090,P127="JPY",O127/161)</f>
        <v>25</v>
      </c>
      <c r="R127" s="14">
        <v>35</v>
      </c>
      <c r="S127" s="14">
        <v>1</v>
      </c>
      <c r="T127" s="14"/>
      <c r="U127" s="14" t="s">
        <v>2848</v>
      </c>
      <c r="V127" s="14" t="s">
        <v>2857</v>
      </c>
      <c r="W127" s="14" t="s">
        <v>2858</v>
      </c>
      <c r="X127" s="17">
        <v>0</v>
      </c>
      <c r="Y127" s="15" t="s">
        <v>2875</v>
      </c>
      <c r="Z127" s="20">
        <v>46243</v>
      </c>
      <c r="AA127" s="20">
        <v>46608</v>
      </c>
      <c r="AB127" s="16"/>
      <c r="AC127" s="16"/>
      <c r="AD127" s="16"/>
      <c r="AE127" s="16" t="s">
        <v>2957</v>
      </c>
      <c r="AF127" s="16"/>
      <c r="AI127" s="3" t="str">
        <f t="shared" ca="1" si="1"/>
        <v>OK</v>
      </c>
    </row>
    <row r="128" spans="1:35" hidden="1" x14ac:dyDescent="0.3">
      <c r="A128" s="13">
        <v>46032</v>
      </c>
      <c r="B128" s="14" t="s">
        <v>2806</v>
      </c>
      <c r="C128" s="16"/>
      <c r="D128" s="16"/>
      <c r="E128" s="15" t="s">
        <v>2996</v>
      </c>
      <c r="F128" s="15" t="s">
        <v>2997</v>
      </c>
      <c r="G128" s="15" t="s">
        <v>176</v>
      </c>
      <c r="H128" s="15"/>
      <c r="I128" s="15" t="s">
        <v>1522</v>
      </c>
      <c r="J128" s="15" t="s">
        <v>1523</v>
      </c>
      <c r="K128" s="16"/>
      <c r="L128" s="14" t="s">
        <v>2813</v>
      </c>
      <c r="M128" s="16"/>
      <c r="N128" s="15" t="s">
        <v>966</v>
      </c>
      <c r="O128" s="14">
        <v>60.23</v>
      </c>
      <c r="P128" s="14" t="s">
        <v>2845</v>
      </c>
      <c r="Q128" s="14" cm="1">
        <f t="array" ref="Q128">_xlfn.IFS(P128="USD",O128,P128="VND",O128/26090,P128="JPY",O128/161)</f>
        <v>60.23</v>
      </c>
      <c r="R128" s="14">
        <v>56</v>
      </c>
      <c r="S128" s="14">
        <v>8</v>
      </c>
      <c r="T128" s="14"/>
      <c r="U128" s="14" t="s">
        <v>2854</v>
      </c>
      <c r="V128" s="14" t="s">
        <v>2865</v>
      </c>
      <c r="W128" s="14" t="s">
        <v>2856</v>
      </c>
      <c r="X128" s="17">
        <v>0</v>
      </c>
      <c r="Y128" s="15" t="s">
        <v>2890</v>
      </c>
      <c r="Z128" s="20">
        <v>46304</v>
      </c>
      <c r="AA128" s="18"/>
      <c r="AB128" s="16"/>
      <c r="AC128" s="16"/>
      <c r="AD128" s="16"/>
      <c r="AE128" s="16" t="s">
        <v>2998</v>
      </c>
      <c r="AF128" s="16"/>
      <c r="AI128" s="3" t="str">
        <f t="shared" ca="1" si="1"/>
        <v>OK</v>
      </c>
    </row>
    <row r="129" spans="1:35" hidden="1" x14ac:dyDescent="0.3">
      <c r="A129" s="13">
        <v>46032</v>
      </c>
      <c r="B129" s="14" t="s">
        <v>2806</v>
      </c>
      <c r="C129" s="16"/>
      <c r="D129" s="16"/>
      <c r="E129" s="15" t="s">
        <v>854</v>
      </c>
      <c r="F129" s="15" t="s">
        <v>1246</v>
      </c>
      <c r="G129" s="15" t="s">
        <v>177</v>
      </c>
      <c r="H129" s="15"/>
      <c r="I129" s="15" t="s">
        <v>1304</v>
      </c>
      <c r="J129" s="15" t="s">
        <v>1524</v>
      </c>
      <c r="K129" s="16"/>
      <c r="L129" s="14" t="s">
        <v>2814</v>
      </c>
      <c r="M129" s="16"/>
      <c r="N129" s="15" t="s">
        <v>923</v>
      </c>
      <c r="O129" s="14">
        <v>75.58</v>
      </c>
      <c r="P129" s="14" t="s">
        <v>2845</v>
      </c>
      <c r="Q129" s="14" cm="1">
        <f t="array" ref="Q129">_xlfn.IFS(P129="USD",O129,P129="VND",O129/26090,P129="JPY",O129/161)</f>
        <v>75.58</v>
      </c>
      <c r="R129" s="14">
        <v>42</v>
      </c>
      <c r="S129" s="14">
        <v>10</v>
      </c>
      <c r="T129" s="14"/>
      <c r="U129" s="14" t="s">
        <v>2850</v>
      </c>
      <c r="V129" s="14" t="s">
        <v>2861</v>
      </c>
      <c r="W129" s="14" t="s">
        <v>2856</v>
      </c>
      <c r="X129" s="17">
        <v>0</v>
      </c>
      <c r="Y129" s="15" t="s">
        <v>2874</v>
      </c>
      <c r="Z129" s="20">
        <v>46032</v>
      </c>
      <c r="AA129" s="20" t="s">
        <v>2976</v>
      </c>
      <c r="AB129" s="16"/>
      <c r="AC129" s="16"/>
      <c r="AD129" s="16"/>
      <c r="AE129" s="16" t="s">
        <v>2975</v>
      </c>
      <c r="AF129" s="16"/>
      <c r="AI129" s="3" t="str">
        <f t="shared" ca="1" si="1"/>
        <v>OK</v>
      </c>
    </row>
    <row r="130" spans="1:35" hidden="1" x14ac:dyDescent="0.3">
      <c r="A130" s="13">
        <v>46032</v>
      </c>
      <c r="B130" s="14" t="s">
        <v>2806</v>
      </c>
      <c r="C130" s="16"/>
      <c r="D130" s="16"/>
      <c r="E130" s="15" t="s">
        <v>855</v>
      </c>
      <c r="F130" s="15" t="s">
        <v>907</v>
      </c>
      <c r="G130" s="15" t="s">
        <v>178</v>
      </c>
      <c r="H130" s="15"/>
      <c r="I130" s="15" t="s">
        <v>1525</v>
      </c>
      <c r="J130" s="15" t="s">
        <v>1526</v>
      </c>
      <c r="K130" s="16"/>
      <c r="L130" s="14" t="s">
        <v>2815</v>
      </c>
      <c r="M130" s="16"/>
      <c r="N130" s="15" t="s">
        <v>924</v>
      </c>
      <c r="O130" s="14">
        <v>4.944</v>
      </c>
      <c r="P130" s="14" t="s">
        <v>2845</v>
      </c>
      <c r="Q130" s="14" cm="1">
        <f t="array" ref="Q130">_xlfn.IFS(P130="USD",O130,P130="VND",O130/26090,P130="JPY",O130/161)</f>
        <v>4.944</v>
      </c>
      <c r="R130" s="14">
        <v>21</v>
      </c>
      <c r="S130" s="14">
        <v>50</v>
      </c>
      <c r="T130" s="14"/>
      <c r="U130" s="14" t="s">
        <v>2849</v>
      </c>
      <c r="V130" s="14" t="s">
        <v>2857</v>
      </c>
      <c r="W130" s="14" t="s">
        <v>2858</v>
      </c>
      <c r="X130" s="17">
        <v>0</v>
      </c>
      <c r="Y130" s="15" t="s">
        <v>2875</v>
      </c>
      <c r="Z130" s="20">
        <v>46029</v>
      </c>
      <c r="AA130" s="18"/>
      <c r="AB130" s="16"/>
      <c r="AC130" s="16"/>
      <c r="AD130" s="16"/>
      <c r="AE130" s="16" t="s">
        <v>3025</v>
      </c>
      <c r="AF130" s="16"/>
      <c r="AI130" s="3" t="str">
        <f t="shared" ca="1" si="1"/>
        <v>OK</v>
      </c>
    </row>
    <row r="131" spans="1:35" hidden="1" x14ac:dyDescent="0.3">
      <c r="A131" s="13">
        <v>46032</v>
      </c>
      <c r="B131" s="14" t="s">
        <v>2806</v>
      </c>
      <c r="C131" s="16"/>
      <c r="D131" s="16"/>
      <c r="E131" s="15" t="s">
        <v>853</v>
      </c>
      <c r="F131" s="15" t="s">
        <v>903</v>
      </c>
      <c r="G131" s="15" t="s">
        <v>179</v>
      </c>
      <c r="H131" s="15"/>
      <c r="I131" s="15" t="s">
        <v>1527</v>
      </c>
      <c r="J131" s="15" t="s">
        <v>1528</v>
      </c>
      <c r="K131" s="16"/>
      <c r="L131" s="14" t="s">
        <v>2813</v>
      </c>
      <c r="M131" s="16"/>
      <c r="N131" s="15" t="s">
        <v>922</v>
      </c>
      <c r="O131" s="14">
        <v>102.2</v>
      </c>
      <c r="P131" s="14" t="s">
        <v>2845</v>
      </c>
      <c r="Q131" s="14" cm="1">
        <f t="array" ref="Q131">_xlfn.IFS(P131="USD",O131,P131="VND",O131/26090,P131="JPY",O131/161)</f>
        <v>102.2</v>
      </c>
      <c r="R131" s="14">
        <v>114</v>
      </c>
      <c r="S131" s="14">
        <v>10</v>
      </c>
      <c r="T131" s="14"/>
      <c r="U131" s="14" t="s">
        <v>2850</v>
      </c>
      <c r="V131" s="14" t="s">
        <v>2862</v>
      </c>
      <c r="W131" s="14" t="s">
        <v>2856</v>
      </c>
      <c r="X131" s="17">
        <v>0</v>
      </c>
      <c r="Y131" s="15" t="s">
        <v>2878</v>
      </c>
      <c r="Z131" s="20">
        <v>46031</v>
      </c>
      <c r="AA131" s="18"/>
      <c r="AB131" s="16"/>
      <c r="AC131" s="16"/>
      <c r="AD131" s="16"/>
      <c r="AE131" s="16" t="s">
        <v>2984</v>
      </c>
      <c r="AF131" s="16"/>
      <c r="AI131" s="3" t="str">
        <f t="shared" ref="AI131:AI194" ca="1" si="2">IF(AA131="","OK",IF(AA131&lt;TODAY(),"NG","OK"))</f>
        <v>OK</v>
      </c>
    </row>
    <row r="132" spans="1:35" hidden="1" x14ac:dyDescent="0.3">
      <c r="A132" s="13">
        <v>46032</v>
      </c>
      <c r="B132" s="14" t="s">
        <v>2806</v>
      </c>
      <c r="C132" s="16"/>
      <c r="D132" s="16"/>
      <c r="E132" s="15" t="s">
        <v>850</v>
      </c>
      <c r="F132" s="15" t="s">
        <v>915</v>
      </c>
      <c r="G132" s="15" t="s">
        <v>180</v>
      </c>
      <c r="H132" s="15"/>
      <c r="I132" s="15" t="s">
        <v>1529</v>
      </c>
      <c r="J132" s="15" t="s">
        <v>1530</v>
      </c>
      <c r="K132" s="16"/>
      <c r="L132" s="14" t="s">
        <v>2809</v>
      </c>
      <c r="M132" s="16"/>
      <c r="N132" s="15" t="s">
        <v>946</v>
      </c>
      <c r="O132" s="14">
        <v>0.23</v>
      </c>
      <c r="P132" s="14" t="s">
        <v>2845</v>
      </c>
      <c r="Q132" s="14" cm="1">
        <f t="array" ref="Q132">_xlfn.IFS(P132="USD",O132,P132="VND",O132/26090,P132="JPY",O132/161)</f>
        <v>0.23</v>
      </c>
      <c r="R132" s="14">
        <v>60</v>
      </c>
      <c r="S132" s="14">
        <v>3000</v>
      </c>
      <c r="T132" s="14"/>
      <c r="U132" s="14" t="s">
        <v>2850</v>
      </c>
      <c r="V132" s="14" t="s">
        <v>2859</v>
      </c>
      <c r="W132" s="14" t="s">
        <v>2860</v>
      </c>
      <c r="X132" s="17">
        <v>0</v>
      </c>
      <c r="Y132" s="15" t="s">
        <v>2891</v>
      </c>
      <c r="Z132" s="18"/>
      <c r="AA132" s="18"/>
      <c r="AB132" s="16"/>
      <c r="AC132" s="16"/>
      <c r="AD132" s="16"/>
      <c r="AE132" s="16"/>
      <c r="AF132" s="16"/>
      <c r="AI132" s="3" t="str">
        <f t="shared" ca="1" si="2"/>
        <v>OK</v>
      </c>
    </row>
    <row r="133" spans="1:35" hidden="1" x14ac:dyDescent="0.3">
      <c r="A133" s="13">
        <v>46032</v>
      </c>
      <c r="B133" s="14" t="s">
        <v>2806</v>
      </c>
      <c r="C133" s="16"/>
      <c r="D133" s="16"/>
      <c r="E133" s="15" t="s">
        <v>875</v>
      </c>
      <c r="F133" s="15" t="s">
        <v>1261</v>
      </c>
      <c r="G133" s="15" t="s">
        <v>181</v>
      </c>
      <c r="H133" s="15"/>
      <c r="I133" s="15" t="s">
        <v>1531</v>
      </c>
      <c r="J133" s="15" t="s">
        <v>1532</v>
      </c>
      <c r="K133" s="16"/>
      <c r="L133" s="14" t="s">
        <v>2823</v>
      </c>
      <c r="M133" s="16"/>
      <c r="N133" s="15" t="s">
        <v>967</v>
      </c>
      <c r="O133" s="14">
        <v>122.01</v>
      </c>
      <c r="P133" s="14" t="s">
        <v>2845</v>
      </c>
      <c r="Q133" s="14" cm="1">
        <f t="array" ref="Q133">_xlfn.IFS(P133="USD",O133,P133="VND",O133/26090,P133="JPY",O133/161)</f>
        <v>122.01</v>
      </c>
      <c r="R133" s="14">
        <v>90</v>
      </c>
      <c r="S133" s="14">
        <v>1</v>
      </c>
      <c r="T133" s="14"/>
      <c r="U133" s="14" t="s">
        <v>2848</v>
      </c>
      <c r="V133" s="14" t="s">
        <v>2857</v>
      </c>
      <c r="W133" s="14" t="s">
        <v>2858</v>
      </c>
      <c r="X133" s="17">
        <v>0</v>
      </c>
      <c r="Y133" s="15" t="s">
        <v>2875</v>
      </c>
      <c r="Z133" s="18" t="s">
        <v>2935</v>
      </c>
      <c r="AA133" s="18"/>
      <c r="AB133" s="16"/>
      <c r="AC133" s="16"/>
      <c r="AD133" s="16"/>
      <c r="AE133" s="16" t="s">
        <v>2999</v>
      </c>
      <c r="AF133" s="16"/>
      <c r="AI133" s="3" t="str">
        <f t="shared" ca="1" si="2"/>
        <v>OK</v>
      </c>
    </row>
    <row r="134" spans="1:35" x14ac:dyDescent="0.3">
      <c r="A134" s="13">
        <v>46032</v>
      </c>
      <c r="B134" s="14" t="s">
        <v>2806</v>
      </c>
      <c r="C134" s="16"/>
      <c r="D134" s="16"/>
      <c r="E134" s="15" t="s">
        <v>858</v>
      </c>
      <c r="F134" s="15" t="s">
        <v>1248</v>
      </c>
      <c r="G134" s="15" t="s">
        <v>182</v>
      </c>
      <c r="H134" s="15"/>
      <c r="I134" s="15" t="s">
        <v>1533</v>
      </c>
      <c r="J134" s="15" t="s">
        <v>1534</v>
      </c>
      <c r="K134" s="16"/>
      <c r="L134" s="14" t="s">
        <v>2815</v>
      </c>
      <c r="M134" s="16"/>
      <c r="N134" s="15" t="s">
        <v>968</v>
      </c>
      <c r="O134" s="14">
        <v>13.5</v>
      </c>
      <c r="P134" s="14" t="s">
        <v>2845</v>
      </c>
      <c r="Q134" s="14" cm="1">
        <f t="array" ref="Q134">_xlfn.IFS(P134="USD",O134,P134="VND",O134/26090,P134="JPY",O134/161)</f>
        <v>13.5</v>
      </c>
      <c r="R134" s="14">
        <v>30</v>
      </c>
      <c r="S134" s="14">
        <v>48</v>
      </c>
      <c r="T134" s="14"/>
      <c r="U134" s="14" t="s">
        <v>2852</v>
      </c>
      <c r="V134" s="14" t="s">
        <v>2864</v>
      </c>
      <c r="W134" s="14" t="s">
        <v>2860</v>
      </c>
      <c r="X134" s="17">
        <v>0</v>
      </c>
      <c r="Y134" s="15" t="s">
        <v>2880</v>
      </c>
      <c r="Z134" s="20">
        <v>46029</v>
      </c>
      <c r="AA134" s="23">
        <v>46030</v>
      </c>
      <c r="AB134" s="16"/>
      <c r="AC134" s="16"/>
      <c r="AD134" s="16"/>
      <c r="AE134" s="16" t="s">
        <v>3051</v>
      </c>
      <c r="AF134" s="16"/>
      <c r="AI134" s="3" t="str">
        <f t="shared" ca="1" si="2"/>
        <v>NG</v>
      </c>
    </row>
    <row r="135" spans="1:35" x14ac:dyDescent="0.3">
      <c r="A135" s="13">
        <v>46032</v>
      </c>
      <c r="B135" s="14" t="s">
        <v>2806</v>
      </c>
      <c r="C135" s="16"/>
      <c r="D135" s="16"/>
      <c r="E135" s="15" t="s">
        <v>862</v>
      </c>
      <c r="F135" s="15" t="s">
        <v>1251</v>
      </c>
      <c r="G135" s="15" t="s">
        <v>183</v>
      </c>
      <c r="H135" s="15"/>
      <c r="I135" s="15" t="s">
        <v>1535</v>
      </c>
      <c r="J135" s="15" t="s">
        <v>1536</v>
      </c>
      <c r="K135" s="16"/>
      <c r="L135" s="14" t="s">
        <v>2807</v>
      </c>
      <c r="M135" s="16"/>
      <c r="N135" s="15" t="s">
        <v>950</v>
      </c>
      <c r="O135" s="14">
        <v>140000</v>
      </c>
      <c r="P135" s="14" t="s">
        <v>2846</v>
      </c>
      <c r="Q135" s="14" cm="1">
        <f t="array" ref="Q135">_xlfn.IFS(P135="USD",O135,P135="VND",O135/26090,P135="JPY",O135/161)</f>
        <v>5.3660406285933311</v>
      </c>
      <c r="R135" s="14">
        <v>7</v>
      </c>
      <c r="S135" s="14">
        <v>10</v>
      </c>
      <c r="T135" s="14"/>
      <c r="U135" s="14" t="s">
        <v>2848</v>
      </c>
      <c r="V135" s="14" t="s">
        <v>2857</v>
      </c>
      <c r="W135" s="14" t="s">
        <v>2858</v>
      </c>
      <c r="X135" s="17">
        <v>0</v>
      </c>
      <c r="Y135" s="15" t="s">
        <v>2875</v>
      </c>
      <c r="Z135" s="18" t="s">
        <v>2929</v>
      </c>
      <c r="AA135" s="22" t="s">
        <v>2931</v>
      </c>
      <c r="AB135" s="16"/>
      <c r="AC135" s="16"/>
      <c r="AD135" s="16"/>
      <c r="AE135" s="16" t="s">
        <v>2932</v>
      </c>
      <c r="AF135" s="16"/>
      <c r="AI135" s="3" t="str">
        <f t="shared" ca="1" si="2"/>
        <v>OK</v>
      </c>
    </row>
    <row r="136" spans="1:35" x14ac:dyDescent="0.3">
      <c r="A136" s="13">
        <v>46032</v>
      </c>
      <c r="B136" s="14" t="s">
        <v>2806</v>
      </c>
      <c r="C136" s="16"/>
      <c r="D136" s="16"/>
      <c r="E136" s="15" t="s">
        <v>862</v>
      </c>
      <c r="F136" s="15" t="s">
        <v>1251</v>
      </c>
      <c r="G136" s="15" t="s">
        <v>184</v>
      </c>
      <c r="H136" s="15"/>
      <c r="I136" s="15" t="s">
        <v>1537</v>
      </c>
      <c r="J136" s="15" t="s">
        <v>1538</v>
      </c>
      <c r="K136" s="16"/>
      <c r="L136" s="14" t="s">
        <v>2807</v>
      </c>
      <c r="M136" s="16"/>
      <c r="N136" s="15" t="s">
        <v>950</v>
      </c>
      <c r="O136" s="14">
        <v>140000</v>
      </c>
      <c r="P136" s="14" t="s">
        <v>2846</v>
      </c>
      <c r="Q136" s="14" cm="1">
        <f t="array" ref="Q136">_xlfn.IFS(P136="USD",O136,P136="VND",O136/26090,P136="JPY",O136/161)</f>
        <v>5.3660406285933311</v>
      </c>
      <c r="R136" s="14">
        <v>7</v>
      </c>
      <c r="S136" s="14">
        <v>10</v>
      </c>
      <c r="T136" s="14"/>
      <c r="U136" s="14" t="s">
        <v>2848</v>
      </c>
      <c r="V136" s="14" t="s">
        <v>2857</v>
      </c>
      <c r="W136" s="14" t="s">
        <v>2858</v>
      </c>
      <c r="X136" s="17">
        <v>0</v>
      </c>
      <c r="Y136" s="15" t="s">
        <v>2875</v>
      </c>
      <c r="Z136" s="18" t="s">
        <v>2929</v>
      </c>
      <c r="AA136" s="22" t="s">
        <v>2931</v>
      </c>
      <c r="AB136" s="16"/>
      <c r="AC136" s="16"/>
      <c r="AD136" s="16"/>
      <c r="AE136" s="16" t="s">
        <v>2932</v>
      </c>
      <c r="AF136" s="16"/>
      <c r="AI136" s="3" t="str">
        <f t="shared" ca="1" si="2"/>
        <v>OK</v>
      </c>
    </row>
    <row r="137" spans="1:35" x14ac:dyDescent="0.3">
      <c r="A137" s="13">
        <v>46032</v>
      </c>
      <c r="B137" s="14" t="s">
        <v>2806</v>
      </c>
      <c r="C137" s="16"/>
      <c r="D137" s="16"/>
      <c r="E137" s="15" t="s">
        <v>862</v>
      </c>
      <c r="F137" s="15" t="s">
        <v>1251</v>
      </c>
      <c r="G137" s="15" t="s">
        <v>185</v>
      </c>
      <c r="H137" s="15"/>
      <c r="I137" s="15" t="s">
        <v>1539</v>
      </c>
      <c r="J137" s="15" t="s">
        <v>1540</v>
      </c>
      <c r="K137" s="16"/>
      <c r="L137" s="14" t="s">
        <v>2807</v>
      </c>
      <c r="M137" s="16"/>
      <c r="N137" s="15" t="s">
        <v>950</v>
      </c>
      <c r="O137" s="14">
        <v>140000</v>
      </c>
      <c r="P137" s="14" t="s">
        <v>2846</v>
      </c>
      <c r="Q137" s="14" cm="1">
        <f t="array" ref="Q137">_xlfn.IFS(P137="USD",O137,P137="VND",O137/26090,P137="JPY",O137/161)</f>
        <v>5.3660406285933311</v>
      </c>
      <c r="R137" s="14">
        <v>7</v>
      </c>
      <c r="S137" s="14">
        <v>10</v>
      </c>
      <c r="T137" s="14"/>
      <c r="U137" s="14" t="s">
        <v>2848</v>
      </c>
      <c r="V137" s="14" t="s">
        <v>2857</v>
      </c>
      <c r="W137" s="14" t="s">
        <v>2858</v>
      </c>
      <c r="X137" s="17">
        <v>0</v>
      </c>
      <c r="Y137" s="15" t="s">
        <v>2875</v>
      </c>
      <c r="Z137" s="18" t="s">
        <v>2929</v>
      </c>
      <c r="AA137" s="22" t="s">
        <v>2931</v>
      </c>
      <c r="AB137" s="16"/>
      <c r="AC137" s="16"/>
      <c r="AD137" s="16"/>
      <c r="AE137" s="16" t="s">
        <v>2932</v>
      </c>
      <c r="AF137" s="16"/>
      <c r="AI137" s="3" t="str">
        <f t="shared" ca="1" si="2"/>
        <v>OK</v>
      </c>
    </row>
    <row r="138" spans="1:35" x14ac:dyDescent="0.3">
      <c r="A138" s="13">
        <v>46032</v>
      </c>
      <c r="B138" s="14" t="s">
        <v>2806</v>
      </c>
      <c r="C138" s="16"/>
      <c r="D138" s="16"/>
      <c r="E138" s="15" t="s">
        <v>862</v>
      </c>
      <c r="F138" s="15" t="s">
        <v>1251</v>
      </c>
      <c r="G138" s="15" t="s">
        <v>186</v>
      </c>
      <c r="H138" s="15"/>
      <c r="I138" s="15" t="s">
        <v>1541</v>
      </c>
      <c r="J138" s="15" t="s">
        <v>1542</v>
      </c>
      <c r="K138" s="16"/>
      <c r="L138" s="14" t="s">
        <v>2807</v>
      </c>
      <c r="M138" s="16"/>
      <c r="N138" s="15" t="s">
        <v>950</v>
      </c>
      <c r="O138" s="14">
        <v>174000</v>
      </c>
      <c r="P138" s="14" t="s">
        <v>2846</v>
      </c>
      <c r="Q138" s="14" cm="1">
        <f t="array" ref="Q138">_xlfn.IFS(P138="USD",O138,P138="VND",O138/26090,P138="JPY",O138/161)</f>
        <v>6.6692219241088537</v>
      </c>
      <c r="R138" s="14">
        <v>7</v>
      </c>
      <c r="S138" s="14">
        <v>10</v>
      </c>
      <c r="T138" s="14"/>
      <c r="U138" s="14" t="s">
        <v>2848</v>
      </c>
      <c r="V138" s="14" t="s">
        <v>2857</v>
      </c>
      <c r="W138" s="14" t="s">
        <v>2858</v>
      </c>
      <c r="X138" s="17">
        <v>0</v>
      </c>
      <c r="Y138" s="15" t="s">
        <v>2875</v>
      </c>
      <c r="Z138" s="18" t="s">
        <v>2929</v>
      </c>
      <c r="AA138" s="22" t="s">
        <v>2931</v>
      </c>
      <c r="AB138" s="16"/>
      <c r="AC138" s="16"/>
      <c r="AD138" s="16"/>
      <c r="AE138" s="16" t="s">
        <v>2932</v>
      </c>
      <c r="AF138" s="16"/>
      <c r="AI138" s="3" t="str">
        <f t="shared" ca="1" si="2"/>
        <v>OK</v>
      </c>
    </row>
    <row r="139" spans="1:35" x14ac:dyDescent="0.3">
      <c r="A139" s="13">
        <v>46032</v>
      </c>
      <c r="B139" s="14" t="s">
        <v>2806</v>
      </c>
      <c r="C139" s="16"/>
      <c r="D139" s="16"/>
      <c r="E139" s="15" t="s">
        <v>862</v>
      </c>
      <c r="F139" s="15" t="s">
        <v>1251</v>
      </c>
      <c r="G139" s="15" t="s">
        <v>187</v>
      </c>
      <c r="H139" s="15"/>
      <c r="I139" s="15" t="s">
        <v>1543</v>
      </c>
      <c r="J139" s="15" t="s">
        <v>1544</v>
      </c>
      <c r="K139" s="16"/>
      <c r="L139" s="14" t="s">
        <v>2807</v>
      </c>
      <c r="M139" s="16"/>
      <c r="N139" s="15" t="s">
        <v>950</v>
      </c>
      <c r="O139" s="14">
        <v>174000</v>
      </c>
      <c r="P139" s="14" t="s">
        <v>2846</v>
      </c>
      <c r="Q139" s="14" cm="1">
        <f t="array" ref="Q139">_xlfn.IFS(P139="USD",O139,P139="VND",O139/26090,P139="JPY",O139/161)</f>
        <v>6.6692219241088537</v>
      </c>
      <c r="R139" s="14">
        <v>7</v>
      </c>
      <c r="S139" s="14">
        <v>10</v>
      </c>
      <c r="T139" s="14"/>
      <c r="U139" s="14" t="s">
        <v>2848</v>
      </c>
      <c r="V139" s="14" t="s">
        <v>2857</v>
      </c>
      <c r="W139" s="14" t="s">
        <v>2858</v>
      </c>
      <c r="X139" s="17">
        <v>0</v>
      </c>
      <c r="Y139" s="15" t="s">
        <v>2875</v>
      </c>
      <c r="Z139" s="18" t="s">
        <v>2929</v>
      </c>
      <c r="AA139" s="22" t="s">
        <v>2931</v>
      </c>
      <c r="AB139" s="16"/>
      <c r="AC139" s="16"/>
      <c r="AD139" s="16"/>
      <c r="AE139" s="16" t="s">
        <v>2932</v>
      </c>
      <c r="AF139" s="16"/>
      <c r="AI139" s="3" t="str">
        <f t="shared" ca="1" si="2"/>
        <v>OK</v>
      </c>
    </row>
    <row r="140" spans="1:35" x14ac:dyDescent="0.3">
      <c r="A140" s="13">
        <v>46032</v>
      </c>
      <c r="B140" s="14" t="s">
        <v>2806</v>
      </c>
      <c r="C140" s="16"/>
      <c r="D140" s="16"/>
      <c r="E140" s="15" t="s">
        <v>862</v>
      </c>
      <c r="F140" s="15" t="s">
        <v>1251</v>
      </c>
      <c r="G140" s="15" t="s">
        <v>188</v>
      </c>
      <c r="H140" s="15"/>
      <c r="I140" s="15" t="s">
        <v>1545</v>
      </c>
      <c r="J140" s="15" t="s">
        <v>1546</v>
      </c>
      <c r="K140" s="16"/>
      <c r="L140" s="14" t="s">
        <v>2807</v>
      </c>
      <c r="M140" s="16"/>
      <c r="N140" s="15" t="s">
        <v>950</v>
      </c>
      <c r="O140" s="14">
        <v>140000</v>
      </c>
      <c r="P140" s="14" t="s">
        <v>2846</v>
      </c>
      <c r="Q140" s="14" cm="1">
        <f t="array" ref="Q140">_xlfn.IFS(P140="USD",O140,P140="VND",O140/26090,P140="JPY",O140/161)</f>
        <v>5.3660406285933311</v>
      </c>
      <c r="R140" s="14">
        <v>7</v>
      </c>
      <c r="S140" s="14">
        <v>10</v>
      </c>
      <c r="T140" s="14"/>
      <c r="U140" s="14" t="s">
        <v>2848</v>
      </c>
      <c r="V140" s="14" t="s">
        <v>2857</v>
      </c>
      <c r="W140" s="14" t="s">
        <v>2858</v>
      </c>
      <c r="X140" s="17">
        <v>0</v>
      </c>
      <c r="Y140" s="15" t="s">
        <v>2875</v>
      </c>
      <c r="Z140" s="18" t="s">
        <v>2929</v>
      </c>
      <c r="AA140" s="22" t="s">
        <v>2931</v>
      </c>
      <c r="AB140" s="16"/>
      <c r="AC140" s="16"/>
      <c r="AD140" s="16"/>
      <c r="AE140" s="16" t="s">
        <v>2932</v>
      </c>
      <c r="AF140" s="16"/>
      <c r="AI140" s="3" t="str">
        <f t="shared" ca="1" si="2"/>
        <v>OK</v>
      </c>
    </row>
    <row r="141" spans="1:35" x14ac:dyDescent="0.3">
      <c r="A141" s="13">
        <v>46032</v>
      </c>
      <c r="B141" s="14" t="s">
        <v>2806</v>
      </c>
      <c r="C141" s="16"/>
      <c r="D141" s="16"/>
      <c r="E141" s="15" t="s">
        <v>862</v>
      </c>
      <c r="F141" s="15" t="s">
        <v>1251</v>
      </c>
      <c r="G141" s="15" t="s">
        <v>189</v>
      </c>
      <c r="H141" s="15"/>
      <c r="I141" s="15" t="s">
        <v>1547</v>
      </c>
      <c r="J141" s="15" t="s">
        <v>1548</v>
      </c>
      <c r="K141" s="16"/>
      <c r="L141" s="14" t="s">
        <v>2807</v>
      </c>
      <c r="M141" s="16"/>
      <c r="N141" s="15" t="s">
        <v>950</v>
      </c>
      <c r="O141" s="14">
        <v>140000</v>
      </c>
      <c r="P141" s="14" t="s">
        <v>2846</v>
      </c>
      <c r="Q141" s="14" cm="1">
        <f t="array" ref="Q141">_xlfn.IFS(P141="USD",O141,P141="VND",O141/26090,P141="JPY",O141/161)</f>
        <v>5.3660406285933311</v>
      </c>
      <c r="R141" s="14">
        <v>7</v>
      </c>
      <c r="S141" s="14">
        <v>10</v>
      </c>
      <c r="T141" s="14"/>
      <c r="U141" s="14" t="s">
        <v>2848</v>
      </c>
      <c r="V141" s="14" t="s">
        <v>2857</v>
      </c>
      <c r="W141" s="14" t="s">
        <v>2858</v>
      </c>
      <c r="X141" s="17">
        <v>0</v>
      </c>
      <c r="Y141" s="15" t="s">
        <v>2875</v>
      </c>
      <c r="Z141" s="18" t="s">
        <v>2929</v>
      </c>
      <c r="AA141" s="22" t="s">
        <v>2931</v>
      </c>
      <c r="AB141" s="16"/>
      <c r="AC141" s="16"/>
      <c r="AD141" s="16"/>
      <c r="AE141" s="16" t="s">
        <v>2932</v>
      </c>
      <c r="AF141" s="16"/>
      <c r="AI141" s="3" t="str">
        <f t="shared" ca="1" si="2"/>
        <v>OK</v>
      </c>
    </row>
    <row r="142" spans="1:35" x14ac:dyDescent="0.3">
      <c r="A142" s="13">
        <v>46032</v>
      </c>
      <c r="B142" s="14" t="s">
        <v>2806</v>
      </c>
      <c r="C142" s="16"/>
      <c r="D142" s="16"/>
      <c r="E142" s="15" t="s">
        <v>862</v>
      </c>
      <c r="F142" s="15" t="s">
        <v>1251</v>
      </c>
      <c r="G142" s="15" t="s">
        <v>190</v>
      </c>
      <c r="H142" s="15"/>
      <c r="I142" s="15" t="s">
        <v>1549</v>
      </c>
      <c r="J142" s="15" t="s">
        <v>1550</v>
      </c>
      <c r="K142" s="16"/>
      <c r="L142" s="14" t="s">
        <v>2807</v>
      </c>
      <c r="M142" s="16"/>
      <c r="N142" s="15" t="s">
        <v>950</v>
      </c>
      <c r="O142" s="14">
        <v>140000</v>
      </c>
      <c r="P142" s="14" t="s">
        <v>2846</v>
      </c>
      <c r="Q142" s="14" cm="1">
        <f t="array" ref="Q142">_xlfn.IFS(P142="USD",O142,P142="VND",O142/26090,P142="JPY",O142/161)</f>
        <v>5.3660406285933311</v>
      </c>
      <c r="R142" s="14">
        <v>7</v>
      </c>
      <c r="S142" s="14">
        <v>10</v>
      </c>
      <c r="T142" s="14"/>
      <c r="U142" s="14" t="s">
        <v>2848</v>
      </c>
      <c r="V142" s="14" t="s">
        <v>2857</v>
      </c>
      <c r="W142" s="14" t="s">
        <v>2858</v>
      </c>
      <c r="X142" s="17">
        <v>0</v>
      </c>
      <c r="Y142" s="15" t="s">
        <v>2875</v>
      </c>
      <c r="Z142" s="18" t="s">
        <v>2929</v>
      </c>
      <c r="AA142" s="22" t="s">
        <v>2931</v>
      </c>
      <c r="AB142" s="16"/>
      <c r="AC142" s="16"/>
      <c r="AD142" s="16"/>
      <c r="AE142" s="16" t="s">
        <v>2932</v>
      </c>
      <c r="AF142" s="16"/>
      <c r="AI142" s="3" t="str">
        <f t="shared" ca="1" si="2"/>
        <v>OK</v>
      </c>
    </row>
    <row r="143" spans="1:35" x14ac:dyDescent="0.3">
      <c r="A143" s="13">
        <v>46032</v>
      </c>
      <c r="B143" s="14" t="s">
        <v>2806</v>
      </c>
      <c r="C143" s="16"/>
      <c r="D143" s="16"/>
      <c r="E143" s="15" t="s">
        <v>862</v>
      </c>
      <c r="F143" s="15" t="s">
        <v>1251</v>
      </c>
      <c r="G143" s="15" t="s">
        <v>191</v>
      </c>
      <c r="H143" s="15"/>
      <c r="I143" s="15" t="s">
        <v>1551</v>
      </c>
      <c r="J143" s="15" t="s">
        <v>1552</v>
      </c>
      <c r="K143" s="16"/>
      <c r="L143" s="14" t="s">
        <v>2807</v>
      </c>
      <c r="M143" s="16"/>
      <c r="N143" s="15" t="s">
        <v>950</v>
      </c>
      <c r="O143" s="14">
        <v>174000</v>
      </c>
      <c r="P143" s="14" t="s">
        <v>2846</v>
      </c>
      <c r="Q143" s="14" cm="1">
        <f t="array" ref="Q143">_xlfn.IFS(P143="USD",O143,P143="VND",O143/26090,P143="JPY",O143/161)</f>
        <v>6.6692219241088537</v>
      </c>
      <c r="R143" s="14">
        <v>7</v>
      </c>
      <c r="S143" s="14">
        <v>10</v>
      </c>
      <c r="T143" s="14"/>
      <c r="U143" s="14" t="s">
        <v>2848</v>
      </c>
      <c r="V143" s="14" t="s">
        <v>2857</v>
      </c>
      <c r="W143" s="14" t="s">
        <v>2858</v>
      </c>
      <c r="X143" s="17">
        <v>0</v>
      </c>
      <c r="Y143" s="15" t="s">
        <v>2875</v>
      </c>
      <c r="Z143" s="18" t="s">
        <v>2929</v>
      </c>
      <c r="AA143" s="22" t="s">
        <v>2931</v>
      </c>
      <c r="AB143" s="16"/>
      <c r="AC143" s="16"/>
      <c r="AD143" s="16"/>
      <c r="AE143" s="16" t="s">
        <v>2932</v>
      </c>
      <c r="AF143" s="16"/>
      <c r="AI143" s="3" t="str">
        <f t="shared" ca="1" si="2"/>
        <v>OK</v>
      </c>
    </row>
    <row r="144" spans="1:35" x14ac:dyDescent="0.3">
      <c r="A144" s="13">
        <v>46032</v>
      </c>
      <c r="B144" s="14" t="s">
        <v>2806</v>
      </c>
      <c r="C144" s="16"/>
      <c r="D144" s="16"/>
      <c r="E144" s="15" t="s">
        <v>862</v>
      </c>
      <c r="F144" s="15" t="s">
        <v>1251</v>
      </c>
      <c r="G144" s="15" t="s">
        <v>192</v>
      </c>
      <c r="H144" s="15"/>
      <c r="I144" s="15" t="s">
        <v>1553</v>
      </c>
      <c r="J144" s="15" t="s">
        <v>1554</v>
      </c>
      <c r="K144" s="16"/>
      <c r="L144" s="14" t="s">
        <v>2807</v>
      </c>
      <c r="M144" s="16"/>
      <c r="N144" s="15" t="s">
        <v>950</v>
      </c>
      <c r="O144" s="14">
        <v>174000</v>
      </c>
      <c r="P144" s="14" t="s">
        <v>2846</v>
      </c>
      <c r="Q144" s="14" cm="1">
        <f t="array" ref="Q144">_xlfn.IFS(P144="USD",O144,P144="VND",O144/26090,P144="JPY",O144/161)</f>
        <v>6.6692219241088537</v>
      </c>
      <c r="R144" s="14">
        <v>7</v>
      </c>
      <c r="S144" s="14">
        <v>10</v>
      </c>
      <c r="T144" s="14"/>
      <c r="U144" s="14" t="s">
        <v>2848</v>
      </c>
      <c r="V144" s="14" t="s">
        <v>2857</v>
      </c>
      <c r="W144" s="14" t="s">
        <v>2858</v>
      </c>
      <c r="X144" s="17">
        <v>0</v>
      </c>
      <c r="Y144" s="15" t="s">
        <v>2875</v>
      </c>
      <c r="Z144" s="18" t="s">
        <v>2929</v>
      </c>
      <c r="AA144" s="22" t="s">
        <v>2931</v>
      </c>
      <c r="AB144" s="16"/>
      <c r="AC144" s="16"/>
      <c r="AD144" s="16"/>
      <c r="AE144" s="16" t="s">
        <v>2932</v>
      </c>
      <c r="AF144" s="16"/>
      <c r="AI144" s="3" t="str">
        <f t="shared" ca="1" si="2"/>
        <v>OK</v>
      </c>
    </row>
    <row r="145" spans="1:35" x14ac:dyDescent="0.3">
      <c r="A145" s="13">
        <v>46032</v>
      </c>
      <c r="B145" s="14" t="s">
        <v>2806</v>
      </c>
      <c r="C145" s="16"/>
      <c r="D145" s="16"/>
      <c r="E145" s="15" t="s">
        <v>862</v>
      </c>
      <c r="F145" s="15" t="s">
        <v>1251</v>
      </c>
      <c r="G145" s="15" t="s">
        <v>193</v>
      </c>
      <c r="H145" s="15"/>
      <c r="I145" s="15" t="s">
        <v>1555</v>
      </c>
      <c r="J145" s="15" t="s">
        <v>1556</v>
      </c>
      <c r="K145" s="16"/>
      <c r="L145" s="14" t="s">
        <v>2807</v>
      </c>
      <c r="M145" s="16"/>
      <c r="N145" s="15" t="s">
        <v>950</v>
      </c>
      <c r="O145" s="14">
        <v>160000</v>
      </c>
      <c r="P145" s="14" t="s">
        <v>2846</v>
      </c>
      <c r="Q145" s="14" cm="1">
        <f t="array" ref="Q145">_xlfn.IFS(P145="USD",O145,P145="VND",O145/26090,P145="JPY",O145/161)</f>
        <v>6.1326178612495212</v>
      </c>
      <c r="R145" s="14">
        <v>7</v>
      </c>
      <c r="S145" s="14">
        <v>10</v>
      </c>
      <c r="T145" s="14"/>
      <c r="U145" s="14" t="s">
        <v>2848</v>
      </c>
      <c r="V145" s="14" t="s">
        <v>2857</v>
      </c>
      <c r="W145" s="14" t="s">
        <v>2858</v>
      </c>
      <c r="X145" s="17">
        <v>0</v>
      </c>
      <c r="Y145" s="15" t="s">
        <v>2875</v>
      </c>
      <c r="Z145" s="18" t="s">
        <v>2929</v>
      </c>
      <c r="AA145" s="22" t="s">
        <v>2931</v>
      </c>
      <c r="AB145" s="16"/>
      <c r="AC145" s="16"/>
      <c r="AD145" s="16"/>
      <c r="AE145" s="16" t="s">
        <v>2932</v>
      </c>
      <c r="AF145" s="16"/>
      <c r="AI145" s="3" t="str">
        <f t="shared" ca="1" si="2"/>
        <v>OK</v>
      </c>
    </row>
    <row r="146" spans="1:35" hidden="1" x14ac:dyDescent="0.3">
      <c r="A146" s="13">
        <v>46032</v>
      </c>
      <c r="B146" s="14" t="s">
        <v>2806</v>
      </c>
      <c r="C146" s="16"/>
      <c r="D146" s="16"/>
      <c r="E146" s="15" t="s">
        <v>872</v>
      </c>
      <c r="F146" s="15" t="s">
        <v>1258</v>
      </c>
      <c r="G146" s="15" t="s">
        <v>194</v>
      </c>
      <c r="H146" s="15"/>
      <c r="I146" s="15" t="s">
        <v>1557</v>
      </c>
      <c r="J146" s="15" t="s">
        <v>1558</v>
      </c>
      <c r="K146" s="16"/>
      <c r="L146" s="14" t="s">
        <v>2823</v>
      </c>
      <c r="M146" s="16"/>
      <c r="N146" s="15" t="s">
        <v>943</v>
      </c>
      <c r="O146" s="14">
        <v>0.93</v>
      </c>
      <c r="P146" s="14" t="s">
        <v>2845</v>
      </c>
      <c r="Q146" s="14" cm="1">
        <f t="array" ref="Q146">_xlfn.IFS(P146="USD",O146,P146="VND",O146/26090,P146="JPY",O146/161)</f>
        <v>0.93</v>
      </c>
      <c r="R146" s="14">
        <v>56</v>
      </c>
      <c r="S146" s="14">
        <v>1</v>
      </c>
      <c r="T146" s="14"/>
      <c r="U146" s="14" t="s">
        <v>2849</v>
      </c>
      <c r="V146" s="14" t="s">
        <v>2857</v>
      </c>
      <c r="W146" s="14" t="s">
        <v>2858</v>
      </c>
      <c r="X146" s="17">
        <v>0</v>
      </c>
      <c r="Y146" s="15" t="s">
        <v>2887</v>
      </c>
      <c r="Z146" s="18" t="s">
        <v>2930</v>
      </c>
      <c r="AA146" s="18"/>
      <c r="AB146" s="16"/>
      <c r="AC146" s="16"/>
      <c r="AD146" s="16"/>
      <c r="AE146" s="16" t="s">
        <v>2952</v>
      </c>
      <c r="AF146" s="16"/>
      <c r="AI146" s="3" t="str">
        <f t="shared" ca="1" si="2"/>
        <v>OK</v>
      </c>
    </row>
    <row r="147" spans="1:35" hidden="1" x14ac:dyDescent="0.3">
      <c r="A147" s="13">
        <v>46032</v>
      </c>
      <c r="B147" s="14" t="s">
        <v>2806</v>
      </c>
      <c r="C147" s="16"/>
      <c r="D147" s="16"/>
      <c r="E147" s="15" t="s">
        <v>872</v>
      </c>
      <c r="F147" s="15" t="s">
        <v>1258</v>
      </c>
      <c r="G147" s="15" t="s">
        <v>195</v>
      </c>
      <c r="H147" s="15"/>
      <c r="I147" s="15" t="s">
        <v>1559</v>
      </c>
      <c r="J147" s="15" t="s">
        <v>1560</v>
      </c>
      <c r="K147" s="16"/>
      <c r="L147" s="14" t="s">
        <v>2823</v>
      </c>
      <c r="M147" s="16"/>
      <c r="N147" s="15" t="s">
        <v>943</v>
      </c>
      <c r="O147" s="14">
        <v>0.95</v>
      </c>
      <c r="P147" s="14" t="s">
        <v>2845</v>
      </c>
      <c r="Q147" s="14" cm="1">
        <f t="array" ref="Q147">_xlfn.IFS(P147="USD",O147,P147="VND",O147/26090,P147="JPY",O147/161)</f>
        <v>0.95</v>
      </c>
      <c r="R147" s="14">
        <v>56</v>
      </c>
      <c r="S147" s="14">
        <v>1</v>
      </c>
      <c r="T147" s="14"/>
      <c r="U147" s="14" t="s">
        <v>2849</v>
      </c>
      <c r="V147" s="14" t="s">
        <v>2857</v>
      </c>
      <c r="W147" s="14" t="s">
        <v>2858</v>
      </c>
      <c r="X147" s="17">
        <v>0</v>
      </c>
      <c r="Y147" s="15" t="s">
        <v>2887</v>
      </c>
      <c r="Z147" s="18" t="s">
        <v>2930</v>
      </c>
      <c r="AA147" s="18"/>
      <c r="AB147" s="16"/>
      <c r="AC147" s="16"/>
      <c r="AD147" s="16"/>
      <c r="AE147" s="16" t="s">
        <v>2952</v>
      </c>
      <c r="AF147" s="16"/>
      <c r="AI147" s="3" t="str">
        <f t="shared" ca="1" si="2"/>
        <v>OK</v>
      </c>
    </row>
    <row r="148" spans="1:35" hidden="1" x14ac:dyDescent="0.3">
      <c r="A148" s="13">
        <v>46032</v>
      </c>
      <c r="B148" s="14" t="s">
        <v>2806</v>
      </c>
      <c r="C148" s="16"/>
      <c r="D148" s="16"/>
      <c r="E148" s="15" t="s">
        <v>872</v>
      </c>
      <c r="F148" s="15" t="s">
        <v>1258</v>
      </c>
      <c r="G148" s="15" t="s">
        <v>196</v>
      </c>
      <c r="H148" s="15"/>
      <c r="I148" s="15" t="s">
        <v>1561</v>
      </c>
      <c r="J148" s="15" t="s">
        <v>1562</v>
      </c>
      <c r="K148" s="16"/>
      <c r="L148" s="14" t="s">
        <v>2823</v>
      </c>
      <c r="M148" s="16"/>
      <c r="N148" s="15" t="s">
        <v>943</v>
      </c>
      <c r="O148" s="14">
        <v>0.93</v>
      </c>
      <c r="P148" s="14" t="s">
        <v>2845</v>
      </c>
      <c r="Q148" s="14" cm="1">
        <f t="array" ref="Q148">_xlfn.IFS(P148="USD",O148,P148="VND",O148/26090,P148="JPY",O148/161)</f>
        <v>0.93</v>
      </c>
      <c r="R148" s="14">
        <v>56</v>
      </c>
      <c r="S148" s="14">
        <v>1</v>
      </c>
      <c r="T148" s="14"/>
      <c r="U148" s="14" t="s">
        <v>2849</v>
      </c>
      <c r="V148" s="14" t="s">
        <v>2857</v>
      </c>
      <c r="W148" s="14" t="s">
        <v>2858</v>
      </c>
      <c r="X148" s="17">
        <v>0</v>
      </c>
      <c r="Y148" s="15" t="s">
        <v>2887</v>
      </c>
      <c r="Z148" s="18" t="s">
        <v>2930</v>
      </c>
      <c r="AA148" s="18"/>
      <c r="AB148" s="16"/>
      <c r="AC148" s="16"/>
      <c r="AD148" s="16"/>
      <c r="AE148" s="16" t="s">
        <v>2952</v>
      </c>
      <c r="AF148" s="16"/>
      <c r="AI148" s="3" t="str">
        <f t="shared" ca="1" si="2"/>
        <v>OK</v>
      </c>
    </row>
    <row r="149" spans="1:35" x14ac:dyDescent="0.3">
      <c r="A149" s="13">
        <v>46032</v>
      </c>
      <c r="B149" s="14" t="s">
        <v>2806</v>
      </c>
      <c r="C149" s="16"/>
      <c r="D149" s="16"/>
      <c r="E149" s="15" t="s">
        <v>862</v>
      </c>
      <c r="F149" s="15" t="s">
        <v>1251</v>
      </c>
      <c r="G149" s="15" t="s">
        <v>197</v>
      </c>
      <c r="H149" s="15"/>
      <c r="I149" s="15" t="s">
        <v>1563</v>
      </c>
      <c r="J149" s="15" t="s">
        <v>1564</v>
      </c>
      <c r="K149" s="16"/>
      <c r="L149" s="14" t="s">
        <v>2815</v>
      </c>
      <c r="M149" s="16"/>
      <c r="N149" s="15" t="s">
        <v>969</v>
      </c>
      <c r="O149" s="14">
        <v>43500</v>
      </c>
      <c r="P149" s="14" t="s">
        <v>2846</v>
      </c>
      <c r="Q149" s="14" cm="1">
        <f t="array" ref="Q149">_xlfn.IFS(P149="USD",O149,P149="VND",O149/26090,P149="JPY",O149/161)</f>
        <v>1.6673054810272134</v>
      </c>
      <c r="R149" s="14">
        <v>7</v>
      </c>
      <c r="S149" s="14">
        <v>1000</v>
      </c>
      <c r="T149" s="14"/>
      <c r="U149" s="14" t="s">
        <v>2848</v>
      </c>
      <c r="V149" s="14" t="s">
        <v>2857</v>
      </c>
      <c r="W149" s="14" t="s">
        <v>2858</v>
      </c>
      <c r="X149" s="17">
        <v>0</v>
      </c>
      <c r="Y149" s="15" t="s">
        <v>2875</v>
      </c>
      <c r="Z149" s="18" t="s">
        <v>2929</v>
      </c>
      <c r="AA149" s="22" t="s">
        <v>2931</v>
      </c>
      <c r="AB149" s="16"/>
      <c r="AC149" s="16"/>
      <c r="AD149" s="16"/>
      <c r="AE149" s="16" t="s">
        <v>2932</v>
      </c>
      <c r="AF149" s="16"/>
      <c r="AI149" s="3" t="str">
        <f t="shared" ca="1" si="2"/>
        <v>OK</v>
      </c>
    </row>
    <row r="150" spans="1:35" x14ac:dyDescent="0.3">
      <c r="A150" s="13">
        <v>46032</v>
      </c>
      <c r="B150" s="14" t="s">
        <v>2806</v>
      </c>
      <c r="C150" s="16"/>
      <c r="D150" s="16"/>
      <c r="E150" s="15" t="s">
        <v>862</v>
      </c>
      <c r="F150" s="15" t="s">
        <v>1251</v>
      </c>
      <c r="G150" s="15" t="s">
        <v>198</v>
      </c>
      <c r="H150" s="15"/>
      <c r="I150" s="15" t="s">
        <v>1565</v>
      </c>
      <c r="J150" s="15" t="s">
        <v>1566</v>
      </c>
      <c r="K150" s="16"/>
      <c r="L150" s="14" t="s">
        <v>2807</v>
      </c>
      <c r="M150" s="16"/>
      <c r="N150" s="15" t="s">
        <v>950</v>
      </c>
      <c r="O150" s="14">
        <v>140000</v>
      </c>
      <c r="P150" s="14" t="s">
        <v>2846</v>
      </c>
      <c r="Q150" s="14" cm="1">
        <f t="array" ref="Q150">_xlfn.IFS(P150="USD",O150,P150="VND",O150/26090,P150="JPY",O150/161)</f>
        <v>5.3660406285933311</v>
      </c>
      <c r="R150" s="14">
        <v>7</v>
      </c>
      <c r="S150" s="14">
        <v>10</v>
      </c>
      <c r="T150" s="14"/>
      <c r="U150" s="14" t="s">
        <v>2848</v>
      </c>
      <c r="V150" s="14" t="s">
        <v>2857</v>
      </c>
      <c r="W150" s="14" t="s">
        <v>2858</v>
      </c>
      <c r="X150" s="17">
        <v>0</v>
      </c>
      <c r="Y150" s="15" t="s">
        <v>2875</v>
      </c>
      <c r="Z150" s="18" t="s">
        <v>2929</v>
      </c>
      <c r="AA150" s="22" t="s">
        <v>2931</v>
      </c>
      <c r="AB150" s="16"/>
      <c r="AC150" s="16"/>
      <c r="AD150" s="16"/>
      <c r="AE150" s="16" t="s">
        <v>2932</v>
      </c>
      <c r="AF150" s="16"/>
      <c r="AI150" s="3" t="str">
        <f t="shared" ca="1" si="2"/>
        <v>OK</v>
      </c>
    </row>
    <row r="151" spans="1:35" hidden="1" x14ac:dyDescent="0.3">
      <c r="A151" s="13">
        <v>46032</v>
      </c>
      <c r="B151" s="14" t="s">
        <v>2806</v>
      </c>
      <c r="C151" s="16"/>
      <c r="D151" s="16"/>
      <c r="E151" s="15" t="s">
        <v>857</v>
      </c>
      <c r="F151" s="15" t="s">
        <v>912</v>
      </c>
      <c r="G151" s="15" t="s">
        <v>199</v>
      </c>
      <c r="H151" s="15"/>
      <c r="I151" s="15" t="s">
        <v>1567</v>
      </c>
      <c r="J151" s="15" t="s">
        <v>1568</v>
      </c>
      <c r="K151" s="16"/>
      <c r="L151" s="14" t="s">
        <v>2815</v>
      </c>
      <c r="M151" s="16"/>
      <c r="N151" s="15" t="s">
        <v>970</v>
      </c>
      <c r="O151" s="14">
        <v>31.8</v>
      </c>
      <c r="P151" s="14" t="s">
        <v>2845</v>
      </c>
      <c r="Q151" s="14" cm="1">
        <f t="array" ref="Q151">_xlfn.IFS(P151="USD",O151,P151="VND",O151/26090,P151="JPY",O151/161)</f>
        <v>31.8</v>
      </c>
      <c r="R151" s="14">
        <v>35</v>
      </c>
      <c r="S151" s="14">
        <v>1</v>
      </c>
      <c r="T151" s="14"/>
      <c r="U151" s="14" t="s">
        <v>2848</v>
      </c>
      <c r="V151" s="14" t="s">
        <v>2857</v>
      </c>
      <c r="W151" s="14" t="s">
        <v>2858</v>
      </c>
      <c r="X151" s="17">
        <v>0</v>
      </c>
      <c r="Y151" s="15" t="s">
        <v>2875</v>
      </c>
      <c r="Z151" s="20">
        <v>46243</v>
      </c>
      <c r="AA151" s="20">
        <v>46608</v>
      </c>
      <c r="AB151" s="16"/>
      <c r="AC151" s="16"/>
      <c r="AD151" s="16"/>
      <c r="AE151" s="16" t="s">
        <v>2957</v>
      </c>
      <c r="AF151" s="16"/>
      <c r="AI151" s="3" t="str">
        <f t="shared" ca="1" si="2"/>
        <v>OK</v>
      </c>
    </row>
    <row r="152" spans="1:35" hidden="1" x14ac:dyDescent="0.3">
      <c r="A152" s="13">
        <v>46032</v>
      </c>
      <c r="B152" s="14" t="s">
        <v>2806</v>
      </c>
      <c r="C152" s="16"/>
      <c r="D152" s="16"/>
      <c r="E152" s="15" t="s">
        <v>850</v>
      </c>
      <c r="F152" s="15" t="s">
        <v>915</v>
      </c>
      <c r="G152" s="15" t="s">
        <v>200</v>
      </c>
      <c r="H152" s="15"/>
      <c r="I152" s="15" t="s">
        <v>1569</v>
      </c>
      <c r="J152" s="15" t="s">
        <v>1570</v>
      </c>
      <c r="K152" s="16"/>
      <c r="L152" s="14" t="s">
        <v>2815</v>
      </c>
      <c r="M152" s="16"/>
      <c r="N152" s="15" t="s">
        <v>971</v>
      </c>
      <c r="O152" s="14">
        <v>7.73</v>
      </c>
      <c r="P152" s="14" t="s">
        <v>2845</v>
      </c>
      <c r="Q152" s="14" cm="1">
        <f t="array" ref="Q152">_xlfn.IFS(P152="USD",O152,P152="VND",O152/26090,P152="JPY",O152/161)</f>
        <v>7.73</v>
      </c>
      <c r="R152" s="14" t="s">
        <v>2907</v>
      </c>
      <c r="S152" s="14">
        <v>1</v>
      </c>
      <c r="T152" s="14"/>
      <c r="U152" s="14" t="s">
        <v>2850</v>
      </c>
      <c r="V152" s="14" t="s">
        <v>2859</v>
      </c>
      <c r="W152" s="14" t="s">
        <v>2860</v>
      </c>
      <c r="X152" s="17">
        <v>0</v>
      </c>
      <c r="Y152" s="15" t="s">
        <v>2876</v>
      </c>
      <c r="Z152" s="18"/>
      <c r="AA152" s="18"/>
      <c r="AB152" s="16"/>
      <c r="AC152" s="16"/>
      <c r="AD152" s="16"/>
      <c r="AE152" s="16"/>
      <c r="AF152" s="16"/>
      <c r="AI152" s="3" t="str">
        <f t="shared" ca="1" si="2"/>
        <v>OK</v>
      </c>
    </row>
    <row r="153" spans="1:35" hidden="1" x14ac:dyDescent="0.3">
      <c r="A153" s="13">
        <v>46032</v>
      </c>
      <c r="B153" s="14" t="s">
        <v>2806</v>
      </c>
      <c r="C153" s="16"/>
      <c r="D153" s="16"/>
      <c r="E153" s="15" t="s">
        <v>857</v>
      </c>
      <c r="F153" s="15" t="s">
        <v>912</v>
      </c>
      <c r="G153" s="15" t="s">
        <v>201</v>
      </c>
      <c r="H153" s="15"/>
      <c r="I153" s="15" t="s">
        <v>1571</v>
      </c>
      <c r="J153" s="15" t="s">
        <v>1572</v>
      </c>
      <c r="K153" s="16"/>
      <c r="L153" s="14" t="s">
        <v>2815</v>
      </c>
      <c r="M153" s="16"/>
      <c r="N153" s="15" t="s">
        <v>963</v>
      </c>
      <c r="O153" s="14">
        <v>34.5</v>
      </c>
      <c r="P153" s="14" t="s">
        <v>2845</v>
      </c>
      <c r="Q153" s="14" cm="1">
        <f t="array" ref="Q153">_xlfn.IFS(P153="USD",O153,P153="VND",O153/26090,P153="JPY",O153/161)</f>
        <v>34.5</v>
      </c>
      <c r="R153" s="14">
        <v>35</v>
      </c>
      <c r="S153" s="14">
        <v>1</v>
      </c>
      <c r="T153" s="14"/>
      <c r="U153" s="14" t="s">
        <v>2848</v>
      </c>
      <c r="V153" s="14" t="s">
        <v>2857</v>
      </c>
      <c r="W153" s="14" t="s">
        <v>2858</v>
      </c>
      <c r="X153" s="17">
        <v>0</v>
      </c>
      <c r="Y153" s="15" t="s">
        <v>2875</v>
      </c>
      <c r="Z153" s="20">
        <v>46243</v>
      </c>
      <c r="AA153" s="20">
        <v>46608</v>
      </c>
      <c r="AB153" s="16"/>
      <c r="AC153" s="16"/>
      <c r="AD153" s="16"/>
      <c r="AE153" s="16" t="s">
        <v>2957</v>
      </c>
      <c r="AF153" s="16"/>
      <c r="AI153" s="3" t="str">
        <f t="shared" ca="1" si="2"/>
        <v>OK</v>
      </c>
    </row>
    <row r="154" spans="1:35" hidden="1" x14ac:dyDescent="0.3">
      <c r="A154" s="13">
        <v>46032</v>
      </c>
      <c r="B154" s="14" t="s">
        <v>2806</v>
      </c>
      <c r="C154" s="16"/>
      <c r="D154" s="16"/>
      <c r="E154" s="15" t="s">
        <v>855</v>
      </c>
      <c r="F154" s="15" t="s">
        <v>907</v>
      </c>
      <c r="G154" s="15" t="s">
        <v>202</v>
      </c>
      <c r="H154" s="15"/>
      <c r="I154" s="15" t="s">
        <v>1573</v>
      </c>
      <c r="J154" s="15" t="s">
        <v>1574</v>
      </c>
      <c r="K154" s="16"/>
      <c r="L154" s="14" t="s">
        <v>2815</v>
      </c>
      <c r="M154" s="16"/>
      <c r="N154" s="15" t="s">
        <v>928</v>
      </c>
      <c r="O154" s="14">
        <v>12.342000000000001</v>
      </c>
      <c r="P154" s="14" t="s">
        <v>2845</v>
      </c>
      <c r="Q154" s="14" cm="1">
        <f t="array" ref="Q154">_xlfn.IFS(P154="USD",O154,P154="VND",O154/26090,P154="JPY",O154/161)</f>
        <v>12.342000000000001</v>
      </c>
      <c r="R154" s="14">
        <v>30</v>
      </c>
      <c r="S154" s="14">
        <v>20</v>
      </c>
      <c r="T154" s="14"/>
      <c r="U154" s="14" t="s">
        <v>2849</v>
      </c>
      <c r="V154" s="14" t="s">
        <v>2857</v>
      </c>
      <c r="W154" s="14" t="s">
        <v>2858</v>
      </c>
      <c r="X154" s="17">
        <v>0</v>
      </c>
      <c r="Y154" s="15" t="s">
        <v>2875</v>
      </c>
      <c r="Z154" s="20">
        <v>46029</v>
      </c>
      <c r="AA154" s="18"/>
      <c r="AB154" s="16"/>
      <c r="AC154" s="16"/>
      <c r="AD154" s="16"/>
      <c r="AE154" s="16" t="s">
        <v>3025</v>
      </c>
      <c r="AF154" s="16"/>
      <c r="AI154" s="3" t="str">
        <f t="shared" ca="1" si="2"/>
        <v>OK</v>
      </c>
    </row>
    <row r="155" spans="1:35" hidden="1" x14ac:dyDescent="0.3">
      <c r="A155" s="13">
        <v>46032</v>
      </c>
      <c r="B155" s="14" t="s">
        <v>2806</v>
      </c>
      <c r="C155" s="16"/>
      <c r="D155" s="16"/>
      <c r="E155" s="15" t="s">
        <v>857</v>
      </c>
      <c r="F155" s="15" t="s">
        <v>912</v>
      </c>
      <c r="G155" s="15" t="s">
        <v>203</v>
      </c>
      <c r="H155" s="15"/>
      <c r="I155" s="15" t="s">
        <v>1575</v>
      </c>
      <c r="J155" s="15" t="s">
        <v>1576</v>
      </c>
      <c r="K155" s="16"/>
      <c r="L155" s="14" t="s">
        <v>2815</v>
      </c>
      <c r="M155" s="16"/>
      <c r="N155" s="15" t="s">
        <v>928</v>
      </c>
      <c r="O155" s="14">
        <v>4.2</v>
      </c>
      <c r="P155" s="14" t="s">
        <v>2845</v>
      </c>
      <c r="Q155" s="14" cm="1">
        <f t="array" ref="Q155">_xlfn.IFS(P155="USD",O155,P155="VND",O155/26090,P155="JPY",O155/161)</f>
        <v>4.2</v>
      </c>
      <c r="R155" s="14">
        <v>35</v>
      </c>
      <c r="S155" s="14">
        <v>1</v>
      </c>
      <c r="T155" s="14"/>
      <c r="U155" s="14" t="s">
        <v>2848</v>
      </c>
      <c r="V155" s="14" t="s">
        <v>2857</v>
      </c>
      <c r="W155" s="14" t="s">
        <v>2858</v>
      </c>
      <c r="X155" s="17">
        <v>0</v>
      </c>
      <c r="Y155" s="15" t="s">
        <v>2875</v>
      </c>
      <c r="Z155" s="20">
        <v>46243</v>
      </c>
      <c r="AA155" s="20">
        <v>46608</v>
      </c>
      <c r="AB155" s="16"/>
      <c r="AC155" s="16"/>
      <c r="AD155" s="16"/>
      <c r="AE155" s="16" t="s">
        <v>2957</v>
      </c>
      <c r="AF155" s="16"/>
      <c r="AI155" s="3" t="str">
        <f t="shared" ca="1" si="2"/>
        <v>OK</v>
      </c>
    </row>
    <row r="156" spans="1:35" hidden="1" x14ac:dyDescent="0.3">
      <c r="A156" s="13">
        <v>46032</v>
      </c>
      <c r="B156" s="14" t="s">
        <v>2806</v>
      </c>
      <c r="C156" s="16"/>
      <c r="D156" s="16"/>
      <c r="E156" s="15" t="s">
        <v>857</v>
      </c>
      <c r="F156" s="15" t="s">
        <v>912</v>
      </c>
      <c r="G156" s="15" t="s">
        <v>204</v>
      </c>
      <c r="H156" s="15"/>
      <c r="I156" s="15" t="s">
        <v>1577</v>
      </c>
      <c r="J156" s="15" t="s">
        <v>1578</v>
      </c>
      <c r="K156" s="16"/>
      <c r="L156" s="14" t="s">
        <v>2824</v>
      </c>
      <c r="M156" s="16"/>
      <c r="N156" s="15" t="s">
        <v>972</v>
      </c>
      <c r="O156" s="14">
        <v>1.7</v>
      </c>
      <c r="P156" s="14" t="s">
        <v>2845</v>
      </c>
      <c r="Q156" s="14" cm="1">
        <f t="array" ref="Q156">_xlfn.IFS(P156="USD",O156,P156="VND",O156/26090,P156="JPY",O156/161)</f>
        <v>1.7</v>
      </c>
      <c r="R156" s="14">
        <v>35</v>
      </c>
      <c r="S156" s="14">
        <v>1</v>
      </c>
      <c r="T156" s="14"/>
      <c r="U156" s="14" t="s">
        <v>2848</v>
      </c>
      <c r="V156" s="14" t="s">
        <v>2857</v>
      </c>
      <c r="W156" s="14" t="s">
        <v>2858</v>
      </c>
      <c r="X156" s="17">
        <v>0</v>
      </c>
      <c r="Y156" s="15" t="s">
        <v>2875</v>
      </c>
      <c r="Z156" s="20">
        <v>46243</v>
      </c>
      <c r="AA156" s="20">
        <v>46608</v>
      </c>
      <c r="AB156" s="16"/>
      <c r="AC156" s="16"/>
      <c r="AD156" s="16"/>
      <c r="AE156" s="16" t="s">
        <v>2957</v>
      </c>
      <c r="AF156" s="16"/>
      <c r="AI156" s="3" t="str">
        <f t="shared" ca="1" si="2"/>
        <v>OK</v>
      </c>
    </row>
    <row r="157" spans="1:35" hidden="1" x14ac:dyDescent="0.3">
      <c r="A157" s="13">
        <v>46032</v>
      </c>
      <c r="B157" s="14" t="s">
        <v>2806</v>
      </c>
      <c r="C157" s="16"/>
      <c r="D157" s="16"/>
      <c r="E157" s="15" t="s">
        <v>873</v>
      </c>
      <c r="F157" s="15" t="s">
        <v>1259</v>
      </c>
      <c r="G157" s="15" t="s">
        <v>205</v>
      </c>
      <c r="H157" s="15"/>
      <c r="I157" s="15" t="s">
        <v>1579</v>
      </c>
      <c r="J157" s="15" t="s">
        <v>1580</v>
      </c>
      <c r="K157" s="16"/>
      <c r="L157" s="14" t="s">
        <v>2814</v>
      </c>
      <c r="M157" s="16"/>
      <c r="N157" s="15" t="s">
        <v>973</v>
      </c>
      <c r="O157" s="14">
        <v>83.24</v>
      </c>
      <c r="P157" s="14" t="s">
        <v>2845</v>
      </c>
      <c r="Q157" s="14" cm="1">
        <f t="array" ref="Q157">_xlfn.IFS(P157="USD",O157,P157="VND",O157/26090,P157="JPY",O157/161)</f>
        <v>83.24</v>
      </c>
      <c r="R157" s="14">
        <v>60</v>
      </c>
      <c r="S157" s="14">
        <v>100</v>
      </c>
      <c r="T157" s="14"/>
      <c r="U157" s="14" t="s">
        <v>2855</v>
      </c>
      <c r="V157" s="14" t="s">
        <v>2859</v>
      </c>
      <c r="W157" s="14" t="s">
        <v>2856</v>
      </c>
      <c r="X157" s="17">
        <v>0</v>
      </c>
      <c r="Y157" s="15" t="s">
        <v>2888</v>
      </c>
      <c r="Z157" s="20">
        <v>46032</v>
      </c>
      <c r="AA157" s="20" t="s">
        <v>2965</v>
      </c>
      <c r="AB157" s="16"/>
      <c r="AC157" s="16"/>
      <c r="AD157" s="16"/>
      <c r="AE157" s="16" t="s">
        <v>2966</v>
      </c>
      <c r="AF157" s="16"/>
      <c r="AI157" s="3" t="str">
        <f t="shared" ca="1" si="2"/>
        <v>OK</v>
      </c>
    </row>
    <row r="158" spans="1:35" x14ac:dyDescent="0.3">
      <c r="A158" s="13">
        <v>46032</v>
      </c>
      <c r="B158" s="14" t="s">
        <v>2806</v>
      </c>
      <c r="C158" s="16"/>
      <c r="D158" s="16"/>
      <c r="E158" s="15" t="s">
        <v>862</v>
      </c>
      <c r="F158" s="15" t="s">
        <v>1251</v>
      </c>
      <c r="G158" s="15" t="s">
        <v>206</v>
      </c>
      <c r="H158" s="15"/>
      <c r="I158" s="15" t="s">
        <v>1581</v>
      </c>
      <c r="J158" s="15" t="s">
        <v>1582</v>
      </c>
      <c r="K158" s="16"/>
      <c r="L158" s="14" t="s">
        <v>2808</v>
      </c>
      <c r="M158" s="16"/>
      <c r="N158" s="15" t="s">
        <v>974</v>
      </c>
      <c r="O158" s="14">
        <v>49000</v>
      </c>
      <c r="P158" s="14" t="s">
        <v>2846</v>
      </c>
      <c r="Q158" s="14" cm="1">
        <f t="array" ref="Q158">_xlfn.IFS(P158="USD",O158,P158="VND",O158/26090,P158="JPY",O158/161)</f>
        <v>1.8781142200076657</v>
      </c>
      <c r="R158" s="14">
        <v>25</v>
      </c>
      <c r="S158" s="14">
        <v>600</v>
      </c>
      <c r="T158" s="14"/>
      <c r="U158" s="14" t="s">
        <v>2848</v>
      </c>
      <c r="V158" s="14" t="s">
        <v>2857</v>
      </c>
      <c r="W158" s="14" t="s">
        <v>2858</v>
      </c>
      <c r="X158" s="17">
        <v>0</v>
      </c>
      <c r="Y158" s="15" t="s">
        <v>2875</v>
      </c>
      <c r="Z158" s="18" t="s">
        <v>2929</v>
      </c>
      <c r="AA158" s="22" t="s">
        <v>2931</v>
      </c>
      <c r="AB158" s="16"/>
      <c r="AC158" s="16"/>
      <c r="AD158" s="16"/>
      <c r="AE158" s="16" t="s">
        <v>2932</v>
      </c>
      <c r="AF158" s="16"/>
      <c r="AI158" s="3" t="str">
        <f t="shared" ca="1" si="2"/>
        <v>OK</v>
      </c>
    </row>
    <row r="159" spans="1:35" hidden="1" x14ac:dyDescent="0.3">
      <c r="A159" s="13">
        <v>46032</v>
      </c>
      <c r="B159" s="14" t="s">
        <v>2806</v>
      </c>
      <c r="C159" s="16"/>
      <c r="D159" s="16"/>
      <c r="E159" s="15" t="s">
        <v>872</v>
      </c>
      <c r="F159" s="15" t="s">
        <v>1258</v>
      </c>
      <c r="G159" s="15" t="s">
        <v>207</v>
      </c>
      <c r="H159" s="15"/>
      <c r="I159" s="15" t="s">
        <v>1583</v>
      </c>
      <c r="J159" s="15" t="s">
        <v>1584</v>
      </c>
      <c r="K159" s="16"/>
      <c r="L159" s="14" t="s">
        <v>2815</v>
      </c>
      <c r="M159" s="16"/>
      <c r="N159" s="15" t="s">
        <v>975</v>
      </c>
      <c r="O159" s="14">
        <v>25.67</v>
      </c>
      <c r="P159" s="14" t="s">
        <v>2845</v>
      </c>
      <c r="Q159" s="14" cm="1">
        <f t="array" ref="Q159">_xlfn.IFS(P159="USD",O159,P159="VND",O159/26090,P159="JPY",O159/161)</f>
        <v>25.67</v>
      </c>
      <c r="R159" s="14">
        <v>45</v>
      </c>
      <c r="S159" s="14">
        <v>50</v>
      </c>
      <c r="T159" s="14"/>
      <c r="U159" s="14" t="s">
        <v>2849</v>
      </c>
      <c r="V159" s="14" t="s">
        <v>2857</v>
      </c>
      <c r="W159" s="14" t="s">
        <v>2858</v>
      </c>
      <c r="X159" s="17">
        <v>0</v>
      </c>
      <c r="Y159" s="15" t="s">
        <v>2887</v>
      </c>
      <c r="Z159" s="18" t="s">
        <v>2930</v>
      </c>
      <c r="AA159" s="18"/>
      <c r="AB159" s="16"/>
      <c r="AC159" s="16"/>
      <c r="AD159" s="16"/>
      <c r="AE159" s="16" t="s">
        <v>2952</v>
      </c>
      <c r="AF159" s="16"/>
      <c r="AI159" s="3" t="str">
        <f t="shared" ca="1" si="2"/>
        <v>OK</v>
      </c>
    </row>
    <row r="160" spans="1:35" hidden="1" x14ac:dyDescent="0.3">
      <c r="A160" s="13">
        <v>46032</v>
      </c>
      <c r="B160" s="14" t="s">
        <v>2806</v>
      </c>
      <c r="C160" s="16"/>
      <c r="D160" s="16"/>
      <c r="E160" s="15" t="s">
        <v>873</v>
      </c>
      <c r="F160" s="15" t="s">
        <v>1259</v>
      </c>
      <c r="G160" s="15" t="s">
        <v>208</v>
      </c>
      <c r="H160" s="15"/>
      <c r="I160" s="15" t="s">
        <v>1585</v>
      </c>
      <c r="J160" s="15" t="s">
        <v>1586</v>
      </c>
      <c r="K160" s="16"/>
      <c r="L160" s="14" t="s">
        <v>2814</v>
      </c>
      <c r="M160" s="16"/>
      <c r="N160" s="15" t="s">
        <v>959</v>
      </c>
      <c r="O160" s="14">
        <v>560.49</v>
      </c>
      <c r="P160" s="14" t="s">
        <v>2845</v>
      </c>
      <c r="Q160" s="14" cm="1">
        <f t="array" ref="Q160">_xlfn.IFS(P160="USD",O160,P160="VND",O160/26090,P160="JPY",O160/161)</f>
        <v>560.49</v>
      </c>
      <c r="R160" s="14">
        <v>60</v>
      </c>
      <c r="S160" s="14">
        <v>30</v>
      </c>
      <c r="T160" s="14"/>
      <c r="U160" s="14" t="s">
        <v>2855</v>
      </c>
      <c r="V160" s="14" t="s">
        <v>2859</v>
      </c>
      <c r="W160" s="14" t="s">
        <v>2856</v>
      </c>
      <c r="X160" s="17">
        <v>0</v>
      </c>
      <c r="Y160" s="15" t="s">
        <v>2888</v>
      </c>
      <c r="Z160" s="20">
        <v>46032</v>
      </c>
      <c r="AA160" s="20" t="s">
        <v>2965</v>
      </c>
      <c r="AB160" s="16"/>
      <c r="AC160" s="16"/>
      <c r="AD160" s="16"/>
      <c r="AE160" s="16" t="s">
        <v>2966</v>
      </c>
      <c r="AF160" s="16"/>
      <c r="AI160" s="3" t="str">
        <f t="shared" ca="1" si="2"/>
        <v>OK</v>
      </c>
    </row>
    <row r="161" spans="1:35" x14ac:dyDescent="0.3">
      <c r="A161" s="13">
        <v>46032</v>
      </c>
      <c r="B161" s="14" t="s">
        <v>2806</v>
      </c>
      <c r="C161" s="16"/>
      <c r="D161" s="16"/>
      <c r="E161" s="15" t="s">
        <v>864</v>
      </c>
      <c r="F161" s="15" t="s">
        <v>1253</v>
      </c>
      <c r="G161" s="15" t="s">
        <v>209</v>
      </c>
      <c r="H161" s="15"/>
      <c r="I161" s="15" t="s">
        <v>1587</v>
      </c>
      <c r="J161" s="15" t="s">
        <v>1588</v>
      </c>
      <c r="K161" s="16"/>
      <c r="L161" s="14" t="s">
        <v>2813</v>
      </c>
      <c r="M161" s="16"/>
      <c r="N161" s="15" t="s">
        <v>976</v>
      </c>
      <c r="O161" s="14">
        <v>26.4</v>
      </c>
      <c r="P161" s="14" t="s">
        <v>2845</v>
      </c>
      <c r="Q161" s="14" cm="1">
        <f t="array" ref="Q161">_xlfn.IFS(P161="USD",O161,P161="VND",O161/26090,P161="JPY",O161/161)</f>
        <v>26.4</v>
      </c>
      <c r="R161" s="14">
        <v>7</v>
      </c>
      <c r="S161" s="14">
        <v>50</v>
      </c>
      <c r="T161" s="14"/>
      <c r="U161" s="14" t="s">
        <v>2848</v>
      </c>
      <c r="V161" s="14" t="s">
        <v>2857</v>
      </c>
      <c r="W161" s="14" t="s">
        <v>2858</v>
      </c>
      <c r="X161" s="17">
        <v>0</v>
      </c>
      <c r="Y161" s="15" t="s">
        <v>2875</v>
      </c>
      <c r="Z161" s="18" t="s">
        <v>2927</v>
      </c>
      <c r="AA161" s="22" t="s">
        <v>2928</v>
      </c>
      <c r="AB161" s="16"/>
      <c r="AC161" s="16"/>
      <c r="AD161" s="16"/>
      <c r="AE161" s="16" t="s">
        <v>2926</v>
      </c>
      <c r="AF161" s="16"/>
      <c r="AI161" s="3" t="str">
        <f t="shared" ca="1" si="2"/>
        <v>OK</v>
      </c>
    </row>
    <row r="162" spans="1:35" hidden="1" x14ac:dyDescent="0.3">
      <c r="A162" s="13">
        <v>46032</v>
      </c>
      <c r="B162" s="14" t="s">
        <v>2806</v>
      </c>
      <c r="C162" s="16"/>
      <c r="D162" s="16"/>
      <c r="E162" s="15" t="s">
        <v>857</v>
      </c>
      <c r="F162" s="15" t="s">
        <v>912</v>
      </c>
      <c r="G162" s="15" t="s">
        <v>210</v>
      </c>
      <c r="H162" s="15"/>
      <c r="I162" s="15" t="s">
        <v>1589</v>
      </c>
      <c r="J162" s="15" t="s">
        <v>1590</v>
      </c>
      <c r="K162" s="16"/>
      <c r="L162" s="14" t="s">
        <v>2815</v>
      </c>
      <c r="M162" s="16"/>
      <c r="N162" s="15" t="s">
        <v>938</v>
      </c>
      <c r="O162" s="14">
        <v>36.6</v>
      </c>
      <c r="P162" s="14" t="s">
        <v>2845</v>
      </c>
      <c r="Q162" s="14" cm="1">
        <f t="array" ref="Q162">_xlfn.IFS(P162="USD",O162,P162="VND",O162/26090,P162="JPY",O162/161)</f>
        <v>36.6</v>
      </c>
      <c r="R162" s="14">
        <v>35</v>
      </c>
      <c r="S162" s="14">
        <v>1</v>
      </c>
      <c r="T162" s="14"/>
      <c r="U162" s="14" t="s">
        <v>2848</v>
      </c>
      <c r="V162" s="14" t="s">
        <v>2857</v>
      </c>
      <c r="W162" s="14" t="s">
        <v>2858</v>
      </c>
      <c r="X162" s="17">
        <v>0</v>
      </c>
      <c r="Y162" s="15" t="s">
        <v>2875</v>
      </c>
      <c r="Z162" s="20">
        <v>46243</v>
      </c>
      <c r="AA162" s="20">
        <v>46608</v>
      </c>
      <c r="AB162" s="16"/>
      <c r="AC162" s="16"/>
      <c r="AD162" s="16"/>
      <c r="AE162" s="16" t="s">
        <v>2957</v>
      </c>
      <c r="AF162" s="16"/>
      <c r="AI162" s="3" t="str">
        <f t="shared" ca="1" si="2"/>
        <v>OK</v>
      </c>
    </row>
    <row r="163" spans="1:35" hidden="1" x14ac:dyDescent="0.3">
      <c r="A163" s="13">
        <v>46032</v>
      </c>
      <c r="B163" s="14" t="s">
        <v>2806</v>
      </c>
      <c r="C163" s="16"/>
      <c r="D163" s="16"/>
      <c r="E163" s="15" t="s">
        <v>861</v>
      </c>
      <c r="F163" s="15" t="s">
        <v>1250</v>
      </c>
      <c r="G163" s="15" t="s">
        <v>211</v>
      </c>
      <c r="H163" s="15"/>
      <c r="I163" s="15" t="s">
        <v>1591</v>
      </c>
      <c r="J163" s="15" t="s">
        <v>1592</v>
      </c>
      <c r="K163" s="16"/>
      <c r="L163" s="14" t="s">
        <v>2817</v>
      </c>
      <c r="M163" s="16"/>
      <c r="N163" s="15" t="s">
        <v>932</v>
      </c>
      <c r="O163" s="14">
        <v>0.34</v>
      </c>
      <c r="P163" s="14" t="s">
        <v>2845</v>
      </c>
      <c r="Q163" s="14" cm="1">
        <f t="array" ref="Q163">_xlfn.IFS(P163="USD",O163,P163="VND",O163/26090,P163="JPY",O163/161)</f>
        <v>0.34</v>
      </c>
      <c r="R163" s="14">
        <v>45</v>
      </c>
      <c r="S163" s="14">
        <v>500</v>
      </c>
      <c r="T163" s="14"/>
      <c r="U163" s="14" t="s">
        <v>2848</v>
      </c>
      <c r="V163" s="14" t="s">
        <v>2857</v>
      </c>
      <c r="W163" s="14" t="s">
        <v>2858</v>
      </c>
      <c r="X163" s="17">
        <v>0</v>
      </c>
      <c r="Y163" s="15" t="s">
        <v>2875</v>
      </c>
      <c r="Z163" s="20">
        <v>46057</v>
      </c>
      <c r="AA163" s="18"/>
      <c r="AB163" s="16"/>
      <c r="AC163" s="16"/>
      <c r="AD163" s="16"/>
      <c r="AE163" s="16" t="s">
        <v>3004</v>
      </c>
      <c r="AF163" s="16"/>
      <c r="AI163" s="3" t="str">
        <f t="shared" ca="1" si="2"/>
        <v>OK</v>
      </c>
    </row>
    <row r="164" spans="1:35" x14ac:dyDescent="0.3">
      <c r="A164" s="13">
        <v>46032</v>
      </c>
      <c r="B164" s="14" t="s">
        <v>2806</v>
      </c>
      <c r="C164" s="16"/>
      <c r="D164" s="16"/>
      <c r="E164" s="15" t="s">
        <v>858</v>
      </c>
      <c r="F164" s="15" t="s">
        <v>1248</v>
      </c>
      <c r="G164" s="15" t="s">
        <v>212</v>
      </c>
      <c r="H164" s="15"/>
      <c r="I164" s="15" t="s">
        <v>1593</v>
      </c>
      <c r="J164" s="15" t="s">
        <v>1594</v>
      </c>
      <c r="K164" s="16"/>
      <c r="L164" s="14" t="s">
        <v>2813</v>
      </c>
      <c r="M164" s="16"/>
      <c r="N164" s="15" t="s">
        <v>966</v>
      </c>
      <c r="O164" s="14">
        <v>174</v>
      </c>
      <c r="P164" s="14" t="s">
        <v>2845</v>
      </c>
      <c r="Q164" s="14" cm="1">
        <f t="array" ref="Q164">_xlfn.IFS(P164="USD",O164,P164="VND",O164/26090,P164="JPY",O164/161)</f>
        <v>174</v>
      </c>
      <c r="R164" s="14">
        <v>180</v>
      </c>
      <c r="S164" s="14">
        <v>1</v>
      </c>
      <c r="T164" s="14"/>
      <c r="U164" s="14" t="s">
        <v>2852</v>
      </c>
      <c r="V164" s="14" t="s">
        <v>2864</v>
      </c>
      <c r="W164" s="14" t="s">
        <v>2860</v>
      </c>
      <c r="X164" s="17">
        <v>0</v>
      </c>
      <c r="Y164" s="15" t="s">
        <v>2880</v>
      </c>
      <c r="Z164" s="20">
        <v>46029</v>
      </c>
      <c r="AA164" s="23">
        <v>46030</v>
      </c>
      <c r="AB164" s="16"/>
      <c r="AC164" s="16"/>
      <c r="AD164" s="16"/>
      <c r="AE164" s="16" t="s">
        <v>3051</v>
      </c>
      <c r="AF164" s="16"/>
      <c r="AI164" s="3" t="str">
        <f t="shared" ca="1" si="2"/>
        <v>NG</v>
      </c>
    </row>
    <row r="165" spans="1:35" x14ac:dyDescent="0.3">
      <c r="A165" s="13">
        <v>46032</v>
      </c>
      <c r="B165" s="14" t="s">
        <v>2806</v>
      </c>
      <c r="C165" s="16"/>
      <c r="D165" s="16"/>
      <c r="E165" s="15" t="s">
        <v>858</v>
      </c>
      <c r="F165" s="15" t="s">
        <v>1248</v>
      </c>
      <c r="G165" s="15" t="s">
        <v>213</v>
      </c>
      <c r="H165" s="15"/>
      <c r="I165" s="15" t="s">
        <v>1595</v>
      </c>
      <c r="J165" s="15" t="s">
        <v>1596</v>
      </c>
      <c r="K165" s="16"/>
      <c r="L165" s="14" t="s">
        <v>2813</v>
      </c>
      <c r="M165" s="16"/>
      <c r="N165" s="15" t="s">
        <v>921</v>
      </c>
      <c r="O165" s="14">
        <v>71.599999999999994</v>
      </c>
      <c r="P165" s="14" t="s">
        <v>2845</v>
      </c>
      <c r="Q165" s="14" cm="1">
        <f t="array" ref="Q165">_xlfn.IFS(P165="USD",O165,P165="VND",O165/26090,P165="JPY",O165/161)</f>
        <v>71.599999999999994</v>
      </c>
      <c r="R165" s="14">
        <v>60</v>
      </c>
      <c r="S165" s="14">
        <v>1</v>
      </c>
      <c r="T165" s="14"/>
      <c r="U165" s="14" t="s">
        <v>2852</v>
      </c>
      <c r="V165" s="14" t="s">
        <v>2864</v>
      </c>
      <c r="W165" s="14" t="s">
        <v>2860</v>
      </c>
      <c r="X165" s="17">
        <v>0</v>
      </c>
      <c r="Y165" s="15" t="s">
        <v>2880</v>
      </c>
      <c r="Z165" s="20">
        <v>46029</v>
      </c>
      <c r="AA165" s="23">
        <v>46030</v>
      </c>
      <c r="AB165" s="16"/>
      <c r="AC165" s="16"/>
      <c r="AD165" s="16"/>
      <c r="AE165" s="16" t="s">
        <v>3051</v>
      </c>
      <c r="AF165" s="16"/>
      <c r="AI165" s="3" t="str">
        <f t="shared" ca="1" si="2"/>
        <v>NG</v>
      </c>
    </row>
    <row r="166" spans="1:35" hidden="1" x14ac:dyDescent="0.3">
      <c r="A166" s="13">
        <v>46032</v>
      </c>
      <c r="B166" s="14" t="s">
        <v>2806</v>
      </c>
      <c r="C166" s="16"/>
      <c r="D166" s="16"/>
      <c r="E166" s="15" t="s">
        <v>866</v>
      </c>
      <c r="F166" s="15" t="s">
        <v>1254</v>
      </c>
      <c r="G166" s="15" t="s">
        <v>214</v>
      </c>
      <c r="H166" s="15"/>
      <c r="I166" s="15" t="s">
        <v>1597</v>
      </c>
      <c r="J166" s="15" t="s">
        <v>1598</v>
      </c>
      <c r="K166" s="16"/>
      <c r="L166" s="14" t="s">
        <v>2814</v>
      </c>
      <c r="M166" s="16"/>
      <c r="N166" s="15" t="s">
        <v>942</v>
      </c>
      <c r="O166" s="14">
        <v>99.49</v>
      </c>
      <c r="P166" s="14" t="s">
        <v>2845</v>
      </c>
      <c r="Q166" s="14" cm="1">
        <f t="array" ref="Q166">_xlfn.IFS(P166="USD",O166,P166="VND",O166/26090,P166="JPY",O166/161)</f>
        <v>99.49</v>
      </c>
      <c r="R166" s="14">
        <v>30</v>
      </c>
      <c r="S166" s="14">
        <v>100200</v>
      </c>
      <c r="T166" s="14"/>
      <c r="U166" s="14" t="s">
        <v>2849</v>
      </c>
      <c r="V166" s="14" t="s">
        <v>2857</v>
      </c>
      <c r="W166" s="14" t="s">
        <v>2858</v>
      </c>
      <c r="X166" s="17">
        <v>0</v>
      </c>
      <c r="Y166" s="15" t="s">
        <v>2882</v>
      </c>
      <c r="Z166" s="20">
        <v>46032</v>
      </c>
      <c r="AA166" s="18"/>
      <c r="AB166" s="16"/>
      <c r="AC166" s="16"/>
      <c r="AD166" s="16"/>
      <c r="AE166" s="16" t="s">
        <v>2922</v>
      </c>
      <c r="AF166" s="16"/>
      <c r="AI166" s="3" t="str">
        <f t="shared" ca="1" si="2"/>
        <v>OK</v>
      </c>
    </row>
    <row r="167" spans="1:35" hidden="1" x14ac:dyDescent="0.3">
      <c r="A167" s="13">
        <v>46032</v>
      </c>
      <c r="B167" s="14" t="s">
        <v>2806</v>
      </c>
      <c r="C167" s="16"/>
      <c r="D167" s="16"/>
      <c r="E167" s="15" t="s">
        <v>857</v>
      </c>
      <c r="F167" s="15" t="s">
        <v>912</v>
      </c>
      <c r="G167" s="15" t="s">
        <v>215</v>
      </c>
      <c r="H167" s="15"/>
      <c r="I167" s="15" t="s">
        <v>1599</v>
      </c>
      <c r="J167" s="15" t="s">
        <v>1600</v>
      </c>
      <c r="K167" s="16"/>
      <c r="L167" s="14" t="s">
        <v>2815</v>
      </c>
      <c r="M167" s="16"/>
      <c r="N167" s="15" t="s">
        <v>954</v>
      </c>
      <c r="O167" s="14">
        <v>9.6</v>
      </c>
      <c r="P167" s="14" t="s">
        <v>2845</v>
      </c>
      <c r="Q167" s="14" cm="1">
        <f t="array" ref="Q167">_xlfn.IFS(P167="USD",O167,P167="VND",O167/26090,P167="JPY",O167/161)</f>
        <v>9.6</v>
      </c>
      <c r="R167" s="14">
        <v>35</v>
      </c>
      <c r="S167" s="14">
        <v>1</v>
      </c>
      <c r="T167" s="14"/>
      <c r="U167" s="14" t="s">
        <v>2848</v>
      </c>
      <c r="V167" s="14" t="s">
        <v>2857</v>
      </c>
      <c r="W167" s="14" t="s">
        <v>2858</v>
      </c>
      <c r="X167" s="17">
        <v>0</v>
      </c>
      <c r="Y167" s="15" t="s">
        <v>2875</v>
      </c>
      <c r="Z167" s="20">
        <v>46243</v>
      </c>
      <c r="AA167" s="20">
        <v>46608</v>
      </c>
      <c r="AB167" s="16"/>
      <c r="AC167" s="16"/>
      <c r="AD167" s="16"/>
      <c r="AE167" s="16" t="s">
        <v>2957</v>
      </c>
      <c r="AF167" s="16"/>
      <c r="AI167" s="3" t="str">
        <f t="shared" ca="1" si="2"/>
        <v>OK</v>
      </c>
    </row>
    <row r="168" spans="1:35" hidden="1" x14ac:dyDescent="0.3">
      <c r="A168" s="13">
        <v>46032</v>
      </c>
      <c r="B168" s="14" t="s">
        <v>2806</v>
      </c>
      <c r="C168" s="16"/>
      <c r="D168" s="16"/>
      <c r="E168" s="15" t="s">
        <v>857</v>
      </c>
      <c r="F168" s="15" t="s">
        <v>912</v>
      </c>
      <c r="G168" s="15" t="s">
        <v>216</v>
      </c>
      <c r="H168" s="15"/>
      <c r="I168" s="15" t="s">
        <v>1601</v>
      </c>
      <c r="J168" s="15" t="s">
        <v>1602</v>
      </c>
      <c r="K168" s="16"/>
      <c r="L168" s="14" t="s">
        <v>2815</v>
      </c>
      <c r="M168" s="16"/>
      <c r="N168" s="15" t="s">
        <v>954</v>
      </c>
      <c r="O168" s="14">
        <v>201</v>
      </c>
      <c r="P168" s="14" t="s">
        <v>2845</v>
      </c>
      <c r="Q168" s="14" cm="1">
        <f t="array" ref="Q168">_xlfn.IFS(P168="USD",O168,P168="VND",O168/26090,P168="JPY",O168/161)</f>
        <v>201</v>
      </c>
      <c r="R168" s="14">
        <v>35</v>
      </c>
      <c r="S168" s="14">
        <v>1</v>
      </c>
      <c r="T168" s="14"/>
      <c r="U168" s="14" t="s">
        <v>2848</v>
      </c>
      <c r="V168" s="14" t="s">
        <v>2857</v>
      </c>
      <c r="W168" s="14" t="s">
        <v>2858</v>
      </c>
      <c r="X168" s="17">
        <v>0</v>
      </c>
      <c r="Y168" s="15" t="s">
        <v>2875</v>
      </c>
      <c r="Z168" s="20">
        <v>46243</v>
      </c>
      <c r="AA168" s="20">
        <v>46608</v>
      </c>
      <c r="AB168" s="16"/>
      <c r="AC168" s="16"/>
      <c r="AD168" s="16"/>
      <c r="AE168" s="16" t="s">
        <v>2957</v>
      </c>
      <c r="AF168" s="16"/>
      <c r="AI168" s="3" t="str">
        <f t="shared" ca="1" si="2"/>
        <v>OK</v>
      </c>
    </row>
    <row r="169" spans="1:35" hidden="1" x14ac:dyDescent="0.3">
      <c r="A169" s="13">
        <v>46032</v>
      </c>
      <c r="B169" s="14" t="s">
        <v>2806</v>
      </c>
      <c r="C169" s="16"/>
      <c r="D169" s="16"/>
      <c r="E169" s="15" t="s">
        <v>850</v>
      </c>
      <c r="F169" s="15" t="s">
        <v>915</v>
      </c>
      <c r="G169" s="15" t="s">
        <v>217</v>
      </c>
      <c r="H169" s="15"/>
      <c r="I169" s="15" t="s">
        <v>1603</v>
      </c>
      <c r="J169" s="15" t="s">
        <v>1604</v>
      </c>
      <c r="K169" s="16"/>
      <c r="L169" s="14" t="s">
        <v>2815</v>
      </c>
      <c r="M169" s="16"/>
      <c r="N169" s="15" t="s">
        <v>971</v>
      </c>
      <c r="O169" s="14">
        <v>13.42</v>
      </c>
      <c r="P169" s="14" t="s">
        <v>2845</v>
      </c>
      <c r="Q169" s="14" cm="1">
        <f t="array" ref="Q169">_xlfn.IFS(P169="USD",O169,P169="VND",O169/26090,P169="JPY",O169/161)</f>
        <v>13.42</v>
      </c>
      <c r="R169" s="14">
        <v>60</v>
      </c>
      <c r="S169" s="14">
        <v>1</v>
      </c>
      <c r="T169" s="14"/>
      <c r="U169" s="14" t="s">
        <v>2850</v>
      </c>
      <c r="V169" s="14" t="s">
        <v>2859</v>
      </c>
      <c r="W169" s="14" t="s">
        <v>2860</v>
      </c>
      <c r="X169" s="17">
        <v>0</v>
      </c>
      <c r="Y169" s="15" t="s">
        <v>2876</v>
      </c>
      <c r="Z169" s="18"/>
      <c r="AA169" s="18"/>
      <c r="AB169" s="16"/>
      <c r="AC169" s="16"/>
      <c r="AD169" s="16"/>
      <c r="AE169" s="16"/>
      <c r="AF169" s="16"/>
      <c r="AI169" s="3" t="str">
        <f t="shared" ca="1" si="2"/>
        <v>OK</v>
      </c>
    </row>
    <row r="170" spans="1:35" hidden="1" x14ac:dyDescent="0.3">
      <c r="A170" s="13">
        <v>46032</v>
      </c>
      <c r="B170" s="14" t="s">
        <v>2806</v>
      </c>
      <c r="C170" s="16"/>
      <c r="D170" s="16"/>
      <c r="E170" s="15" t="s">
        <v>857</v>
      </c>
      <c r="F170" s="15" t="s">
        <v>912</v>
      </c>
      <c r="G170" s="15" t="s">
        <v>218</v>
      </c>
      <c r="H170" s="15"/>
      <c r="I170" s="15" t="s">
        <v>1605</v>
      </c>
      <c r="J170" s="15" t="s">
        <v>1606</v>
      </c>
      <c r="K170" s="16"/>
      <c r="L170" s="14" t="s">
        <v>2815</v>
      </c>
      <c r="M170" s="16"/>
      <c r="N170" s="15" t="s">
        <v>977</v>
      </c>
      <c r="O170" s="14">
        <v>16.399999999999999</v>
      </c>
      <c r="P170" s="14" t="s">
        <v>2845</v>
      </c>
      <c r="Q170" s="14" cm="1">
        <f t="array" ref="Q170">_xlfn.IFS(P170="USD",O170,P170="VND",O170/26090,P170="JPY",O170/161)</f>
        <v>16.399999999999999</v>
      </c>
      <c r="R170" s="14">
        <v>35</v>
      </c>
      <c r="S170" s="14">
        <v>1</v>
      </c>
      <c r="T170" s="14"/>
      <c r="U170" s="14" t="s">
        <v>2848</v>
      </c>
      <c r="V170" s="14" t="s">
        <v>2857</v>
      </c>
      <c r="W170" s="14" t="s">
        <v>2858</v>
      </c>
      <c r="X170" s="17">
        <v>0</v>
      </c>
      <c r="Y170" s="15" t="s">
        <v>2875</v>
      </c>
      <c r="Z170" s="20">
        <v>46243</v>
      </c>
      <c r="AA170" s="20">
        <v>46608</v>
      </c>
      <c r="AB170" s="16"/>
      <c r="AC170" s="16"/>
      <c r="AD170" s="16"/>
      <c r="AE170" s="16" t="s">
        <v>2957</v>
      </c>
      <c r="AF170" s="16"/>
      <c r="AI170" s="3" t="str">
        <f t="shared" ca="1" si="2"/>
        <v>OK</v>
      </c>
    </row>
    <row r="171" spans="1:35" hidden="1" x14ac:dyDescent="0.3">
      <c r="A171" s="13">
        <v>46032</v>
      </c>
      <c r="B171" s="14" t="s">
        <v>2806</v>
      </c>
      <c r="C171" s="16"/>
      <c r="D171" s="16"/>
      <c r="E171" s="15" t="s">
        <v>872</v>
      </c>
      <c r="F171" s="15" t="s">
        <v>1258</v>
      </c>
      <c r="G171" s="15" t="s">
        <v>219</v>
      </c>
      <c r="H171" s="15"/>
      <c r="I171" s="15" t="s">
        <v>1607</v>
      </c>
      <c r="J171" s="15" t="s">
        <v>1608</v>
      </c>
      <c r="K171" s="16"/>
      <c r="L171" s="14" t="s">
        <v>2815</v>
      </c>
      <c r="M171" s="16"/>
      <c r="N171" s="15" t="s">
        <v>961</v>
      </c>
      <c r="O171" s="14">
        <v>7.65</v>
      </c>
      <c r="P171" s="14" t="s">
        <v>2845</v>
      </c>
      <c r="Q171" s="14" cm="1">
        <f t="array" ref="Q171">_xlfn.IFS(P171="USD",O171,P171="VND",O171/26090,P171="JPY",O171/161)</f>
        <v>7.65</v>
      </c>
      <c r="R171" s="14">
        <v>14</v>
      </c>
      <c r="S171" s="14">
        <v>1</v>
      </c>
      <c r="T171" s="14"/>
      <c r="U171" s="14" t="s">
        <v>2849</v>
      </c>
      <c r="V171" s="14" t="s">
        <v>2857</v>
      </c>
      <c r="W171" s="14" t="s">
        <v>2858</v>
      </c>
      <c r="X171" s="17">
        <v>0</v>
      </c>
      <c r="Y171" s="15" t="s">
        <v>2887</v>
      </c>
      <c r="Z171" s="18" t="s">
        <v>2930</v>
      </c>
      <c r="AA171" s="18"/>
      <c r="AB171" s="16"/>
      <c r="AC171" s="16"/>
      <c r="AD171" s="16"/>
      <c r="AE171" s="16" t="s">
        <v>2952</v>
      </c>
      <c r="AF171" s="16"/>
      <c r="AI171" s="3" t="str">
        <f t="shared" ca="1" si="2"/>
        <v>OK</v>
      </c>
    </row>
    <row r="172" spans="1:35" hidden="1" x14ac:dyDescent="0.3">
      <c r="A172" s="13">
        <v>46032</v>
      </c>
      <c r="B172" s="14" t="s">
        <v>2806</v>
      </c>
      <c r="C172" s="16"/>
      <c r="D172" s="16"/>
      <c r="E172" s="15" t="s">
        <v>857</v>
      </c>
      <c r="F172" s="15" t="s">
        <v>912</v>
      </c>
      <c r="G172" s="15" t="s">
        <v>220</v>
      </c>
      <c r="H172" s="15"/>
      <c r="I172" s="15" t="s">
        <v>1609</v>
      </c>
      <c r="J172" s="15" t="s">
        <v>1610</v>
      </c>
      <c r="K172" s="16"/>
      <c r="L172" s="14" t="s">
        <v>2825</v>
      </c>
      <c r="M172" s="16"/>
      <c r="N172" s="15" t="s">
        <v>978</v>
      </c>
      <c r="O172" s="14">
        <v>0.98</v>
      </c>
      <c r="P172" s="14" t="s">
        <v>2845</v>
      </c>
      <c r="Q172" s="14" cm="1">
        <f t="array" ref="Q172">_xlfn.IFS(P172="USD",O172,P172="VND",O172/26090,P172="JPY",O172/161)</f>
        <v>0.98</v>
      </c>
      <c r="R172" s="14">
        <v>35</v>
      </c>
      <c r="S172" s="14">
        <v>1</v>
      </c>
      <c r="T172" s="14"/>
      <c r="U172" s="14" t="s">
        <v>2848</v>
      </c>
      <c r="V172" s="14" t="s">
        <v>2857</v>
      </c>
      <c r="W172" s="14" t="s">
        <v>2858</v>
      </c>
      <c r="X172" s="17">
        <v>0</v>
      </c>
      <c r="Y172" s="15" t="s">
        <v>2875</v>
      </c>
      <c r="Z172" s="20">
        <v>46243</v>
      </c>
      <c r="AA172" s="20">
        <v>46608</v>
      </c>
      <c r="AB172" s="16"/>
      <c r="AC172" s="16"/>
      <c r="AD172" s="16"/>
      <c r="AE172" s="16" t="s">
        <v>2957</v>
      </c>
      <c r="AF172" s="16"/>
      <c r="AI172" s="3" t="str">
        <f t="shared" ca="1" si="2"/>
        <v>OK</v>
      </c>
    </row>
    <row r="173" spans="1:35" x14ac:dyDescent="0.3">
      <c r="A173" s="13">
        <v>46032</v>
      </c>
      <c r="B173" s="14" t="s">
        <v>2806</v>
      </c>
      <c r="C173" s="16"/>
      <c r="D173" s="16"/>
      <c r="E173" s="15" t="s">
        <v>858</v>
      </c>
      <c r="F173" s="15" t="s">
        <v>1248</v>
      </c>
      <c r="G173" s="15" t="s">
        <v>221</v>
      </c>
      <c r="H173" s="15"/>
      <c r="I173" s="15" t="s">
        <v>1611</v>
      </c>
      <c r="J173" s="15" t="s">
        <v>1612</v>
      </c>
      <c r="K173" s="16"/>
      <c r="L173" s="14" t="s">
        <v>2822</v>
      </c>
      <c r="M173" s="16"/>
      <c r="N173" s="15" t="s">
        <v>929</v>
      </c>
      <c r="O173" s="14">
        <v>162.62</v>
      </c>
      <c r="P173" s="14" t="s">
        <v>2845</v>
      </c>
      <c r="Q173" s="14" cm="1">
        <f t="array" ref="Q173">_xlfn.IFS(P173="USD",O173,P173="VND",O173/26090,P173="JPY",O173/161)</f>
        <v>162.62</v>
      </c>
      <c r="R173" s="14" t="s">
        <v>2908</v>
      </c>
      <c r="S173" s="14">
        <v>1</v>
      </c>
      <c r="T173" s="14"/>
      <c r="U173" s="14" t="s">
        <v>2852</v>
      </c>
      <c r="V173" s="14" t="s">
        <v>2864</v>
      </c>
      <c r="W173" s="14" t="s">
        <v>2860</v>
      </c>
      <c r="X173" s="17">
        <v>0</v>
      </c>
      <c r="Y173" s="15" t="s">
        <v>2880</v>
      </c>
      <c r="Z173" s="20">
        <v>46029</v>
      </c>
      <c r="AA173" s="23">
        <v>46030</v>
      </c>
      <c r="AB173" s="16"/>
      <c r="AC173" s="16"/>
      <c r="AD173" s="16"/>
      <c r="AE173" s="16" t="s">
        <v>3051</v>
      </c>
      <c r="AF173" s="16"/>
      <c r="AI173" s="3" t="str">
        <f t="shared" ca="1" si="2"/>
        <v>NG</v>
      </c>
    </row>
    <row r="174" spans="1:35" x14ac:dyDescent="0.3">
      <c r="A174" s="13">
        <v>46032</v>
      </c>
      <c r="B174" s="14" t="s">
        <v>2806</v>
      </c>
      <c r="C174" s="16"/>
      <c r="D174" s="16"/>
      <c r="E174" s="15" t="s">
        <v>876</v>
      </c>
      <c r="F174" s="15" t="s">
        <v>1262</v>
      </c>
      <c r="G174" s="15" t="s">
        <v>222</v>
      </c>
      <c r="H174" s="15"/>
      <c r="I174" s="15" t="s">
        <v>1613</v>
      </c>
      <c r="J174" s="15" t="s">
        <v>1614</v>
      </c>
      <c r="K174" s="16"/>
      <c r="L174" s="14" t="s">
        <v>2815</v>
      </c>
      <c r="M174" s="16"/>
      <c r="N174" s="15" t="s">
        <v>979</v>
      </c>
      <c r="O174" s="14">
        <v>1836118</v>
      </c>
      <c r="P174" s="14" t="s">
        <v>2846</v>
      </c>
      <c r="Q174" s="14" cm="1">
        <f t="array" ref="Q174">_xlfn.IFS(P174="USD",O174,P174="VND",O174/26090,P174="JPY",O174/161)</f>
        <v>70.376312763510924</v>
      </c>
      <c r="R174" s="14">
        <v>20</v>
      </c>
      <c r="S174" s="14">
        <v>10</v>
      </c>
      <c r="T174" s="14"/>
      <c r="U174" s="14" t="s">
        <v>2848</v>
      </c>
      <c r="V174" s="14" t="s">
        <v>2857</v>
      </c>
      <c r="W174" s="14" t="s">
        <v>2858</v>
      </c>
      <c r="X174" s="17">
        <v>0</v>
      </c>
      <c r="Y174" s="15" t="s">
        <v>2875</v>
      </c>
      <c r="Z174" s="18" t="s">
        <v>2944</v>
      </c>
      <c r="AA174" s="22" t="s">
        <v>2949</v>
      </c>
      <c r="AB174" s="16"/>
      <c r="AC174" s="16"/>
      <c r="AD174" s="16"/>
      <c r="AE174" s="16" t="s">
        <v>2950</v>
      </c>
      <c r="AF174" s="16"/>
      <c r="AI174" s="3" t="str">
        <f t="shared" ca="1" si="2"/>
        <v>OK</v>
      </c>
    </row>
    <row r="175" spans="1:35" hidden="1" x14ac:dyDescent="0.3">
      <c r="A175" s="13">
        <v>46032</v>
      </c>
      <c r="B175" s="14" t="s">
        <v>2806</v>
      </c>
      <c r="C175" s="16"/>
      <c r="D175" s="16"/>
      <c r="E175" s="15" t="s">
        <v>877</v>
      </c>
      <c r="F175" s="15" t="s">
        <v>1263</v>
      </c>
      <c r="G175" s="15" t="s">
        <v>223</v>
      </c>
      <c r="H175" s="15"/>
      <c r="I175" s="15" t="s">
        <v>1615</v>
      </c>
      <c r="J175" s="15" t="s">
        <v>1616</v>
      </c>
      <c r="K175" s="16"/>
      <c r="L175" s="14" t="s">
        <v>2813</v>
      </c>
      <c r="M175" s="16"/>
      <c r="N175" s="15" t="s">
        <v>980</v>
      </c>
      <c r="O175" s="14">
        <v>139.62</v>
      </c>
      <c r="P175" s="14" t="s">
        <v>2845</v>
      </c>
      <c r="Q175" s="14" cm="1">
        <f t="array" ref="Q175">_xlfn.IFS(P175="USD",O175,P175="VND",O175/26090,P175="JPY",O175/161)</f>
        <v>139.62</v>
      </c>
      <c r="R175" s="14">
        <v>84</v>
      </c>
      <c r="S175" s="14">
        <v>50</v>
      </c>
      <c r="T175" s="14"/>
      <c r="U175" s="14" t="s">
        <v>2854</v>
      </c>
      <c r="V175" s="14" t="s">
        <v>2865</v>
      </c>
      <c r="W175" s="14" t="s">
        <v>2856</v>
      </c>
      <c r="X175" s="17">
        <v>0</v>
      </c>
      <c r="Y175" s="15" t="s">
        <v>2892</v>
      </c>
      <c r="Z175" s="20">
        <v>46029</v>
      </c>
      <c r="AA175" s="18" t="s">
        <v>3018</v>
      </c>
      <c r="AB175" s="16"/>
      <c r="AC175" s="16"/>
      <c r="AD175" s="16"/>
      <c r="AE175" s="16" t="s">
        <v>3019</v>
      </c>
      <c r="AF175" s="16"/>
      <c r="AI175" s="3" t="str">
        <f t="shared" ca="1" si="2"/>
        <v>OK</v>
      </c>
    </row>
    <row r="176" spans="1:35" x14ac:dyDescent="0.3">
      <c r="A176" s="13">
        <v>46032</v>
      </c>
      <c r="B176" s="14" t="s">
        <v>2806</v>
      </c>
      <c r="C176" s="16"/>
      <c r="D176" s="16"/>
      <c r="E176" s="15" t="s">
        <v>858</v>
      </c>
      <c r="F176" s="15" t="s">
        <v>1248</v>
      </c>
      <c r="G176" s="15" t="s">
        <v>224</v>
      </c>
      <c r="H176" s="15"/>
      <c r="I176" s="15" t="s">
        <v>1617</v>
      </c>
      <c r="J176" s="15" t="s">
        <v>1618</v>
      </c>
      <c r="K176" s="16"/>
      <c r="L176" s="14" t="s">
        <v>2808</v>
      </c>
      <c r="M176" s="16"/>
      <c r="N176" s="15" t="s">
        <v>965</v>
      </c>
      <c r="O176" s="14">
        <v>48.2</v>
      </c>
      <c r="P176" s="14" t="s">
        <v>2845</v>
      </c>
      <c r="Q176" s="14" cm="1">
        <f t="array" ref="Q176">_xlfn.IFS(P176="USD",O176,P176="VND",O176/26090,P176="JPY",O176/161)</f>
        <v>48.2</v>
      </c>
      <c r="R176" s="14">
        <v>30</v>
      </c>
      <c r="S176" s="14">
        <v>1</v>
      </c>
      <c r="T176" s="14"/>
      <c r="U176" s="14" t="s">
        <v>2852</v>
      </c>
      <c r="V176" s="14" t="s">
        <v>2864</v>
      </c>
      <c r="W176" s="14" t="s">
        <v>2860</v>
      </c>
      <c r="X176" s="17">
        <v>0</v>
      </c>
      <c r="Y176" s="15" t="s">
        <v>2880</v>
      </c>
      <c r="Z176" s="20">
        <v>46029</v>
      </c>
      <c r="AA176" s="23">
        <v>46030</v>
      </c>
      <c r="AB176" s="16"/>
      <c r="AC176" s="16"/>
      <c r="AD176" s="16"/>
      <c r="AE176" s="16" t="s">
        <v>3051</v>
      </c>
      <c r="AF176" s="16"/>
      <c r="AI176" s="3" t="str">
        <f t="shared" ca="1" si="2"/>
        <v>NG</v>
      </c>
    </row>
    <row r="177" spans="1:35" hidden="1" x14ac:dyDescent="0.3">
      <c r="A177" s="13">
        <v>46032</v>
      </c>
      <c r="B177" s="14" t="s">
        <v>2806</v>
      </c>
      <c r="C177" s="16"/>
      <c r="D177" s="16"/>
      <c r="E177" s="15" t="s">
        <v>857</v>
      </c>
      <c r="F177" s="15" t="s">
        <v>912</v>
      </c>
      <c r="G177" s="15" t="s">
        <v>225</v>
      </c>
      <c r="H177" s="15"/>
      <c r="I177" s="15" t="s">
        <v>1619</v>
      </c>
      <c r="J177" s="15" t="s">
        <v>1620</v>
      </c>
      <c r="K177" s="16"/>
      <c r="L177" s="14" t="s">
        <v>2815</v>
      </c>
      <c r="M177" s="16"/>
      <c r="N177" s="15" t="s">
        <v>981</v>
      </c>
      <c r="O177" s="14">
        <v>18.329999999999998</v>
      </c>
      <c r="P177" s="14" t="s">
        <v>2845</v>
      </c>
      <c r="Q177" s="14" cm="1">
        <f t="array" ref="Q177">_xlfn.IFS(P177="USD",O177,P177="VND",O177/26090,P177="JPY",O177/161)</f>
        <v>18.329999999999998</v>
      </c>
      <c r="R177" s="14">
        <v>35</v>
      </c>
      <c r="S177" s="14">
        <v>1</v>
      </c>
      <c r="T177" s="14"/>
      <c r="U177" s="14" t="s">
        <v>2848</v>
      </c>
      <c r="V177" s="14" t="s">
        <v>2857</v>
      </c>
      <c r="W177" s="14" t="s">
        <v>2858</v>
      </c>
      <c r="X177" s="17">
        <v>0</v>
      </c>
      <c r="Y177" s="15" t="s">
        <v>2875</v>
      </c>
      <c r="Z177" s="20">
        <v>46243</v>
      </c>
      <c r="AA177" s="20">
        <v>46608</v>
      </c>
      <c r="AB177" s="16"/>
      <c r="AC177" s="16"/>
      <c r="AD177" s="16"/>
      <c r="AE177" s="16" t="s">
        <v>2957</v>
      </c>
      <c r="AF177" s="16"/>
      <c r="AI177" s="3" t="str">
        <f t="shared" ca="1" si="2"/>
        <v>OK</v>
      </c>
    </row>
    <row r="178" spans="1:35" hidden="1" x14ac:dyDescent="0.3">
      <c r="A178" s="13">
        <v>46032</v>
      </c>
      <c r="B178" s="14" t="s">
        <v>2806</v>
      </c>
      <c r="C178" s="16"/>
      <c r="D178" s="16"/>
      <c r="E178" s="15" t="s">
        <v>857</v>
      </c>
      <c r="F178" s="15" t="s">
        <v>912</v>
      </c>
      <c r="G178" s="15" t="s">
        <v>226</v>
      </c>
      <c r="H178" s="15"/>
      <c r="I178" s="15" t="s">
        <v>1621</v>
      </c>
      <c r="J178" s="15" t="s">
        <v>1622</v>
      </c>
      <c r="K178" s="16"/>
      <c r="L178" s="14" t="s">
        <v>2826</v>
      </c>
      <c r="M178" s="16"/>
      <c r="N178" s="15" t="s">
        <v>982</v>
      </c>
      <c r="O178" s="14">
        <v>12</v>
      </c>
      <c r="P178" s="14" t="s">
        <v>2845</v>
      </c>
      <c r="Q178" s="14" cm="1">
        <f t="array" ref="Q178">_xlfn.IFS(P178="USD",O178,P178="VND",O178/26090,P178="JPY",O178/161)</f>
        <v>12</v>
      </c>
      <c r="R178" s="14">
        <v>35</v>
      </c>
      <c r="S178" s="14">
        <v>1</v>
      </c>
      <c r="T178" s="14"/>
      <c r="U178" s="14" t="s">
        <v>2848</v>
      </c>
      <c r="V178" s="14" t="s">
        <v>2857</v>
      </c>
      <c r="W178" s="14" t="s">
        <v>2858</v>
      </c>
      <c r="X178" s="17">
        <v>0</v>
      </c>
      <c r="Y178" s="15" t="s">
        <v>2875</v>
      </c>
      <c r="Z178" s="20">
        <v>46243</v>
      </c>
      <c r="AA178" s="20">
        <v>46608</v>
      </c>
      <c r="AB178" s="16"/>
      <c r="AC178" s="16"/>
      <c r="AD178" s="16"/>
      <c r="AE178" s="16" t="s">
        <v>2957</v>
      </c>
      <c r="AF178" s="16"/>
      <c r="AI178" s="3" t="str">
        <f t="shared" ca="1" si="2"/>
        <v>OK</v>
      </c>
    </row>
    <row r="179" spans="1:35" hidden="1" x14ac:dyDescent="0.3">
      <c r="A179" s="13">
        <v>46032</v>
      </c>
      <c r="B179" s="14" t="s">
        <v>2806</v>
      </c>
      <c r="C179" s="16"/>
      <c r="D179" s="16"/>
      <c r="E179" s="15" t="s">
        <v>873</v>
      </c>
      <c r="F179" s="15" t="s">
        <v>1259</v>
      </c>
      <c r="G179" s="15" t="s">
        <v>227</v>
      </c>
      <c r="H179" s="15"/>
      <c r="I179" s="15" t="s">
        <v>1623</v>
      </c>
      <c r="J179" s="15" t="s">
        <v>1624</v>
      </c>
      <c r="K179" s="16"/>
      <c r="L179" s="14" t="s">
        <v>2812</v>
      </c>
      <c r="M179" s="16"/>
      <c r="N179" s="15" t="s">
        <v>983</v>
      </c>
      <c r="O179" s="14">
        <v>550</v>
      </c>
      <c r="P179" s="14" t="s">
        <v>2845</v>
      </c>
      <c r="Q179" s="14" cm="1">
        <f t="array" ref="Q179">_xlfn.IFS(P179="USD",O179,P179="VND",O179/26090,P179="JPY",O179/161)</f>
        <v>550</v>
      </c>
      <c r="R179" s="14">
        <v>60</v>
      </c>
      <c r="S179" s="14">
        <v>3</v>
      </c>
      <c r="T179" s="14"/>
      <c r="U179" s="14" t="s">
        <v>2854</v>
      </c>
      <c r="V179" s="14" t="s">
        <v>2866</v>
      </c>
      <c r="W179" s="14" t="s">
        <v>2856</v>
      </c>
      <c r="X179" s="17">
        <v>0</v>
      </c>
      <c r="Y179" s="15" t="s">
        <v>2888</v>
      </c>
      <c r="Z179" s="20">
        <v>46032</v>
      </c>
      <c r="AA179" s="20" t="s">
        <v>2965</v>
      </c>
      <c r="AB179" s="16"/>
      <c r="AC179" s="16"/>
      <c r="AD179" s="16"/>
      <c r="AE179" s="16" t="s">
        <v>2967</v>
      </c>
      <c r="AF179" s="16"/>
      <c r="AI179" s="3" t="str">
        <f t="shared" ca="1" si="2"/>
        <v>OK</v>
      </c>
    </row>
    <row r="180" spans="1:35" hidden="1" x14ac:dyDescent="0.3">
      <c r="A180" s="13">
        <v>46032</v>
      </c>
      <c r="B180" s="14" t="s">
        <v>2806</v>
      </c>
      <c r="C180" s="16"/>
      <c r="D180" s="16"/>
      <c r="E180" s="15" t="s">
        <v>856</v>
      </c>
      <c r="F180" s="15" t="s">
        <v>1247</v>
      </c>
      <c r="G180" s="15" t="s">
        <v>228</v>
      </c>
      <c r="H180" s="15"/>
      <c r="I180" s="15" t="s">
        <v>1625</v>
      </c>
      <c r="J180" s="15" t="s">
        <v>1626</v>
      </c>
      <c r="K180" s="16"/>
      <c r="L180" s="14" t="s">
        <v>2815</v>
      </c>
      <c r="M180" s="16"/>
      <c r="N180" s="15" t="s">
        <v>984</v>
      </c>
      <c r="O180" s="14">
        <v>10.119999999999999</v>
      </c>
      <c r="P180" s="14" t="s">
        <v>2845</v>
      </c>
      <c r="Q180" s="14" cm="1">
        <f t="array" ref="Q180">_xlfn.IFS(P180="USD",O180,P180="VND",O180/26090,P180="JPY",O180/161)</f>
        <v>10.119999999999999</v>
      </c>
      <c r="R180" s="14">
        <v>120</v>
      </c>
      <c r="S180" s="14">
        <v>48</v>
      </c>
      <c r="T180" s="14"/>
      <c r="U180" s="14" t="s">
        <v>2848</v>
      </c>
      <c r="V180" s="14" t="s">
        <v>2857</v>
      </c>
      <c r="W180" s="14" t="s">
        <v>2858</v>
      </c>
      <c r="X180" s="17">
        <v>0</v>
      </c>
      <c r="Y180" s="15" t="s">
        <v>2879</v>
      </c>
      <c r="Z180" s="20">
        <v>46028</v>
      </c>
      <c r="AA180" s="18"/>
      <c r="AB180" s="16"/>
      <c r="AC180" s="16"/>
      <c r="AD180" s="16"/>
      <c r="AE180" s="16" t="s">
        <v>3012</v>
      </c>
      <c r="AF180" s="16"/>
      <c r="AI180" s="3" t="str">
        <f t="shared" ca="1" si="2"/>
        <v>OK</v>
      </c>
    </row>
    <row r="181" spans="1:35" x14ac:dyDescent="0.3">
      <c r="A181" s="13">
        <v>46032</v>
      </c>
      <c r="B181" s="14" t="s">
        <v>2806</v>
      </c>
      <c r="C181" s="16"/>
      <c r="D181" s="16"/>
      <c r="E181" s="15" t="s">
        <v>878</v>
      </c>
      <c r="F181" s="15" t="s">
        <v>1264</v>
      </c>
      <c r="G181" s="15" t="s">
        <v>229</v>
      </c>
      <c r="H181" s="15"/>
      <c r="I181" s="15" t="s">
        <v>1627</v>
      </c>
      <c r="J181" s="15" t="s">
        <v>1628</v>
      </c>
      <c r="K181" s="16"/>
      <c r="L181" s="14" t="s">
        <v>2814</v>
      </c>
      <c r="M181" s="16"/>
      <c r="N181" s="15" t="s">
        <v>985</v>
      </c>
      <c r="O181" s="14">
        <v>67.03</v>
      </c>
      <c r="P181" s="14" t="s">
        <v>2845</v>
      </c>
      <c r="Q181" s="14" cm="1">
        <f t="array" ref="Q181">_xlfn.IFS(P181="USD",O181,P181="VND",O181/26090,P181="JPY",O181/161)</f>
        <v>67.03</v>
      </c>
      <c r="R181" s="14">
        <v>60</v>
      </c>
      <c r="S181" s="14">
        <v>100</v>
      </c>
      <c r="T181" s="14"/>
      <c r="U181" s="14" t="s">
        <v>2848</v>
      </c>
      <c r="V181" s="14" t="s">
        <v>2857</v>
      </c>
      <c r="W181" s="14" t="s">
        <v>2858</v>
      </c>
      <c r="X181" s="17">
        <v>0</v>
      </c>
      <c r="Y181" s="15" t="s">
        <v>2875</v>
      </c>
      <c r="Z181" s="20">
        <v>46055</v>
      </c>
      <c r="AA181" s="22" t="s">
        <v>2995</v>
      </c>
      <c r="AB181" s="16"/>
      <c r="AC181" s="16"/>
      <c r="AD181" s="16"/>
      <c r="AE181" s="16" t="s">
        <v>3009</v>
      </c>
      <c r="AF181" s="16"/>
      <c r="AI181" s="3" t="str">
        <f t="shared" ca="1" si="2"/>
        <v>OK</v>
      </c>
    </row>
    <row r="182" spans="1:35" hidden="1" x14ac:dyDescent="0.3">
      <c r="A182" s="13">
        <v>46032</v>
      </c>
      <c r="B182" s="14" t="s">
        <v>2806</v>
      </c>
      <c r="C182" s="16"/>
      <c r="D182" s="16"/>
      <c r="E182" s="15" t="s">
        <v>872</v>
      </c>
      <c r="F182" s="15" t="s">
        <v>1258</v>
      </c>
      <c r="G182" s="15" t="s">
        <v>230</v>
      </c>
      <c r="H182" s="15"/>
      <c r="I182" s="15" t="s">
        <v>1629</v>
      </c>
      <c r="J182" s="15" t="s">
        <v>1630</v>
      </c>
      <c r="K182" s="16"/>
      <c r="L182" s="14" t="s">
        <v>2815</v>
      </c>
      <c r="M182" s="16"/>
      <c r="N182" s="15" t="s">
        <v>986</v>
      </c>
      <c r="O182" s="14">
        <v>6.48</v>
      </c>
      <c r="P182" s="14" t="s">
        <v>2845</v>
      </c>
      <c r="Q182" s="14" cm="1">
        <f t="array" ref="Q182">_xlfn.IFS(P182="USD",O182,P182="VND",O182/26090,P182="JPY",O182/161)</f>
        <v>6.48</v>
      </c>
      <c r="R182" s="14">
        <v>14</v>
      </c>
      <c r="S182" s="14">
        <v>1</v>
      </c>
      <c r="T182" s="14"/>
      <c r="U182" s="14" t="s">
        <v>2849</v>
      </c>
      <c r="V182" s="14" t="s">
        <v>2857</v>
      </c>
      <c r="W182" s="14" t="s">
        <v>2858</v>
      </c>
      <c r="X182" s="17">
        <v>0</v>
      </c>
      <c r="Y182" s="15" t="s">
        <v>2893</v>
      </c>
      <c r="Z182" s="18" t="s">
        <v>2930</v>
      </c>
      <c r="AA182" s="18"/>
      <c r="AB182" s="16"/>
      <c r="AC182" s="16"/>
      <c r="AD182" s="16"/>
      <c r="AE182" s="16" t="s">
        <v>2952</v>
      </c>
      <c r="AF182" s="16"/>
      <c r="AI182" s="3" t="str">
        <f t="shared" ca="1" si="2"/>
        <v>OK</v>
      </c>
    </row>
    <row r="183" spans="1:35" hidden="1" x14ac:dyDescent="0.3">
      <c r="A183" s="13">
        <v>46032</v>
      </c>
      <c r="B183" s="14" t="s">
        <v>2806</v>
      </c>
      <c r="C183" s="16"/>
      <c r="D183" s="16"/>
      <c r="E183" s="15" t="s">
        <v>872</v>
      </c>
      <c r="F183" s="15" t="s">
        <v>1258</v>
      </c>
      <c r="G183" s="15" t="s">
        <v>231</v>
      </c>
      <c r="H183" s="15"/>
      <c r="I183" s="15" t="s">
        <v>1631</v>
      </c>
      <c r="J183" s="15" t="s">
        <v>1632</v>
      </c>
      <c r="K183" s="16"/>
      <c r="L183" s="14" t="s">
        <v>2815</v>
      </c>
      <c r="M183" s="16"/>
      <c r="N183" s="15" t="s">
        <v>986</v>
      </c>
      <c r="O183" s="14">
        <v>11.2</v>
      </c>
      <c r="P183" s="14" t="s">
        <v>2845</v>
      </c>
      <c r="Q183" s="14" cm="1">
        <f t="array" ref="Q183">_xlfn.IFS(P183="USD",O183,P183="VND",O183/26090,P183="JPY",O183/161)</f>
        <v>11.2</v>
      </c>
      <c r="R183" s="14">
        <v>14</v>
      </c>
      <c r="S183" s="14">
        <v>1</v>
      </c>
      <c r="T183" s="14"/>
      <c r="U183" s="14" t="s">
        <v>2849</v>
      </c>
      <c r="V183" s="14" t="s">
        <v>2857</v>
      </c>
      <c r="W183" s="14" t="s">
        <v>2858</v>
      </c>
      <c r="X183" s="17">
        <v>0</v>
      </c>
      <c r="Y183" s="15" t="s">
        <v>2887</v>
      </c>
      <c r="Z183" s="18" t="s">
        <v>2930</v>
      </c>
      <c r="AA183" s="18"/>
      <c r="AB183" s="16"/>
      <c r="AC183" s="16"/>
      <c r="AD183" s="16"/>
      <c r="AE183" s="16" t="s">
        <v>2952</v>
      </c>
      <c r="AF183" s="16"/>
      <c r="AI183" s="3" t="str">
        <f t="shared" ca="1" si="2"/>
        <v>OK</v>
      </c>
    </row>
    <row r="184" spans="1:35" hidden="1" x14ac:dyDescent="0.3">
      <c r="A184" s="13">
        <v>46032</v>
      </c>
      <c r="B184" s="14" t="s">
        <v>2806</v>
      </c>
      <c r="C184" s="16"/>
      <c r="D184" s="16"/>
      <c r="E184" s="15" t="s">
        <v>856</v>
      </c>
      <c r="F184" s="15" t="s">
        <v>1247</v>
      </c>
      <c r="G184" s="15" t="s">
        <v>232</v>
      </c>
      <c r="H184" s="15"/>
      <c r="I184" s="15" t="s">
        <v>1633</v>
      </c>
      <c r="J184" s="15" t="s">
        <v>1634</v>
      </c>
      <c r="K184" s="16"/>
      <c r="L184" s="14" t="s">
        <v>2815</v>
      </c>
      <c r="M184" s="16"/>
      <c r="N184" s="15" t="s">
        <v>987</v>
      </c>
      <c r="O184" s="14">
        <v>2.29</v>
      </c>
      <c r="P184" s="14" t="s">
        <v>2845</v>
      </c>
      <c r="Q184" s="14" cm="1">
        <f t="array" ref="Q184">_xlfn.IFS(P184="USD",O184,P184="VND",O184/26090,P184="JPY",O184/161)</f>
        <v>2.29</v>
      </c>
      <c r="R184" s="14">
        <v>240</v>
      </c>
      <c r="S184" s="14">
        <v>264</v>
      </c>
      <c r="T184" s="14"/>
      <c r="U184" s="14" t="s">
        <v>2848</v>
      </c>
      <c r="V184" s="14" t="s">
        <v>2857</v>
      </c>
      <c r="W184" s="14" t="s">
        <v>2858</v>
      </c>
      <c r="X184" s="17">
        <v>0</v>
      </c>
      <c r="Y184" s="15" t="s">
        <v>2879</v>
      </c>
      <c r="Z184" s="20">
        <v>46028</v>
      </c>
      <c r="AA184" s="18"/>
      <c r="AB184" s="16"/>
      <c r="AC184" s="16"/>
      <c r="AD184" s="16"/>
      <c r="AE184" s="16" t="s">
        <v>3012</v>
      </c>
      <c r="AF184" s="16"/>
      <c r="AI184" s="3" t="str">
        <f t="shared" ca="1" si="2"/>
        <v>OK</v>
      </c>
    </row>
    <row r="185" spans="1:35" x14ac:dyDescent="0.3">
      <c r="A185" s="13">
        <v>46032</v>
      </c>
      <c r="B185" s="14" t="s">
        <v>2806</v>
      </c>
      <c r="C185" s="16"/>
      <c r="D185" s="16"/>
      <c r="E185" s="15" t="s">
        <v>871</v>
      </c>
      <c r="F185" s="15" t="s">
        <v>916</v>
      </c>
      <c r="G185" s="15" t="s">
        <v>233</v>
      </c>
      <c r="H185" s="15"/>
      <c r="I185" s="15" t="s">
        <v>1635</v>
      </c>
      <c r="J185" s="15" t="s">
        <v>1636</v>
      </c>
      <c r="K185" s="16"/>
      <c r="L185" s="14" t="s">
        <v>2826</v>
      </c>
      <c r="M185" s="16"/>
      <c r="N185" s="15" t="s">
        <v>988</v>
      </c>
      <c r="O185" s="14">
        <v>3821280</v>
      </c>
      <c r="P185" s="14" t="s">
        <v>2846</v>
      </c>
      <c r="Q185" s="14" cm="1">
        <f t="array" ref="Q185">_xlfn.IFS(P185="USD",O185,P185="VND",O185/26090,P185="JPY",O185/161)</f>
        <v>146.46531238022231</v>
      </c>
      <c r="R185" s="14">
        <v>90</v>
      </c>
      <c r="S185" s="14">
        <v>10</v>
      </c>
      <c r="T185" s="14"/>
      <c r="U185" s="14" t="s">
        <v>2848</v>
      </c>
      <c r="V185" s="14" t="s">
        <v>2857</v>
      </c>
      <c r="W185" s="14" t="s">
        <v>2858</v>
      </c>
      <c r="X185" s="17">
        <v>0</v>
      </c>
      <c r="Y185" s="15" t="s">
        <v>2875</v>
      </c>
      <c r="Z185" s="18" t="s">
        <v>3037</v>
      </c>
      <c r="AA185" s="22" t="s">
        <v>2994</v>
      </c>
      <c r="AB185" s="16"/>
      <c r="AC185" s="16"/>
      <c r="AD185" s="16"/>
      <c r="AE185" s="16" t="s">
        <v>3036</v>
      </c>
      <c r="AF185" s="16"/>
      <c r="AI185" s="3" t="str">
        <f t="shared" ca="1" si="2"/>
        <v>OK</v>
      </c>
    </row>
    <row r="186" spans="1:35" x14ac:dyDescent="0.3">
      <c r="A186" s="13">
        <v>46032</v>
      </c>
      <c r="B186" s="14" t="s">
        <v>2806</v>
      </c>
      <c r="C186" s="16"/>
      <c r="D186" s="16"/>
      <c r="E186" s="15" t="s">
        <v>864</v>
      </c>
      <c r="F186" s="15" t="s">
        <v>1253</v>
      </c>
      <c r="G186" s="15" t="s">
        <v>234</v>
      </c>
      <c r="H186" s="15"/>
      <c r="I186" s="15" t="s">
        <v>1637</v>
      </c>
      <c r="J186" s="15" t="s">
        <v>1638</v>
      </c>
      <c r="K186" s="16"/>
      <c r="L186" s="14" t="s">
        <v>2813</v>
      </c>
      <c r="M186" s="16"/>
      <c r="N186" s="15" t="s">
        <v>989</v>
      </c>
      <c r="O186" s="14">
        <v>4.95</v>
      </c>
      <c r="P186" s="14" t="s">
        <v>2845</v>
      </c>
      <c r="Q186" s="14" cm="1">
        <f t="array" ref="Q186">_xlfn.IFS(P186="USD",O186,P186="VND",O186/26090,P186="JPY",O186/161)</f>
        <v>4.95</v>
      </c>
      <c r="R186" s="14">
        <v>7</v>
      </c>
      <c r="S186" s="14">
        <v>10</v>
      </c>
      <c r="T186" s="14"/>
      <c r="U186" s="14" t="s">
        <v>2848</v>
      </c>
      <c r="V186" s="14" t="s">
        <v>2857</v>
      </c>
      <c r="W186" s="14" t="s">
        <v>2858</v>
      </c>
      <c r="X186" s="17">
        <v>0</v>
      </c>
      <c r="Y186" s="15" t="s">
        <v>2875</v>
      </c>
      <c r="Z186" s="18" t="s">
        <v>2923</v>
      </c>
      <c r="AA186" s="22" t="s">
        <v>2924</v>
      </c>
      <c r="AB186" s="16"/>
      <c r="AC186" s="16"/>
      <c r="AD186" s="16"/>
      <c r="AE186" s="16" t="s">
        <v>2925</v>
      </c>
      <c r="AF186" s="16"/>
      <c r="AI186" s="3" t="str">
        <f t="shared" ca="1" si="2"/>
        <v>OK</v>
      </c>
    </row>
    <row r="187" spans="1:35" hidden="1" x14ac:dyDescent="0.3">
      <c r="A187" s="13">
        <v>46032</v>
      </c>
      <c r="B187" s="14" t="s">
        <v>2806</v>
      </c>
      <c r="C187" s="16"/>
      <c r="D187" s="16"/>
      <c r="E187" s="15" t="s">
        <v>857</v>
      </c>
      <c r="F187" s="15" t="s">
        <v>912</v>
      </c>
      <c r="G187" s="15" t="s">
        <v>235</v>
      </c>
      <c r="H187" s="15"/>
      <c r="I187" s="15" t="s">
        <v>1639</v>
      </c>
      <c r="J187" s="15" t="s">
        <v>1640</v>
      </c>
      <c r="K187" s="16"/>
      <c r="L187" s="14" t="s">
        <v>2815</v>
      </c>
      <c r="M187" s="16"/>
      <c r="N187" s="15" t="s">
        <v>990</v>
      </c>
      <c r="O187" s="14">
        <v>56.6</v>
      </c>
      <c r="P187" s="14" t="s">
        <v>2845</v>
      </c>
      <c r="Q187" s="14" cm="1">
        <f t="array" ref="Q187">_xlfn.IFS(P187="USD",O187,P187="VND",O187/26090,P187="JPY",O187/161)</f>
        <v>56.6</v>
      </c>
      <c r="R187" s="14">
        <v>35</v>
      </c>
      <c r="S187" s="14">
        <v>1</v>
      </c>
      <c r="T187" s="14"/>
      <c r="U187" s="14" t="s">
        <v>2848</v>
      </c>
      <c r="V187" s="14" t="s">
        <v>2857</v>
      </c>
      <c r="W187" s="14" t="s">
        <v>2858</v>
      </c>
      <c r="X187" s="17">
        <v>0</v>
      </c>
      <c r="Y187" s="15" t="s">
        <v>2875</v>
      </c>
      <c r="Z187" s="20">
        <v>46243</v>
      </c>
      <c r="AA187" s="20">
        <v>46608</v>
      </c>
      <c r="AB187" s="16"/>
      <c r="AC187" s="16"/>
      <c r="AD187" s="16"/>
      <c r="AE187" s="16" t="s">
        <v>2957</v>
      </c>
      <c r="AF187" s="16"/>
      <c r="AI187" s="3" t="str">
        <f t="shared" ca="1" si="2"/>
        <v>OK</v>
      </c>
    </row>
    <row r="188" spans="1:35" x14ac:dyDescent="0.3">
      <c r="A188" s="13">
        <v>46032</v>
      </c>
      <c r="B188" s="14" t="s">
        <v>2806</v>
      </c>
      <c r="C188" s="16"/>
      <c r="D188" s="16"/>
      <c r="E188" s="15" t="s">
        <v>862</v>
      </c>
      <c r="F188" s="15" t="s">
        <v>1251</v>
      </c>
      <c r="G188" s="15" t="s">
        <v>236</v>
      </c>
      <c r="H188" s="15"/>
      <c r="I188" s="15" t="s">
        <v>1641</v>
      </c>
      <c r="J188" s="15" t="s">
        <v>1642</v>
      </c>
      <c r="K188" s="16"/>
      <c r="L188" s="14" t="s">
        <v>2807</v>
      </c>
      <c r="M188" s="16"/>
      <c r="N188" s="15" t="s">
        <v>950</v>
      </c>
      <c r="O188" s="14">
        <v>170000</v>
      </c>
      <c r="P188" s="14" t="s">
        <v>2846</v>
      </c>
      <c r="Q188" s="14" cm="1">
        <f t="array" ref="Q188">_xlfn.IFS(P188="USD",O188,P188="VND",O188/26090,P188="JPY",O188/161)</f>
        <v>6.5159064775776159</v>
      </c>
      <c r="R188" s="14">
        <v>7</v>
      </c>
      <c r="S188" s="14">
        <v>10</v>
      </c>
      <c r="T188" s="14"/>
      <c r="U188" s="14" t="s">
        <v>2848</v>
      </c>
      <c r="V188" s="14" t="s">
        <v>2857</v>
      </c>
      <c r="W188" s="14" t="s">
        <v>2858</v>
      </c>
      <c r="X188" s="17">
        <v>0</v>
      </c>
      <c r="Y188" s="15" t="s">
        <v>2875</v>
      </c>
      <c r="Z188" s="18" t="s">
        <v>2929</v>
      </c>
      <c r="AA188" s="22" t="s">
        <v>2931</v>
      </c>
      <c r="AB188" s="16"/>
      <c r="AC188" s="16"/>
      <c r="AD188" s="16"/>
      <c r="AE188" s="16" t="s">
        <v>2932</v>
      </c>
      <c r="AF188" s="16"/>
      <c r="AI188" s="3" t="str">
        <f t="shared" ca="1" si="2"/>
        <v>OK</v>
      </c>
    </row>
    <row r="189" spans="1:35" x14ac:dyDescent="0.3">
      <c r="A189" s="13">
        <v>46032</v>
      </c>
      <c r="B189" s="14" t="s">
        <v>2806</v>
      </c>
      <c r="C189" s="16"/>
      <c r="D189" s="16"/>
      <c r="E189" s="15" t="s">
        <v>862</v>
      </c>
      <c r="F189" s="15" t="s">
        <v>1251</v>
      </c>
      <c r="G189" s="15" t="s">
        <v>237</v>
      </c>
      <c r="H189" s="15"/>
      <c r="I189" s="15" t="s">
        <v>1643</v>
      </c>
      <c r="J189" s="15" t="s">
        <v>1644</v>
      </c>
      <c r="K189" s="16"/>
      <c r="L189" s="14" t="s">
        <v>2807</v>
      </c>
      <c r="M189" s="16"/>
      <c r="N189" s="15" t="s">
        <v>950</v>
      </c>
      <c r="O189" s="14">
        <v>800000</v>
      </c>
      <c r="P189" s="14" t="s">
        <v>2846</v>
      </c>
      <c r="Q189" s="14" cm="1">
        <f t="array" ref="Q189">_xlfn.IFS(P189="USD",O189,P189="VND",O189/26090,P189="JPY",O189/161)</f>
        <v>30.663089306247606</v>
      </c>
      <c r="R189" s="14">
        <v>7</v>
      </c>
      <c r="S189" s="14">
        <v>10</v>
      </c>
      <c r="T189" s="14"/>
      <c r="U189" s="14" t="s">
        <v>2848</v>
      </c>
      <c r="V189" s="14" t="s">
        <v>2857</v>
      </c>
      <c r="W189" s="14" t="s">
        <v>2858</v>
      </c>
      <c r="X189" s="17">
        <v>0</v>
      </c>
      <c r="Y189" s="15" t="s">
        <v>2875</v>
      </c>
      <c r="Z189" s="18" t="s">
        <v>2929</v>
      </c>
      <c r="AA189" s="22" t="s">
        <v>2931</v>
      </c>
      <c r="AB189" s="16"/>
      <c r="AC189" s="16"/>
      <c r="AD189" s="16"/>
      <c r="AE189" s="16" t="s">
        <v>2932</v>
      </c>
      <c r="AF189" s="16"/>
      <c r="AI189" s="3" t="str">
        <f t="shared" ca="1" si="2"/>
        <v>OK</v>
      </c>
    </row>
    <row r="190" spans="1:35" hidden="1" x14ac:dyDescent="0.3">
      <c r="A190" s="13">
        <v>46032</v>
      </c>
      <c r="B190" s="14" t="s">
        <v>2806</v>
      </c>
      <c r="C190" s="16"/>
      <c r="D190" s="16"/>
      <c r="E190" s="15" t="s">
        <v>872</v>
      </c>
      <c r="F190" s="15" t="s">
        <v>1258</v>
      </c>
      <c r="G190" s="15" t="s">
        <v>238</v>
      </c>
      <c r="H190" s="15"/>
      <c r="I190" s="15" t="s">
        <v>1645</v>
      </c>
      <c r="J190" s="15" t="s">
        <v>1646</v>
      </c>
      <c r="K190" s="16"/>
      <c r="L190" s="14" t="s">
        <v>2815</v>
      </c>
      <c r="M190" s="16"/>
      <c r="N190" s="15" t="s">
        <v>991</v>
      </c>
      <c r="O190" s="14">
        <v>68.8</v>
      </c>
      <c r="P190" s="14" t="s">
        <v>2845</v>
      </c>
      <c r="Q190" s="14" cm="1">
        <f t="array" ref="Q190">_xlfn.IFS(P190="USD",O190,P190="VND",O190/26090,P190="JPY",O190/161)</f>
        <v>68.8</v>
      </c>
      <c r="R190" s="14">
        <v>14</v>
      </c>
      <c r="S190" s="14">
        <v>1</v>
      </c>
      <c r="T190" s="14"/>
      <c r="U190" s="14" t="s">
        <v>2849</v>
      </c>
      <c r="V190" s="14" t="s">
        <v>2857</v>
      </c>
      <c r="W190" s="14" t="s">
        <v>2858</v>
      </c>
      <c r="X190" s="17">
        <v>0</v>
      </c>
      <c r="Y190" s="15" t="s">
        <v>2893</v>
      </c>
      <c r="Z190" s="18" t="s">
        <v>2930</v>
      </c>
      <c r="AA190" s="18"/>
      <c r="AB190" s="16"/>
      <c r="AC190" s="16"/>
      <c r="AD190" s="16"/>
      <c r="AE190" s="16" t="s">
        <v>2952</v>
      </c>
      <c r="AF190" s="16"/>
      <c r="AI190" s="3" t="str">
        <f t="shared" ca="1" si="2"/>
        <v>OK</v>
      </c>
    </row>
    <row r="191" spans="1:35" hidden="1" x14ac:dyDescent="0.3">
      <c r="A191" s="13">
        <v>46032</v>
      </c>
      <c r="B191" s="14" t="s">
        <v>2806</v>
      </c>
      <c r="C191" s="16"/>
      <c r="D191" s="16"/>
      <c r="E191" s="15" t="s">
        <v>857</v>
      </c>
      <c r="F191" s="15" t="s">
        <v>912</v>
      </c>
      <c r="G191" s="15" t="s">
        <v>239</v>
      </c>
      <c r="H191" s="15"/>
      <c r="I191" s="15" t="s">
        <v>1647</v>
      </c>
      <c r="J191" s="15" t="s">
        <v>1648</v>
      </c>
      <c r="K191" s="16"/>
      <c r="L191" s="14" t="s">
        <v>2826</v>
      </c>
      <c r="M191" s="16"/>
      <c r="N191" s="15" t="s">
        <v>992</v>
      </c>
      <c r="O191" s="14">
        <v>50.5</v>
      </c>
      <c r="P191" s="14" t="s">
        <v>2845</v>
      </c>
      <c r="Q191" s="14" cm="1">
        <f t="array" ref="Q191">_xlfn.IFS(P191="USD",O191,P191="VND",O191/26090,P191="JPY",O191/161)</f>
        <v>50.5</v>
      </c>
      <c r="R191" s="14">
        <v>35</v>
      </c>
      <c r="S191" s="14">
        <v>1</v>
      </c>
      <c r="T191" s="14"/>
      <c r="U191" s="14" t="s">
        <v>2848</v>
      </c>
      <c r="V191" s="14" t="s">
        <v>2857</v>
      </c>
      <c r="W191" s="14" t="s">
        <v>2858</v>
      </c>
      <c r="X191" s="17">
        <v>0</v>
      </c>
      <c r="Y191" s="15" t="s">
        <v>2875</v>
      </c>
      <c r="Z191" s="20">
        <v>46243</v>
      </c>
      <c r="AA191" s="20">
        <v>46608</v>
      </c>
      <c r="AB191" s="16"/>
      <c r="AC191" s="16"/>
      <c r="AD191" s="16"/>
      <c r="AE191" s="16" t="s">
        <v>2957</v>
      </c>
      <c r="AF191" s="16"/>
      <c r="AI191" s="3" t="str">
        <f t="shared" ca="1" si="2"/>
        <v>OK</v>
      </c>
    </row>
    <row r="192" spans="1:35" x14ac:dyDescent="0.3">
      <c r="A192" s="13">
        <v>46032</v>
      </c>
      <c r="B192" s="14" t="s">
        <v>2806</v>
      </c>
      <c r="C192" s="16"/>
      <c r="D192" s="16"/>
      <c r="E192" s="15" t="s">
        <v>871</v>
      </c>
      <c r="F192" s="15" t="s">
        <v>916</v>
      </c>
      <c r="G192" s="15" t="s">
        <v>240</v>
      </c>
      <c r="H192" s="15"/>
      <c r="I192" s="15" t="s">
        <v>1649</v>
      </c>
      <c r="J192" s="15" t="s">
        <v>1650</v>
      </c>
      <c r="K192" s="16"/>
      <c r="L192" s="14" t="s">
        <v>2827</v>
      </c>
      <c r="M192" s="16"/>
      <c r="N192" s="15" t="s">
        <v>993</v>
      </c>
      <c r="O192" s="14">
        <v>18436150</v>
      </c>
      <c r="P192" s="14" t="s">
        <v>2846</v>
      </c>
      <c r="Q192" s="14" cm="1">
        <f t="array" ref="Q192">_xlfn.IFS(P192="USD",O192,P192="VND",O192/26090,P192="JPY",O192/161)</f>
        <v>706.63664239172101</v>
      </c>
      <c r="R192" s="14">
        <v>90</v>
      </c>
      <c r="S192" s="14">
        <v>1</v>
      </c>
      <c r="T192" s="14"/>
      <c r="U192" s="14" t="s">
        <v>2848</v>
      </c>
      <c r="V192" s="14" t="s">
        <v>2857</v>
      </c>
      <c r="W192" s="14" t="s">
        <v>2858</v>
      </c>
      <c r="X192" s="17">
        <v>0</v>
      </c>
      <c r="Y192" s="15" t="s">
        <v>2875</v>
      </c>
      <c r="Z192" s="18" t="s">
        <v>3037</v>
      </c>
      <c r="AA192" s="22" t="s">
        <v>2994</v>
      </c>
      <c r="AB192" s="16"/>
      <c r="AC192" s="16"/>
      <c r="AD192" s="16"/>
      <c r="AE192" s="16" t="s">
        <v>3036</v>
      </c>
      <c r="AF192" s="16"/>
      <c r="AI192" s="3" t="str">
        <f t="shared" ca="1" si="2"/>
        <v>OK</v>
      </c>
    </row>
    <row r="193" spans="1:35" hidden="1" x14ac:dyDescent="0.3">
      <c r="A193" s="13">
        <v>46032</v>
      </c>
      <c r="B193" s="14" t="s">
        <v>2806</v>
      </c>
      <c r="C193" s="16"/>
      <c r="D193" s="16"/>
      <c r="E193" s="15" t="s">
        <v>856</v>
      </c>
      <c r="F193" s="15" t="s">
        <v>1247</v>
      </c>
      <c r="G193" s="15" t="s">
        <v>241</v>
      </c>
      <c r="H193" s="15"/>
      <c r="I193" s="15" t="s">
        <v>1651</v>
      </c>
      <c r="J193" s="15" t="s">
        <v>1652</v>
      </c>
      <c r="K193" s="16"/>
      <c r="L193" s="14" t="s">
        <v>2815</v>
      </c>
      <c r="M193" s="16"/>
      <c r="N193" s="15" t="s">
        <v>994</v>
      </c>
      <c r="O193" s="14">
        <v>0.76500000000000001</v>
      </c>
      <c r="P193" s="14" t="s">
        <v>2845</v>
      </c>
      <c r="Q193" s="14" cm="1">
        <f t="array" ref="Q193">_xlfn.IFS(P193="USD",O193,P193="VND",O193/26090,P193="JPY",O193/161)</f>
        <v>0.76500000000000001</v>
      </c>
      <c r="R193" s="14">
        <v>120</v>
      </c>
      <c r="S193" s="14">
        <v>250</v>
      </c>
      <c r="T193" s="14"/>
      <c r="U193" s="14" t="s">
        <v>2848</v>
      </c>
      <c r="V193" s="14" t="s">
        <v>2857</v>
      </c>
      <c r="W193" s="14" t="s">
        <v>2858</v>
      </c>
      <c r="X193" s="17">
        <v>0</v>
      </c>
      <c r="Y193" s="15" t="s">
        <v>2879</v>
      </c>
      <c r="Z193" s="20">
        <v>46028</v>
      </c>
      <c r="AA193" s="18"/>
      <c r="AB193" s="16"/>
      <c r="AC193" s="16"/>
      <c r="AD193" s="16"/>
      <c r="AE193" s="16" t="s">
        <v>3012</v>
      </c>
      <c r="AF193" s="16"/>
      <c r="AI193" s="3" t="str">
        <f t="shared" ca="1" si="2"/>
        <v>OK</v>
      </c>
    </row>
    <row r="194" spans="1:35" hidden="1" x14ac:dyDescent="0.3">
      <c r="A194" s="13">
        <v>46032</v>
      </c>
      <c r="B194" s="14" t="s">
        <v>2806</v>
      </c>
      <c r="C194" s="16"/>
      <c r="D194" s="16"/>
      <c r="E194" s="15" t="s">
        <v>857</v>
      </c>
      <c r="F194" s="15" t="s">
        <v>912</v>
      </c>
      <c r="G194" s="15" t="s">
        <v>242</v>
      </c>
      <c r="H194" s="15"/>
      <c r="I194" s="15" t="s">
        <v>1653</v>
      </c>
      <c r="J194" s="15" t="s">
        <v>1654</v>
      </c>
      <c r="K194" s="16"/>
      <c r="L194" s="14" t="s">
        <v>2828</v>
      </c>
      <c r="M194" s="16"/>
      <c r="N194" s="15" t="s">
        <v>995</v>
      </c>
      <c r="O194" s="14">
        <v>11.8</v>
      </c>
      <c r="P194" s="14" t="s">
        <v>2845</v>
      </c>
      <c r="Q194" s="14" cm="1">
        <f t="array" ref="Q194">_xlfn.IFS(P194="USD",O194,P194="VND",O194/26090,P194="JPY",O194/161)</f>
        <v>11.8</v>
      </c>
      <c r="R194" s="14">
        <v>21</v>
      </c>
      <c r="S194" s="14">
        <v>1</v>
      </c>
      <c r="T194" s="14"/>
      <c r="U194" s="14" t="s">
        <v>2848</v>
      </c>
      <c r="V194" s="14" t="s">
        <v>2857</v>
      </c>
      <c r="W194" s="14" t="s">
        <v>2858</v>
      </c>
      <c r="X194" s="17">
        <v>0</v>
      </c>
      <c r="Y194" s="15" t="s">
        <v>2875</v>
      </c>
      <c r="Z194" s="20">
        <v>46243</v>
      </c>
      <c r="AA194" s="20">
        <v>46608</v>
      </c>
      <c r="AB194" s="16"/>
      <c r="AC194" s="16"/>
      <c r="AD194" s="16"/>
      <c r="AE194" s="16" t="s">
        <v>2957</v>
      </c>
      <c r="AF194" s="16"/>
      <c r="AI194" s="3" t="str">
        <f t="shared" ca="1" si="2"/>
        <v>OK</v>
      </c>
    </row>
    <row r="195" spans="1:35" hidden="1" x14ac:dyDescent="0.3">
      <c r="A195" s="13">
        <v>46032</v>
      </c>
      <c r="B195" s="14" t="s">
        <v>2806</v>
      </c>
      <c r="C195" s="16"/>
      <c r="D195" s="16"/>
      <c r="E195" s="15" t="s">
        <v>857</v>
      </c>
      <c r="F195" s="15" t="s">
        <v>912</v>
      </c>
      <c r="G195" s="15" t="s">
        <v>243</v>
      </c>
      <c r="H195" s="15"/>
      <c r="I195" s="15" t="s">
        <v>1655</v>
      </c>
      <c r="J195" s="15" t="s">
        <v>1656</v>
      </c>
      <c r="K195" s="16"/>
      <c r="L195" s="14" t="s">
        <v>2815</v>
      </c>
      <c r="M195" s="16"/>
      <c r="N195" s="15" t="s">
        <v>995</v>
      </c>
      <c r="O195" s="14">
        <v>5.9</v>
      </c>
      <c r="P195" s="14" t="s">
        <v>2845</v>
      </c>
      <c r="Q195" s="14" cm="1">
        <f t="array" ref="Q195">_xlfn.IFS(P195="USD",O195,P195="VND",O195/26090,P195="JPY",O195/161)</f>
        <v>5.9</v>
      </c>
      <c r="R195" s="14">
        <v>21</v>
      </c>
      <c r="S195" s="14">
        <v>1</v>
      </c>
      <c r="T195" s="14"/>
      <c r="U195" s="14" t="s">
        <v>2848</v>
      </c>
      <c r="V195" s="14" t="s">
        <v>2857</v>
      </c>
      <c r="W195" s="14" t="s">
        <v>2858</v>
      </c>
      <c r="X195" s="17">
        <v>0</v>
      </c>
      <c r="Y195" s="15" t="s">
        <v>2875</v>
      </c>
      <c r="Z195" s="20">
        <v>46243</v>
      </c>
      <c r="AA195" s="20">
        <v>46608</v>
      </c>
      <c r="AB195" s="16"/>
      <c r="AC195" s="16"/>
      <c r="AD195" s="16"/>
      <c r="AE195" s="16" t="s">
        <v>2957</v>
      </c>
      <c r="AF195" s="16"/>
      <c r="AI195" s="3" t="str">
        <f t="shared" ref="AI195:AI258" ca="1" si="3">IF(AA195="","OK",IF(AA195&lt;TODAY(),"NG","OK"))</f>
        <v>OK</v>
      </c>
    </row>
    <row r="196" spans="1:35" hidden="1" x14ac:dyDescent="0.3">
      <c r="A196" s="13">
        <v>46032</v>
      </c>
      <c r="B196" s="14" t="s">
        <v>2806</v>
      </c>
      <c r="C196" s="16"/>
      <c r="D196" s="16"/>
      <c r="E196" s="15" t="s">
        <v>872</v>
      </c>
      <c r="F196" s="15" t="s">
        <v>1258</v>
      </c>
      <c r="G196" s="15" t="s">
        <v>244</v>
      </c>
      <c r="H196" s="15"/>
      <c r="I196" s="15" t="s">
        <v>1657</v>
      </c>
      <c r="J196" s="15" t="s">
        <v>1658</v>
      </c>
      <c r="K196" s="16"/>
      <c r="L196" s="14" t="s">
        <v>2815</v>
      </c>
      <c r="M196" s="16"/>
      <c r="N196" s="15" t="s">
        <v>995</v>
      </c>
      <c r="O196" s="14">
        <v>58.5</v>
      </c>
      <c r="P196" s="14" t="s">
        <v>2845</v>
      </c>
      <c r="Q196" s="14" cm="1">
        <f t="array" ref="Q196">_xlfn.IFS(P196="USD",O196,P196="VND",O196/26090,P196="JPY",O196/161)</f>
        <v>58.5</v>
      </c>
      <c r="R196" s="14">
        <v>14</v>
      </c>
      <c r="S196" s="14">
        <v>1</v>
      </c>
      <c r="T196" s="14"/>
      <c r="U196" s="14" t="s">
        <v>2849</v>
      </c>
      <c r="V196" s="14" t="s">
        <v>2857</v>
      </c>
      <c r="W196" s="14" t="s">
        <v>2858</v>
      </c>
      <c r="X196" s="17">
        <v>0</v>
      </c>
      <c r="Y196" s="15" t="s">
        <v>2887</v>
      </c>
      <c r="Z196" s="18" t="s">
        <v>2930</v>
      </c>
      <c r="AA196" s="18"/>
      <c r="AB196" s="16"/>
      <c r="AC196" s="16"/>
      <c r="AD196" s="16"/>
      <c r="AE196" s="16" t="s">
        <v>2952</v>
      </c>
      <c r="AF196" s="16"/>
      <c r="AI196" s="3" t="str">
        <f t="shared" ca="1" si="3"/>
        <v>OK</v>
      </c>
    </row>
    <row r="197" spans="1:35" hidden="1" x14ac:dyDescent="0.3">
      <c r="A197" s="13">
        <v>46032</v>
      </c>
      <c r="B197" s="14" t="s">
        <v>2806</v>
      </c>
      <c r="C197" s="16"/>
      <c r="D197" s="16"/>
      <c r="E197" s="15" t="s">
        <v>879</v>
      </c>
      <c r="F197" s="15" t="s">
        <v>1265</v>
      </c>
      <c r="G197" s="15" t="s">
        <v>245</v>
      </c>
      <c r="H197" s="15"/>
      <c r="I197" s="15" t="s">
        <v>1659</v>
      </c>
      <c r="J197" s="15" t="s">
        <v>1660</v>
      </c>
      <c r="K197" s="16"/>
      <c r="L197" s="14" t="s">
        <v>2813</v>
      </c>
      <c r="M197" s="16"/>
      <c r="N197" s="15" t="s">
        <v>996</v>
      </c>
      <c r="O197" s="14">
        <v>50100</v>
      </c>
      <c r="P197" s="14" t="s">
        <v>2847</v>
      </c>
      <c r="Q197" s="14" cm="1">
        <f t="array" ref="Q197">_xlfn.IFS(P197="USD",O197,P197="VND",O197/26090,P197="JPY",O197/161)</f>
        <v>311.18012422360249</v>
      </c>
      <c r="R197" s="14">
        <v>90</v>
      </c>
      <c r="S197" s="14">
        <v>1</v>
      </c>
      <c r="T197" s="14"/>
      <c r="U197" s="14" t="s">
        <v>2853</v>
      </c>
      <c r="V197" s="14" t="s">
        <v>2869</v>
      </c>
      <c r="W197" s="14" t="s">
        <v>2860</v>
      </c>
      <c r="X197" s="17">
        <v>0</v>
      </c>
      <c r="Y197" s="15" t="s">
        <v>2894</v>
      </c>
      <c r="Z197" s="18"/>
      <c r="AA197" s="18"/>
      <c r="AB197" s="16"/>
      <c r="AC197" s="16"/>
      <c r="AD197" s="16"/>
      <c r="AE197" s="16"/>
      <c r="AF197" s="16"/>
      <c r="AI197" s="3" t="str">
        <f t="shared" ca="1" si="3"/>
        <v>OK</v>
      </c>
    </row>
    <row r="198" spans="1:35" x14ac:dyDescent="0.3">
      <c r="A198" s="13">
        <v>46032</v>
      </c>
      <c r="B198" s="14" t="s">
        <v>2806</v>
      </c>
      <c r="C198" s="16"/>
      <c r="D198" s="16"/>
      <c r="E198" s="15" t="s">
        <v>862</v>
      </c>
      <c r="F198" s="15" t="s">
        <v>1251</v>
      </c>
      <c r="G198" s="15" t="s">
        <v>246</v>
      </c>
      <c r="H198" s="15"/>
      <c r="I198" s="15" t="s">
        <v>1661</v>
      </c>
      <c r="J198" s="15" t="s">
        <v>1662</v>
      </c>
      <c r="K198" s="16"/>
      <c r="L198" s="14" t="s">
        <v>2807</v>
      </c>
      <c r="M198" s="16"/>
      <c r="N198" s="15" t="s">
        <v>950</v>
      </c>
      <c r="O198" s="14">
        <v>47700</v>
      </c>
      <c r="P198" s="14" t="s">
        <v>2846</v>
      </c>
      <c r="Q198" s="14" cm="1">
        <f t="array" ref="Q198">_xlfn.IFS(P198="USD",O198,P198="VND",O198/26090,P198="JPY",O198/161)</f>
        <v>1.8282866998850134</v>
      </c>
      <c r="R198" s="14">
        <v>7</v>
      </c>
      <c r="S198" s="14">
        <v>100</v>
      </c>
      <c r="T198" s="14"/>
      <c r="U198" s="14" t="s">
        <v>2848</v>
      </c>
      <c r="V198" s="14" t="s">
        <v>2857</v>
      </c>
      <c r="W198" s="14" t="s">
        <v>2858</v>
      </c>
      <c r="X198" s="17">
        <v>0</v>
      </c>
      <c r="Y198" s="15" t="s">
        <v>2875</v>
      </c>
      <c r="Z198" s="18" t="s">
        <v>2929</v>
      </c>
      <c r="AA198" s="22" t="s">
        <v>2931</v>
      </c>
      <c r="AB198" s="16"/>
      <c r="AC198" s="16"/>
      <c r="AD198" s="16"/>
      <c r="AE198" s="16" t="s">
        <v>2932</v>
      </c>
      <c r="AF198" s="16"/>
      <c r="AI198" s="3" t="str">
        <f t="shared" ca="1" si="3"/>
        <v>OK</v>
      </c>
    </row>
    <row r="199" spans="1:35" x14ac:dyDescent="0.3">
      <c r="A199" s="13">
        <v>46032</v>
      </c>
      <c r="B199" s="14" t="s">
        <v>2806</v>
      </c>
      <c r="C199" s="16"/>
      <c r="D199" s="16"/>
      <c r="E199" s="15" t="s">
        <v>862</v>
      </c>
      <c r="F199" s="15" t="s">
        <v>1251</v>
      </c>
      <c r="G199" s="15" t="s">
        <v>247</v>
      </c>
      <c r="H199" s="15"/>
      <c r="I199" s="15" t="s">
        <v>1663</v>
      </c>
      <c r="J199" s="15" t="s">
        <v>1664</v>
      </c>
      <c r="K199" s="16"/>
      <c r="L199" s="14" t="s">
        <v>2807</v>
      </c>
      <c r="M199" s="16"/>
      <c r="N199" s="15" t="s">
        <v>950</v>
      </c>
      <c r="O199" s="14">
        <v>47700</v>
      </c>
      <c r="P199" s="14" t="s">
        <v>2846</v>
      </c>
      <c r="Q199" s="14" cm="1">
        <f t="array" ref="Q199">_xlfn.IFS(P199="USD",O199,P199="VND",O199/26090,P199="JPY",O199/161)</f>
        <v>1.8282866998850134</v>
      </c>
      <c r="R199" s="14">
        <v>7</v>
      </c>
      <c r="S199" s="14">
        <v>100</v>
      </c>
      <c r="T199" s="14"/>
      <c r="U199" s="14" t="s">
        <v>2848</v>
      </c>
      <c r="V199" s="14" t="s">
        <v>2857</v>
      </c>
      <c r="W199" s="14" t="s">
        <v>2858</v>
      </c>
      <c r="X199" s="17">
        <v>0</v>
      </c>
      <c r="Y199" s="15" t="s">
        <v>2875</v>
      </c>
      <c r="Z199" s="18" t="s">
        <v>2929</v>
      </c>
      <c r="AA199" s="22" t="s">
        <v>2931</v>
      </c>
      <c r="AB199" s="16"/>
      <c r="AC199" s="16"/>
      <c r="AD199" s="16"/>
      <c r="AE199" s="16" t="s">
        <v>2932</v>
      </c>
      <c r="AF199" s="16"/>
      <c r="AI199" s="3" t="str">
        <f t="shared" ca="1" si="3"/>
        <v>OK</v>
      </c>
    </row>
    <row r="200" spans="1:35" hidden="1" x14ac:dyDescent="0.3">
      <c r="A200" s="13">
        <v>46032</v>
      </c>
      <c r="B200" s="14" t="s">
        <v>2806</v>
      </c>
      <c r="C200" s="16"/>
      <c r="D200" s="16"/>
      <c r="E200" s="15" t="s">
        <v>872</v>
      </c>
      <c r="F200" s="15" t="s">
        <v>1258</v>
      </c>
      <c r="G200" s="15" t="s">
        <v>248</v>
      </c>
      <c r="H200" s="15"/>
      <c r="I200" s="15" t="s">
        <v>1665</v>
      </c>
      <c r="J200" s="15" t="s">
        <v>1666</v>
      </c>
      <c r="K200" s="16"/>
      <c r="L200" s="14" t="s">
        <v>2828</v>
      </c>
      <c r="M200" s="16"/>
      <c r="N200" s="15" t="s">
        <v>997</v>
      </c>
      <c r="O200" s="14">
        <v>16.899999999999999</v>
      </c>
      <c r="P200" s="14" t="s">
        <v>2845</v>
      </c>
      <c r="Q200" s="14" cm="1">
        <f t="array" ref="Q200">_xlfn.IFS(P200="USD",O200,P200="VND",O200/26090,P200="JPY",O200/161)</f>
        <v>16.899999999999999</v>
      </c>
      <c r="R200" s="14">
        <v>14</v>
      </c>
      <c r="S200" s="14">
        <v>1</v>
      </c>
      <c r="T200" s="14"/>
      <c r="U200" s="14" t="s">
        <v>2849</v>
      </c>
      <c r="V200" s="14" t="s">
        <v>2857</v>
      </c>
      <c r="W200" s="14" t="s">
        <v>2858</v>
      </c>
      <c r="X200" s="17">
        <v>0</v>
      </c>
      <c r="Y200" s="15" t="s">
        <v>2887</v>
      </c>
      <c r="Z200" s="18" t="s">
        <v>2930</v>
      </c>
      <c r="AA200" s="18"/>
      <c r="AB200" s="16"/>
      <c r="AC200" s="16"/>
      <c r="AD200" s="16"/>
      <c r="AE200" s="16" t="s">
        <v>2952</v>
      </c>
      <c r="AF200" s="16"/>
      <c r="AI200" s="3" t="str">
        <f t="shared" ca="1" si="3"/>
        <v>OK</v>
      </c>
    </row>
    <row r="201" spans="1:35" x14ac:dyDescent="0.3">
      <c r="A201" s="13">
        <v>46032</v>
      </c>
      <c r="B201" s="14" t="s">
        <v>2806</v>
      </c>
      <c r="C201" s="16"/>
      <c r="D201" s="16"/>
      <c r="E201" s="15" t="s">
        <v>862</v>
      </c>
      <c r="F201" s="15" t="s">
        <v>1251</v>
      </c>
      <c r="G201" s="15" t="s">
        <v>249</v>
      </c>
      <c r="H201" s="15"/>
      <c r="I201" s="15" t="s">
        <v>1667</v>
      </c>
      <c r="J201" s="15" t="s">
        <v>1668</v>
      </c>
      <c r="K201" s="16"/>
      <c r="L201" s="14" t="s">
        <v>2823</v>
      </c>
      <c r="M201" s="16"/>
      <c r="N201" s="15" t="s">
        <v>998</v>
      </c>
      <c r="O201" s="14">
        <v>750</v>
      </c>
      <c r="P201" s="14" t="s">
        <v>2846</v>
      </c>
      <c r="Q201" s="14" cm="1">
        <f t="array" ref="Q201">_xlfn.IFS(P201="USD",O201,P201="VND",O201/26090,P201="JPY",O201/161)</f>
        <v>2.8746646224607129E-2</v>
      </c>
      <c r="R201" s="14">
        <v>25</v>
      </c>
      <c r="S201" s="14">
        <v>42000</v>
      </c>
      <c r="T201" s="14"/>
      <c r="U201" s="14" t="s">
        <v>2848</v>
      </c>
      <c r="V201" s="14" t="s">
        <v>2857</v>
      </c>
      <c r="W201" s="14" t="s">
        <v>2858</v>
      </c>
      <c r="X201" s="17">
        <v>0</v>
      </c>
      <c r="Y201" s="15" t="s">
        <v>2875</v>
      </c>
      <c r="Z201" s="18" t="s">
        <v>2929</v>
      </c>
      <c r="AA201" s="22" t="s">
        <v>2931</v>
      </c>
      <c r="AB201" s="16"/>
      <c r="AC201" s="16"/>
      <c r="AD201" s="16"/>
      <c r="AE201" s="16" t="s">
        <v>2932</v>
      </c>
      <c r="AF201" s="16"/>
      <c r="AI201" s="3" t="str">
        <f t="shared" ca="1" si="3"/>
        <v>OK</v>
      </c>
    </row>
    <row r="202" spans="1:35" x14ac:dyDescent="0.3">
      <c r="A202" s="13">
        <v>46032</v>
      </c>
      <c r="B202" s="14" t="s">
        <v>2806</v>
      </c>
      <c r="C202" s="16"/>
      <c r="D202" s="16"/>
      <c r="E202" s="15" t="s">
        <v>862</v>
      </c>
      <c r="F202" s="15" t="s">
        <v>1251</v>
      </c>
      <c r="G202" s="15" t="s">
        <v>250</v>
      </c>
      <c r="H202" s="15"/>
      <c r="I202" s="15" t="s">
        <v>1669</v>
      </c>
      <c r="J202" s="15" t="s">
        <v>1670</v>
      </c>
      <c r="K202" s="16"/>
      <c r="L202" s="14" t="s">
        <v>2807</v>
      </c>
      <c r="M202" s="16"/>
      <c r="N202" s="15" t="s">
        <v>950</v>
      </c>
      <c r="O202" s="14">
        <v>180000</v>
      </c>
      <c r="P202" s="14" t="s">
        <v>2846</v>
      </c>
      <c r="Q202" s="14" cm="1">
        <f t="array" ref="Q202">_xlfn.IFS(P202="USD",O202,P202="VND",O202/26090,P202="JPY",O202/161)</f>
        <v>6.8991950939057114</v>
      </c>
      <c r="R202" s="14">
        <v>7</v>
      </c>
      <c r="S202" s="14">
        <v>10</v>
      </c>
      <c r="T202" s="14"/>
      <c r="U202" s="14" t="s">
        <v>2848</v>
      </c>
      <c r="V202" s="14" t="s">
        <v>2857</v>
      </c>
      <c r="W202" s="14" t="s">
        <v>2858</v>
      </c>
      <c r="X202" s="17">
        <v>0</v>
      </c>
      <c r="Y202" s="15" t="s">
        <v>2875</v>
      </c>
      <c r="Z202" s="18" t="s">
        <v>2929</v>
      </c>
      <c r="AA202" s="22" t="s">
        <v>2931</v>
      </c>
      <c r="AB202" s="16"/>
      <c r="AC202" s="16"/>
      <c r="AD202" s="16"/>
      <c r="AE202" s="16" t="s">
        <v>2932</v>
      </c>
      <c r="AF202" s="16"/>
      <c r="AI202" s="3" t="str">
        <f t="shared" ca="1" si="3"/>
        <v>OK</v>
      </c>
    </row>
    <row r="203" spans="1:35" x14ac:dyDescent="0.3">
      <c r="A203" s="13">
        <v>46032</v>
      </c>
      <c r="B203" s="14" t="s">
        <v>2806</v>
      </c>
      <c r="C203" s="16"/>
      <c r="D203" s="16"/>
      <c r="E203" s="15" t="s">
        <v>862</v>
      </c>
      <c r="F203" s="15" t="s">
        <v>1251</v>
      </c>
      <c r="G203" s="15" t="s">
        <v>251</v>
      </c>
      <c r="H203" s="15"/>
      <c r="I203" s="15" t="s">
        <v>1671</v>
      </c>
      <c r="J203" s="15" t="s">
        <v>1672</v>
      </c>
      <c r="K203" s="16"/>
      <c r="L203" s="14" t="s">
        <v>2807</v>
      </c>
      <c r="M203" s="16"/>
      <c r="N203" s="15" t="s">
        <v>950</v>
      </c>
      <c r="O203" s="14">
        <v>214000</v>
      </c>
      <c r="P203" s="14" t="s">
        <v>2846</v>
      </c>
      <c r="Q203" s="14" cm="1">
        <f t="array" ref="Q203">_xlfn.IFS(P203="USD",O203,P203="VND",O203/26090,P203="JPY",O203/161)</f>
        <v>8.202376389421234</v>
      </c>
      <c r="R203" s="14">
        <v>7</v>
      </c>
      <c r="S203" s="14">
        <v>10</v>
      </c>
      <c r="T203" s="14"/>
      <c r="U203" s="14" t="s">
        <v>2848</v>
      </c>
      <c r="V203" s="14" t="s">
        <v>2857</v>
      </c>
      <c r="W203" s="14" t="s">
        <v>2858</v>
      </c>
      <c r="X203" s="17">
        <v>0</v>
      </c>
      <c r="Y203" s="15" t="s">
        <v>2875</v>
      </c>
      <c r="Z203" s="18" t="s">
        <v>2929</v>
      </c>
      <c r="AA203" s="22" t="s">
        <v>2931</v>
      </c>
      <c r="AB203" s="16"/>
      <c r="AC203" s="16"/>
      <c r="AD203" s="16"/>
      <c r="AE203" s="16" t="s">
        <v>2932</v>
      </c>
      <c r="AF203" s="16"/>
      <c r="AI203" s="3" t="str">
        <f t="shared" ca="1" si="3"/>
        <v>OK</v>
      </c>
    </row>
    <row r="204" spans="1:35" x14ac:dyDescent="0.3">
      <c r="A204" s="13">
        <v>46032</v>
      </c>
      <c r="B204" s="14" t="s">
        <v>2806</v>
      </c>
      <c r="C204" s="16"/>
      <c r="D204" s="16"/>
      <c r="E204" s="15" t="s">
        <v>862</v>
      </c>
      <c r="F204" s="15" t="s">
        <v>1251</v>
      </c>
      <c r="G204" s="15" t="s">
        <v>252</v>
      </c>
      <c r="H204" s="15"/>
      <c r="I204" s="15" t="s">
        <v>1673</v>
      </c>
      <c r="J204" s="15" t="s">
        <v>1674</v>
      </c>
      <c r="K204" s="16"/>
      <c r="L204" s="14" t="s">
        <v>2807</v>
      </c>
      <c r="M204" s="16"/>
      <c r="N204" s="15" t="s">
        <v>950</v>
      </c>
      <c r="O204" s="14">
        <v>180000</v>
      </c>
      <c r="P204" s="14" t="s">
        <v>2846</v>
      </c>
      <c r="Q204" s="14" cm="1">
        <f t="array" ref="Q204">_xlfn.IFS(P204="USD",O204,P204="VND",O204/26090,P204="JPY",O204/161)</f>
        <v>6.8991950939057114</v>
      </c>
      <c r="R204" s="14">
        <v>7</v>
      </c>
      <c r="S204" s="14">
        <v>10</v>
      </c>
      <c r="T204" s="14"/>
      <c r="U204" s="14" t="s">
        <v>2848</v>
      </c>
      <c r="V204" s="14" t="s">
        <v>2857</v>
      </c>
      <c r="W204" s="14" t="s">
        <v>2858</v>
      </c>
      <c r="X204" s="17">
        <v>0</v>
      </c>
      <c r="Y204" s="15" t="s">
        <v>2875</v>
      </c>
      <c r="Z204" s="18" t="s">
        <v>2929</v>
      </c>
      <c r="AA204" s="22" t="s">
        <v>2931</v>
      </c>
      <c r="AB204" s="16"/>
      <c r="AC204" s="16"/>
      <c r="AD204" s="16"/>
      <c r="AE204" s="16" t="s">
        <v>2932</v>
      </c>
      <c r="AF204" s="16"/>
      <c r="AI204" s="3" t="str">
        <f t="shared" ca="1" si="3"/>
        <v>OK</v>
      </c>
    </row>
    <row r="205" spans="1:35" x14ac:dyDescent="0.3">
      <c r="A205" s="13">
        <v>46032</v>
      </c>
      <c r="B205" s="14" t="s">
        <v>2806</v>
      </c>
      <c r="C205" s="16"/>
      <c r="D205" s="16"/>
      <c r="E205" s="15" t="s">
        <v>862</v>
      </c>
      <c r="F205" s="15" t="s">
        <v>1251</v>
      </c>
      <c r="G205" s="15" t="s">
        <v>253</v>
      </c>
      <c r="H205" s="15"/>
      <c r="I205" s="15" t="s">
        <v>1675</v>
      </c>
      <c r="J205" s="15" t="s">
        <v>1676</v>
      </c>
      <c r="K205" s="16"/>
      <c r="L205" s="14" t="s">
        <v>2807</v>
      </c>
      <c r="M205" s="16"/>
      <c r="N205" s="15" t="s">
        <v>950</v>
      </c>
      <c r="O205" s="14">
        <v>214000</v>
      </c>
      <c r="P205" s="14" t="s">
        <v>2846</v>
      </c>
      <c r="Q205" s="14" cm="1">
        <f t="array" ref="Q205">_xlfn.IFS(P205="USD",O205,P205="VND",O205/26090,P205="JPY",O205/161)</f>
        <v>8.202376389421234</v>
      </c>
      <c r="R205" s="14">
        <v>7</v>
      </c>
      <c r="S205" s="14">
        <v>10</v>
      </c>
      <c r="T205" s="14"/>
      <c r="U205" s="14" t="s">
        <v>2848</v>
      </c>
      <c r="V205" s="14" t="s">
        <v>2857</v>
      </c>
      <c r="W205" s="14" t="s">
        <v>2858</v>
      </c>
      <c r="X205" s="17">
        <v>0</v>
      </c>
      <c r="Y205" s="15" t="s">
        <v>2875</v>
      </c>
      <c r="Z205" s="18" t="s">
        <v>2929</v>
      </c>
      <c r="AA205" s="22" t="s">
        <v>2931</v>
      </c>
      <c r="AB205" s="16"/>
      <c r="AC205" s="16"/>
      <c r="AD205" s="16"/>
      <c r="AE205" s="16" t="s">
        <v>2932</v>
      </c>
      <c r="AF205" s="16"/>
      <c r="AI205" s="3" t="str">
        <f t="shared" ca="1" si="3"/>
        <v>OK</v>
      </c>
    </row>
    <row r="206" spans="1:35" x14ac:dyDescent="0.3">
      <c r="A206" s="13">
        <v>46032</v>
      </c>
      <c r="B206" s="14" t="s">
        <v>2806</v>
      </c>
      <c r="C206" s="16"/>
      <c r="D206" s="16"/>
      <c r="E206" s="15" t="s">
        <v>862</v>
      </c>
      <c r="F206" s="15" t="s">
        <v>1251</v>
      </c>
      <c r="G206" s="15" t="s">
        <v>254</v>
      </c>
      <c r="H206" s="15"/>
      <c r="I206" s="15" t="s">
        <v>1677</v>
      </c>
      <c r="J206" s="15" t="s">
        <v>1678</v>
      </c>
      <c r="K206" s="16"/>
      <c r="L206" s="14" t="s">
        <v>2807</v>
      </c>
      <c r="M206" s="16"/>
      <c r="N206" s="15" t="s">
        <v>950</v>
      </c>
      <c r="O206" s="14">
        <v>180000</v>
      </c>
      <c r="P206" s="14" t="s">
        <v>2846</v>
      </c>
      <c r="Q206" s="14" cm="1">
        <f t="array" ref="Q206">_xlfn.IFS(P206="USD",O206,P206="VND",O206/26090,P206="JPY",O206/161)</f>
        <v>6.8991950939057114</v>
      </c>
      <c r="R206" s="14">
        <v>7</v>
      </c>
      <c r="S206" s="14">
        <v>10</v>
      </c>
      <c r="T206" s="14"/>
      <c r="U206" s="14" t="s">
        <v>2848</v>
      </c>
      <c r="V206" s="14" t="s">
        <v>2857</v>
      </c>
      <c r="W206" s="14" t="s">
        <v>2858</v>
      </c>
      <c r="X206" s="17">
        <v>0</v>
      </c>
      <c r="Y206" s="15" t="s">
        <v>2875</v>
      </c>
      <c r="Z206" s="18" t="s">
        <v>2929</v>
      </c>
      <c r="AA206" s="22" t="s">
        <v>2931</v>
      </c>
      <c r="AB206" s="16"/>
      <c r="AC206" s="16"/>
      <c r="AD206" s="16"/>
      <c r="AE206" s="16" t="s">
        <v>2932</v>
      </c>
      <c r="AF206" s="16"/>
      <c r="AI206" s="3" t="str">
        <f t="shared" ca="1" si="3"/>
        <v>OK</v>
      </c>
    </row>
    <row r="207" spans="1:35" x14ac:dyDescent="0.3">
      <c r="A207" s="13">
        <v>46032</v>
      </c>
      <c r="B207" s="14" t="s">
        <v>2806</v>
      </c>
      <c r="C207" s="16"/>
      <c r="D207" s="16"/>
      <c r="E207" s="15" t="s">
        <v>862</v>
      </c>
      <c r="F207" s="15" t="s">
        <v>1251</v>
      </c>
      <c r="G207" s="15" t="s">
        <v>255</v>
      </c>
      <c r="H207" s="15"/>
      <c r="I207" s="15" t="s">
        <v>1679</v>
      </c>
      <c r="J207" s="15" t="s">
        <v>1680</v>
      </c>
      <c r="K207" s="16"/>
      <c r="L207" s="14" t="s">
        <v>2807</v>
      </c>
      <c r="M207" s="16"/>
      <c r="N207" s="15" t="s">
        <v>950</v>
      </c>
      <c r="O207" s="14">
        <v>180000</v>
      </c>
      <c r="P207" s="14" t="s">
        <v>2846</v>
      </c>
      <c r="Q207" s="14" cm="1">
        <f t="array" ref="Q207">_xlfn.IFS(P207="USD",O207,P207="VND",O207/26090,P207="JPY",O207/161)</f>
        <v>6.8991950939057114</v>
      </c>
      <c r="R207" s="14">
        <v>7</v>
      </c>
      <c r="S207" s="14">
        <v>10</v>
      </c>
      <c r="T207" s="14"/>
      <c r="U207" s="14" t="s">
        <v>2848</v>
      </c>
      <c r="V207" s="14" t="s">
        <v>2857</v>
      </c>
      <c r="W207" s="14" t="s">
        <v>2858</v>
      </c>
      <c r="X207" s="17">
        <v>0</v>
      </c>
      <c r="Y207" s="15" t="s">
        <v>2875</v>
      </c>
      <c r="Z207" s="18" t="s">
        <v>2929</v>
      </c>
      <c r="AA207" s="22" t="s">
        <v>2931</v>
      </c>
      <c r="AB207" s="16"/>
      <c r="AC207" s="16"/>
      <c r="AD207" s="16"/>
      <c r="AE207" s="16" t="s">
        <v>2932</v>
      </c>
      <c r="AF207" s="16"/>
      <c r="AI207" s="3" t="str">
        <f t="shared" ca="1" si="3"/>
        <v>OK</v>
      </c>
    </row>
    <row r="208" spans="1:35" x14ac:dyDescent="0.3">
      <c r="A208" s="13">
        <v>46032</v>
      </c>
      <c r="B208" s="14" t="s">
        <v>2806</v>
      </c>
      <c r="C208" s="16"/>
      <c r="D208" s="16"/>
      <c r="E208" s="15" t="s">
        <v>862</v>
      </c>
      <c r="F208" s="15" t="s">
        <v>1251</v>
      </c>
      <c r="G208" s="15" t="s">
        <v>256</v>
      </c>
      <c r="H208" s="15"/>
      <c r="I208" s="15" t="s">
        <v>1681</v>
      </c>
      <c r="J208" s="15" t="s">
        <v>1682</v>
      </c>
      <c r="K208" s="16"/>
      <c r="L208" s="14" t="s">
        <v>2807</v>
      </c>
      <c r="M208" s="16"/>
      <c r="N208" s="15" t="s">
        <v>950</v>
      </c>
      <c r="O208" s="14">
        <v>214000</v>
      </c>
      <c r="P208" s="14" t="s">
        <v>2846</v>
      </c>
      <c r="Q208" s="14" cm="1">
        <f t="array" ref="Q208">_xlfn.IFS(P208="USD",O208,P208="VND",O208/26090,P208="JPY",O208/161)</f>
        <v>8.202376389421234</v>
      </c>
      <c r="R208" s="14">
        <v>7</v>
      </c>
      <c r="S208" s="14">
        <v>10</v>
      </c>
      <c r="T208" s="14"/>
      <c r="U208" s="14" t="s">
        <v>2848</v>
      </c>
      <c r="V208" s="14" t="s">
        <v>2857</v>
      </c>
      <c r="W208" s="14" t="s">
        <v>2858</v>
      </c>
      <c r="X208" s="17">
        <v>0</v>
      </c>
      <c r="Y208" s="15" t="s">
        <v>2875</v>
      </c>
      <c r="Z208" s="18" t="s">
        <v>2929</v>
      </c>
      <c r="AA208" s="22" t="s">
        <v>2931</v>
      </c>
      <c r="AB208" s="16"/>
      <c r="AC208" s="16"/>
      <c r="AD208" s="16"/>
      <c r="AE208" s="16" t="s">
        <v>2932</v>
      </c>
      <c r="AF208" s="16"/>
      <c r="AI208" s="3" t="str">
        <f t="shared" ca="1" si="3"/>
        <v>OK</v>
      </c>
    </row>
    <row r="209" spans="1:35" x14ac:dyDescent="0.3">
      <c r="A209" s="13">
        <v>46032</v>
      </c>
      <c r="B209" s="14" t="s">
        <v>2806</v>
      </c>
      <c r="C209" s="16"/>
      <c r="D209" s="16"/>
      <c r="E209" s="15" t="s">
        <v>862</v>
      </c>
      <c r="F209" s="15" t="s">
        <v>1251</v>
      </c>
      <c r="G209" s="15" t="s">
        <v>257</v>
      </c>
      <c r="H209" s="15"/>
      <c r="I209" s="15" t="s">
        <v>1683</v>
      </c>
      <c r="J209" s="15" t="s">
        <v>1684</v>
      </c>
      <c r="K209" s="16"/>
      <c r="L209" s="14" t="s">
        <v>2807</v>
      </c>
      <c r="M209" s="16"/>
      <c r="N209" s="15" t="s">
        <v>950</v>
      </c>
      <c r="O209" s="14">
        <v>180000</v>
      </c>
      <c r="P209" s="14" t="s">
        <v>2846</v>
      </c>
      <c r="Q209" s="14" cm="1">
        <f t="array" ref="Q209">_xlfn.IFS(P209="USD",O209,P209="VND",O209/26090,P209="JPY",O209/161)</f>
        <v>6.8991950939057114</v>
      </c>
      <c r="R209" s="14">
        <v>7</v>
      </c>
      <c r="S209" s="14">
        <v>10</v>
      </c>
      <c r="T209" s="14"/>
      <c r="U209" s="14" t="s">
        <v>2848</v>
      </c>
      <c r="V209" s="14" t="s">
        <v>2857</v>
      </c>
      <c r="W209" s="14" t="s">
        <v>2858</v>
      </c>
      <c r="X209" s="17">
        <v>0</v>
      </c>
      <c r="Y209" s="15" t="s">
        <v>2875</v>
      </c>
      <c r="Z209" s="18" t="s">
        <v>2929</v>
      </c>
      <c r="AA209" s="22" t="s">
        <v>2931</v>
      </c>
      <c r="AB209" s="16"/>
      <c r="AC209" s="16"/>
      <c r="AD209" s="16"/>
      <c r="AE209" s="16" t="s">
        <v>2932</v>
      </c>
      <c r="AF209" s="16"/>
      <c r="AI209" s="3" t="str">
        <f t="shared" ca="1" si="3"/>
        <v>OK</v>
      </c>
    </row>
    <row r="210" spans="1:35" x14ac:dyDescent="0.3">
      <c r="A210" s="13">
        <v>46032</v>
      </c>
      <c r="B210" s="14" t="s">
        <v>2806</v>
      </c>
      <c r="C210" s="16"/>
      <c r="D210" s="16"/>
      <c r="E210" s="15" t="s">
        <v>862</v>
      </c>
      <c r="F210" s="15" t="s">
        <v>1251</v>
      </c>
      <c r="G210" s="15" t="s">
        <v>258</v>
      </c>
      <c r="H210" s="15"/>
      <c r="I210" s="15" t="s">
        <v>1685</v>
      </c>
      <c r="J210" s="15" t="s">
        <v>1686</v>
      </c>
      <c r="K210" s="16"/>
      <c r="L210" s="14" t="s">
        <v>2807</v>
      </c>
      <c r="M210" s="16"/>
      <c r="N210" s="15" t="s">
        <v>950</v>
      </c>
      <c r="O210" s="14">
        <v>214000</v>
      </c>
      <c r="P210" s="14" t="s">
        <v>2846</v>
      </c>
      <c r="Q210" s="14" cm="1">
        <f t="array" ref="Q210">_xlfn.IFS(P210="USD",O210,P210="VND",O210/26090,P210="JPY",O210/161)</f>
        <v>8.202376389421234</v>
      </c>
      <c r="R210" s="14">
        <v>7</v>
      </c>
      <c r="S210" s="14">
        <v>10</v>
      </c>
      <c r="T210" s="14"/>
      <c r="U210" s="14" t="s">
        <v>2848</v>
      </c>
      <c r="V210" s="14" t="s">
        <v>2857</v>
      </c>
      <c r="W210" s="14" t="s">
        <v>2858</v>
      </c>
      <c r="X210" s="17">
        <v>0</v>
      </c>
      <c r="Y210" s="15" t="s">
        <v>2875</v>
      </c>
      <c r="Z210" s="18" t="s">
        <v>2929</v>
      </c>
      <c r="AA210" s="22" t="s">
        <v>2931</v>
      </c>
      <c r="AB210" s="16"/>
      <c r="AC210" s="16"/>
      <c r="AD210" s="16"/>
      <c r="AE210" s="16" t="s">
        <v>2932</v>
      </c>
      <c r="AF210" s="16"/>
      <c r="AI210" s="3" t="str">
        <f t="shared" ca="1" si="3"/>
        <v>OK</v>
      </c>
    </row>
    <row r="211" spans="1:35" x14ac:dyDescent="0.3">
      <c r="A211" s="13">
        <v>46032</v>
      </c>
      <c r="B211" s="14" t="s">
        <v>2806</v>
      </c>
      <c r="C211" s="16"/>
      <c r="D211" s="16"/>
      <c r="E211" s="15" t="s">
        <v>862</v>
      </c>
      <c r="F211" s="15" t="s">
        <v>1251</v>
      </c>
      <c r="G211" s="15" t="s">
        <v>259</v>
      </c>
      <c r="H211" s="15"/>
      <c r="I211" s="15" t="s">
        <v>1687</v>
      </c>
      <c r="J211" s="15" t="s">
        <v>1688</v>
      </c>
      <c r="K211" s="16"/>
      <c r="L211" s="14" t="s">
        <v>2807</v>
      </c>
      <c r="M211" s="16"/>
      <c r="N211" s="15" t="s">
        <v>950</v>
      </c>
      <c r="O211" s="14">
        <v>180000</v>
      </c>
      <c r="P211" s="14" t="s">
        <v>2846</v>
      </c>
      <c r="Q211" s="14" cm="1">
        <f t="array" ref="Q211">_xlfn.IFS(P211="USD",O211,P211="VND",O211/26090,P211="JPY",O211/161)</f>
        <v>6.8991950939057114</v>
      </c>
      <c r="R211" s="14">
        <v>7</v>
      </c>
      <c r="S211" s="14">
        <v>10</v>
      </c>
      <c r="T211" s="14"/>
      <c r="U211" s="14" t="s">
        <v>2848</v>
      </c>
      <c r="V211" s="14" t="s">
        <v>2857</v>
      </c>
      <c r="W211" s="14" t="s">
        <v>2858</v>
      </c>
      <c r="X211" s="17">
        <v>0</v>
      </c>
      <c r="Y211" s="15" t="s">
        <v>2875</v>
      </c>
      <c r="Z211" s="18" t="s">
        <v>2929</v>
      </c>
      <c r="AA211" s="22" t="s">
        <v>2931</v>
      </c>
      <c r="AB211" s="16"/>
      <c r="AC211" s="16"/>
      <c r="AD211" s="16"/>
      <c r="AE211" s="16" t="s">
        <v>2932</v>
      </c>
      <c r="AF211" s="16"/>
      <c r="AI211" s="3" t="str">
        <f t="shared" ca="1" si="3"/>
        <v>OK</v>
      </c>
    </row>
    <row r="212" spans="1:35" hidden="1" x14ac:dyDescent="0.3">
      <c r="A212" s="13">
        <v>46032</v>
      </c>
      <c r="B212" s="14" t="s">
        <v>2806</v>
      </c>
      <c r="C212" s="16"/>
      <c r="D212" s="16"/>
      <c r="E212" s="15" t="s">
        <v>850</v>
      </c>
      <c r="F212" s="15" t="s">
        <v>915</v>
      </c>
      <c r="G212" s="15" t="s">
        <v>260</v>
      </c>
      <c r="H212" s="15"/>
      <c r="I212" s="15" t="s">
        <v>1689</v>
      </c>
      <c r="J212" s="15" t="s">
        <v>1690</v>
      </c>
      <c r="K212" s="16"/>
      <c r="L212" s="14" t="s">
        <v>2807</v>
      </c>
      <c r="M212" s="16"/>
      <c r="N212" s="15" t="s">
        <v>999</v>
      </c>
      <c r="O212" s="14">
        <v>2.81</v>
      </c>
      <c r="P212" s="14" t="s">
        <v>2845</v>
      </c>
      <c r="Q212" s="14" cm="1">
        <f t="array" ref="Q212">_xlfn.IFS(P212="USD",O212,P212="VND",O212/26090,P212="JPY",O212/161)</f>
        <v>2.81</v>
      </c>
      <c r="R212" s="14">
        <v>30</v>
      </c>
      <c r="S212" s="14">
        <v>1</v>
      </c>
      <c r="T212" s="14"/>
      <c r="U212" s="14" t="s">
        <v>2850</v>
      </c>
      <c r="V212" s="14" t="s">
        <v>2859</v>
      </c>
      <c r="W212" s="14" t="s">
        <v>2860</v>
      </c>
      <c r="X212" s="17">
        <v>0</v>
      </c>
      <c r="Y212" s="15" t="s">
        <v>2876</v>
      </c>
      <c r="Z212" s="18"/>
      <c r="AA212" s="18"/>
      <c r="AB212" s="16"/>
      <c r="AC212" s="16"/>
      <c r="AD212" s="16"/>
      <c r="AE212" s="16"/>
      <c r="AF212" s="16"/>
      <c r="AI212" s="3" t="str">
        <f t="shared" ca="1" si="3"/>
        <v>OK</v>
      </c>
    </row>
    <row r="213" spans="1:35" hidden="1" x14ac:dyDescent="0.3">
      <c r="A213" s="13">
        <v>46032</v>
      </c>
      <c r="B213" s="14" t="s">
        <v>2806</v>
      </c>
      <c r="C213" s="16"/>
      <c r="D213" s="16"/>
      <c r="E213" s="15" t="s">
        <v>850</v>
      </c>
      <c r="F213" s="15" t="s">
        <v>915</v>
      </c>
      <c r="G213" s="15" t="s">
        <v>261</v>
      </c>
      <c r="H213" s="15"/>
      <c r="I213" s="15" t="s">
        <v>1691</v>
      </c>
      <c r="J213" s="15" t="s">
        <v>1692</v>
      </c>
      <c r="K213" s="16"/>
      <c r="L213" s="14" t="s">
        <v>2818</v>
      </c>
      <c r="M213" s="16"/>
      <c r="N213" s="15" t="s">
        <v>999</v>
      </c>
      <c r="O213" s="14">
        <v>3.85</v>
      </c>
      <c r="P213" s="14" t="s">
        <v>2845</v>
      </c>
      <c r="Q213" s="14" cm="1">
        <f t="array" ref="Q213">_xlfn.IFS(P213="USD",O213,P213="VND",O213/26090,P213="JPY",O213/161)</f>
        <v>3.85</v>
      </c>
      <c r="R213" s="14">
        <v>30</v>
      </c>
      <c r="S213" s="14">
        <v>1</v>
      </c>
      <c r="T213" s="14"/>
      <c r="U213" s="14" t="s">
        <v>2855</v>
      </c>
      <c r="V213" s="14" t="s">
        <v>906</v>
      </c>
      <c r="W213" s="14" t="s">
        <v>2856</v>
      </c>
      <c r="X213" s="17">
        <v>0</v>
      </c>
      <c r="Y213" s="15" t="s">
        <v>2876</v>
      </c>
      <c r="Z213" s="18"/>
      <c r="AA213" s="18"/>
      <c r="AB213" s="16"/>
      <c r="AC213" s="16"/>
      <c r="AD213" s="16"/>
      <c r="AE213" s="16"/>
      <c r="AF213" s="16"/>
      <c r="AI213" s="3" t="str">
        <f t="shared" ca="1" si="3"/>
        <v>OK</v>
      </c>
    </row>
    <row r="214" spans="1:35" hidden="1" x14ac:dyDescent="0.3">
      <c r="A214" s="13">
        <v>46032</v>
      </c>
      <c r="B214" s="14" t="s">
        <v>2806</v>
      </c>
      <c r="C214" s="16"/>
      <c r="D214" s="16"/>
      <c r="E214" s="15" t="s">
        <v>850</v>
      </c>
      <c r="F214" s="15" t="s">
        <v>915</v>
      </c>
      <c r="G214" s="15" t="s">
        <v>262</v>
      </c>
      <c r="H214" s="15"/>
      <c r="I214" s="15" t="s">
        <v>1693</v>
      </c>
      <c r="J214" s="15" t="s">
        <v>1694</v>
      </c>
      <c r="K214" s="16"/>
      <c r="L214" s="14" t="s">
        <v>2818</v>
      </c>
      <c r="M214" s="16"/>
      <c r="N214" s="15" t="s">
        <v>999</v>
      </c>
      <c r="O214" s="14">
        <v>5.48</v>
      </c>
      <c r="P214" s="14" t="s">
        <v>2845</v>
      </c>
      <c r="Q214" s="14" cm="1">
        <f t="array" ref="Q214">_xlfn.IFS(P214="USD",O214,P214="VND",O214/26090,P214="JPY",O214/161)</f>
        <v>5.48</v>
      </c>
      <c r="R214" s="14">
        <v>30</v>
      </c>
      <c r="S214" s="14">
        <v>1</v>
      </c>
      <c r="T214" s="14"/>
      <c r="U214" s="14" t="s">
        <v>2855</v>
      </c>
      <c r="V214" s="14" t="s">
        <v>2859</v>
      </c>
      <c r="W214" s="14" t="s">
        <v>2856</v>
      </c>
      <c r="X214" s="17">
        <v>0</v>
      </c>
      <c r="Y214" s="15" t="s">
        <v>2876</v>
      </c>
      <c r="Z214" s="18"/>
      <c r="AA214" s="18"/>
      <c r="AB214" s="16"/>
      <c r="AC214" s="16"/>
      <c r="AD214" s="16"/>
      <c r="AE214" s="16"/>
      <c r="AF214" s="16"/>
      <c r="AI214" s="3" t="str">
        <f t="shared" ca="1" si="3"/>
        <v>OK</v>
      </c>
    </row>
    <row r="215" spans="1:35" hidden="1" x14ac:dyDescent="0.3">
      <c r="A215" s="13">
        <v>46032</v>
      </c>
      <c r="B215" s="14" t="s">
        <v>2806</v>
      </c>
      <c r="C215" s="16"/>
      <c r="D215" s="16"/>
      <c r="E215" s="15" t="s">
        <v>880</v>
      </c>
      <c r="F215" s="15" t="s">
        <v>1266</v>
      </c>
      <c r="G215" s="15" t="s">
        <v>263</v>
      </c>
      <c r="H215" s="15"/>
      <c r="I215" s="15" t="s">
        <v>1695</v>
      </c>
      <c r="J215" s="15" t="s">
        <v>1696</v>
      </c>
      <c r="K215" s="16"/>
      <c r="L215" s="14" t="s">
        <v>2815</v>
      </c>
      <c r="M215" s="16"/>
      <c r="N215" s="15" t="s">
        <v>986</v>
      </c>
      <c r="O215" s="14">
        <v>18</v>
      </c>
      <c r="P215" s="14" t="s">
        <v>2845</v>
      </c>
      <c r="Q215" s="14" cm="1">
        <f t="array" ref="Q215">_xlfn.IFS(P215="USD",O215,P215="VND",O215/26090,P215="JPY",O215/161)</f>
        <v>18</v>
      </c>
      <c r="R215" s="14">
        <v>45</v>
      </c>
      <c r="S215" s="14">
        <v>20</v>
      </c>
      <c r="T215" s="14"/>
      <c r="U215" s="14" t="s">
        <v>2852</v>
      </c>
      <c r="V215" s="14" t="s">
        <v>2870</v>
      </c>
      <c r="W215" s="14" t="s">
        <v>2871</v>
      </c>
      <c r="X215" s="17">
        <v>0</v>
      </c>
      <c r="Y215" s="15" t="s">
        <v>2895</v>
      </c>
      <c r="Z215" s="20">
        <v>45846</v>
      </c>
      <c r="AA215" s="18"/>
      <c r="AB215" s="16"/>
      <c r="AC215" s="16"/>
      <c r="AD215" s="16"/>
      <c r="AE215" s="16" t="s">
        <v>2920</v>
      </c>
      <c r="AF215" s="16"/>
      <c r="AI215" s="3" t="str">
        <f t="shared" ca="1" si="3"/>
        <v>OK</v>
      </c>
    </row>
    <row r="216" spans="1:35" hidden="1" x14ac:dyDescent="0.3">
      <c r="A216" s="13">
        <v>46032</v>
      </c>
      <c r="B216" s="14" t="s">
        <v>2806</v>
      </c>
      <c r="C216" s="16"/>
      <c r="D216" s="16"/>
      <c r="E216" s="15" t="s">
        <v>881</v>
      </c>
      <c r="F216" s="15" t="s">
        <v>906</v>
      </c>
      <c r="G216" s="15" t="s">
        <v>264</v>
      </c>
      <c r="H216" s="15"/>
      <c r="I216" s="15" t="s">
        <v>1697</v>
      </c>
      <c r="J216" s="15" t="s">
        <v>1698</v>
      </c>
      <c r="K216" s="16"/>
      <c r="L216" s="14" t="s">
        <v>2829</v>
      </c>
      <c r="M216" s="16"/>
      <c r="N216" s="15" t="s">
        <v>1000</v>
      </c>
      <c r="O216" s="14">
        <v>1.0900000000000001</v>
      </c>
      <c r="P216" s="14" t="s">
        <v>2845</v>
      </c>
      <c r="Q216" s="14" cm="1">
        <f t="array" ref="Q216">_xlfn.IFS(P216="USD",O216,P216="VND",O216/26090,P216="JPY",O216/161)</f>
        <v>1.0900000000000001</v>
      </c>
      <c r="R216" s="14">
        <v>30</v>
      </c>
      <c r="S216" s="14">
        <v>10</v>
      </c>
      <c r="T216" s="14"/>
      <c r="U216" s="14" t="s">
        <v>2850</v>
      </c>
      <c r="V216" s="14" t="s">
        <v>2872</v>
      </c>
      <c r="W216" s="14" t="s">
        <v>2860</v>
      </c>
      <c r="X216" s="17">
        <v>0</v>
      </c>
      <c r="Y216" s="15" t="s">
        <v>2876</v>
      </c>
      <c r="Z216" s="18"/>
      <c r="AA216" s="18"/>
      <c r="AB216" s="16"/>
      <c r="AC216" s="16"/>
      <c r="AD216" s="16"/>
      <c r="AE216" s="16"/>
      <c r="AF216" s="16"/>
      <c r="AI216" s="3" t="str">
        <f t="shared" ca="1" si="3"/>
        <v>OK</v>
      </c>
    </row>
    <row r="217" spans="1:35" hidden="1" x14ac:dyDescent="0.3">
      <c r="A217" s="13">
        <v>46032</v>
      </c>
      <c r="B217" s="14" t="s">
        <v>2806</v>
      </c>
      <c r="C217" s="16"/>
      <c r="D217" s="16"/>
      <c r="E217" s="15" t="s">
        <v>881</v>
      </c>
      <c r="F217" s="15" t="s">
        <v>906</v>
      </c>
      <c r="G217" s="15" t="s">
        <v>265</v>
      </c>
      <c r="H217" s="15"/>
      <c r="I217" s="15" t="s">
        <v>1699</v>
      </c>
      <c r="J217" s="15" t="s">
        <v>1700</v>
      </c>
      <c r="K217" s="16"/>
      <c r="L217" s="14" t="s">
        <v>2829</v>
      </c>
      <c r="M217" s="16"/>
      <c r="N217" s="15" t="s">
        <v>1000</v>
      </c>
      <c r="O217" s="14">
        <v>1.03</v>
      </c>
      <c r="P217" s="14" t="s">
        <v>2845</v>
      </c>
      <c r="Q217" s="14" cm="1">
        <f t="array" ref="Q217">_xlfn.IFS(P217="USD",O217,P217="VND",O217/26090,P217="JPY",O217/161)</f>
        <v>1.03</v>
      </c>
      <c r="R217" s="14">
        <v>30</v>
      </c>
      <c r="S217" s="14">
        <v>10</v>
      </c>
      <c r="T217" s="14"/>
      <c r="U217" s="14" t="s">
        <v>2850</v>
      </c>
      <c r="V217" s="14" t="s">
        <v>2872</v>
      </c>
      <c r="W217" s="14" t="s">
        <v>2860</v>
      </c>
      <c r="X217" s="17">
        <v>0</v>
      </c>
      <c r="Y217" s="15" t="s">
        <v>2876</v>
      </c>
      <c r="Z217" s="18"/>
      <c r="AA217" s="18"/>
      <c r="AB217" s="16"/>
      <c r="AC217" s="16"/>
      <c r="AD217" s="16"/>
      <c r="AE217" s="16"/>
      <c r="AF217" s="16"/>
      <c r="AI217" s="3" t="str">
        <f t="shared" ca="1" si="3"/>
        <v>OK</v>
      </c>
    </row>
    <row r="218" spans="1:35" hidden="1" x14ac:dyDescent="0.3">
      <c r="A218" s="13">
        <v>46032</v>
      </c>
      <c r="B218" s="14" t="s">
        <v>2806</v>
      </c>
      <c r="C218" s="16"/>
      <c r="D218" s="16"/>
      <c r="E218" s="15" t="s">
        <v>851</v>
      </c>
      <c r="F218" s="15" t="s">
        <v>1244</v>
      </c>
      <c r="G218" s="15" t="s">
        <v>266</v>
      </c>
      <c r="H218" s="15"/>
      <c r="I218" s="15" t="s">
        <v>1701</v>
      </c>
      <c r="J218" s="15" t="s">
        <v>1702</v>
      </c>
      <c r="K218" s="16"/>
      <c r="L218" s="14" t="s">
        <v>2814</v>
      </c>
      <c r="M218" s="16"/>
      <c r="N218" s="15" t="s">
        <v>1001</v>
      </c>
      <c r="O218" s="14">
        <v>535</v>
      </c>
      <c r="P218" s="14" t="s">
        <v>2845</v>
      </c>
      <c r="Q218" s="14" cm="1">
        <f t="array" ref="Q218">_xlfn.IFS(P218="USD",O218,P218="VND",O218/26090,P218="JPY",O218/161)</f>
        <v>535</v>
      </c>
      <c r="R218" s="14">
        <v>50</v>
      </c>
      <c r="S218" s="14">
        <v>66</v>
      </c>
      <c r="T218" s="14"/>
      <c r="U218" s="14" t="s">
        <v>2848</v>
      </c>
      <c r="V218" s="14" t="s">
        <v>2857</v>
      </c>
      <c r="W218" s="14" t="s">
        <v>2858</v>
      </c>
      <c r="X218" s="17">
        <v>0</v>
      </c>
      <c r="Y218" s="15" t="s">
        <v>2875</v>
      </c>
      <c r="Z218" s="18" t="s">
        <v>2940</v>
      </c>
      <c r="AA218" s="18"/>
      <c r="AB218" s="16"/>
      <c r="AC218" s="16"/>
      <c r="AD218" s="16"/>
      <c r="AE218" s="16" t="s">
        <v>2941</v>
      </c>
      <c r="AF218" s="16"/>
      <c r="AI218" s="3" t="str">
        <f t="shared" ca="1" si="3"/>
        <v>OK</v>
      </c>
    </row>
    <row r="219" spans="1:35" x14ac:dyDescent="0.3">
      <c r="A219" s="13">
        <v>46032</v>
      </c>
      <c r="B219" s="14" t="s">
        <v>2806</v>
      </c>
      <c r="C219" s="16"/>
      <c r="D219" s="16"/>
      <c r="E219" s="15" t="s">
        <v>862</v>
      </c>
      <c r="F219" s="15" t="s">
        <v>1251</v>
      </c>
      <c r="G219" s="15" t="s">
        <v>267</v>
      </c>
      <c r="H219" s="15"/>
      <c r="I219" s="15" t="s">
        <v>1703</v>
      </c>
      <c r="J219" s="15" t="s">
        <v>1704</v>
      </c>
      <c r="K219" s="16"/>
      <c r="L219" s="14" t="s">
        <v>2807</v>
      </c>
      <c r="M219" s="16"/>
      <c r="N219" s="15" t="s">
        <v>950</v>
      </c>
      <c r="O219" s="14">
        <v>140000</v>
      </c>
      <c r="P219" s="14" t="s">
        <v>2846</v>
      </c>
      <c r="Q219" s="14" cm="1">
        <f t="array" ref="Q219">_xlfn.IFS(P219="USD",O219,P219="VND",O219/26090,P219="JPY",O219/161)</f>
        <v>5.3660406285933311</v>
      </c>
      <c r="R219" s="14">
        <v>7</v>
      </c>
      <c r="S219" s="14">
        <v>10</v>
      </c>
      <c r="T219" s="14"/>
      <c r="U219" s="14" t="s">
        <v>2848</v>
      </c>
      <c r="V219" s="14" t="s">
        <v>2857</v>
      </c>
      <c r="W219" s="14" t="s">
        <v>2858</v>
      </c>
      <c r="X219" s="17">
        <v>0</v>
      </c>
      <c r="Y219" s="15" t="s">
        <v>2875</v>
      </c>
      <c r="Z219" s="18" t="s">
        <v>2929</v>
      </c>
      <c r="AA219" s="22" t="s">
        <v>2931</v>
      </c>
      <c r="AB219" s="16"/>
      <c r="AC219" s="16"/>
      <c r="AD219" s="16"/>
      <c r="AE219" s="16" t="s">
        <v>2932</v>
      </c>
      <c r="AF219" s="16"/>
      <c r="AI219" s="3" t="str">
        <f t="shared" ca="1" si="3"/>
        <v>OK</v>
      </c>
    </row>
    <row r="220" spans="1:35" x14ac:dyDescent="0.3">
      <c r="A220" s="13">
        <v>46032</v>
      </c>
      <c r="B220" s="14" t="s">
        <v>2806</v>
      </c>
      <c r="C220" s="16"/>
      <c r="D220" s="16"/>
      <c r="E220" s="15" t="s">
        <v>862</v>
      </c>
      <c r="F220" s="15" t="s">
        <v>1251</v>
      </c>
      <c r="G220" s="15" t="s">
        <v>268</v>
      </c>
      <c r="H220" s="15"/>
      <c r="I220" s="15" t="s">
        <v>1705</v>
      </c>
      <c r="J220" s="15" t="s">
        <v>1706</v>
      </c>
      <c r="K220" s="16"/>
      <c r="L220" s="14" t="s">
        <v>2807</v>
      </c>
      <c r="M220" s="16"/>
      <c r="N220" s="15" t="s">
        <v>950</v>
      </c>
      <c r="O220" s="14">
        <v>800000</v>
      </c>
      <c r="P220" s="14" t="s">
        <v>2846</v>
      </c>
      <c r="Q220" s="14" cm="1">
        <f t="array" ref="Q220">_xlfn.IFS(P220="USD",O220,P220="VND",O220/26090,P220="JPY",O220/161)</f>
        <v>30.663089306247606</v>
      </c>
      <c r="R220" s="14">
        <v>7</v>
      </c>
      <c r="S220" s="14">
        <v>10</v>
      </c>
      <c r="T220" s="14"/>
      <c r="U220" s="14" t="s">
        <v>2848</v>
      </c>
      <c r="V220" s="14" t="s">
        <v>2857</v>
      </c>
      <c r="W220" s="14" t="s">
        <v>2858</v>
      </c>
      <c r="X220" s="17">
        <v>0</v>
      </c>
      <c r="Y220" s="15" t="s">
        <v>2875</v>
      </c>
      <c r="Z220" s="18" t="s">
        <v>2929</v>
      </c>
      <c r="AA220" s="22" t="s">
        <v>2931</v>
      </c>
      <c r="AB220" s="16"/>
      <c r="AC220" s="16"/>
      <c r="AD220" s="16"/>
      <c r="AE220" s="16" t="s">
        <v>2932</v>
      </c>
      <c r="AF220" s="16"/>
      <c r="AI220" s="3" t="str">
        <f t="shared" ca="1" si="3"/>
        <v>OK</v>
      </c>
    </row>
    <row r="221" spans="1:35" hidden="1" x14ac:dyDescent="0.3">
      <c r="A221" s="13">
        <v>46032</v>
      </c>
      <c r="B221" s="14" t="s">
        <v>2806</v>
      </c>
      <c r="C221" s="16"/>
      <c r="D221" s="16"/>
      <c r="E221" s="15" t="s">
        <v>850</v>
      </c>
      <c r="F221" s="15" t="s">
        <v>915</v>
      </c>
      <c r="G221" s="15" t="s">
        <v>269</v>
      </c>
      <c r="H221" s="15"/>
      <c r="I221" s="15" t="s">
        <v>1707</v>
      </c>
      <c r="J221" s="15" t="s">
        <v>1708</v>
      </c>
      <c r="K221" s="16"/>
      <c r="L221" s="14" t="s">
        <v>2808</v>
      </c>
      <c r="M221" s="16"/>
      <c r="N221" s="15" t="s">
        <v>999</v>
      </c>
      <c r="O221" s="14">
        <v>116.04</v>
      </c>
      <c r="P221" s="14" t="s">
        <v>2845</v>
      </c>
      <c r="Q221" s="14" cm="1">
        <f t="array" ref="Q221">_xlfn.IFS(P221="USD",O221,P221="VND",O221/26090,P221="JPY",O221/161)</f>
        <v>116.04</v>
      </c>
      <c r="R221" s="14">
        <v>30</v>
      </c>
      <c r="S221" s="14">
        <v>1</v>
      </c>
      <c r="T221" s="14"/>
      <c r="U221" s="14" t="s">
        <v>2850</v>
      </c>
      <c r="V221" s="14" t="s">
        <v>2859</v>
      </c>
      <c r="W221" s="14" t="s">
        <v>2860</v>
      </c>
      <c r="X221" s="17">
        <v>0</v>
      </c>
      <c r="Y221" s="15" t="s">
        <v>2876</v>
      </c>
      <c r="Z221" s="18"/>
      <c r="AA221" s="18"/>
      <c r="AB221" s="16"/>
      <c r="AC221" s="16"/>
      <c r="AD221" s="16"/>
      <c r="AE221" s="16"/>
      <c r="AF221" s="16"/>
      <c r="AI221" s="3" t="str">
        <f t="shared" ca="1" si="3"/>
        <v>OK</v>
      </c>
    </row>
    <row r="222" spans="1:35" hidden="1" x14ac:dyDescent="0.3">
      <c r="A222" s="13">
        <v>46032</v>
      </c>
      <c r="B222" s="14" t="s">
        <v>2806</v>
      </c>
      <c r="C222" s="16"/>
      <c r="D222" s="16"/>
      <c r="E222" s="15" t="s">
        <v>882</v>
      </c>
      <c r="F222" s="15" t="s">
        <v>1267</v>
      </c>
      <c r="G222" s="15" t="s">
        <v>270</v>
      </c>
      <c r="H222" s="15"/>
      <c r="I222" s="15" t="s">
        <v>1709</v>
      </c>
      <c r="J222" s="15" t="s">
        <v>1710</v>
      </c>
      <c r="K222" s="16"/>
      <c r="L222" s="14" t="s">
        <v>2814</v>
      </c>
      <c r="M222" s="16"/>
      <c r="N222" s="15" t="s">
        <v>1002</v>
      </c>
      <c r="O222" s="14">
        <v>18.760000000000002</v>
      </c>
      <c r="P222" s="14" t="s">
        <v>2845</v>
      </c>
      <c r="Q222" s="14" cm="1">
        <f t="array" ref="Q222">_xlfn.IFS(P222="USD",O222,P222="VND",O222/26090,P222="JPY",O222/161)</f>
        <v>18.760000000000002</v>
      </c>
      <c r="R222" s="14">
        <v>30</v>
      </c>
      <c r="S222" s="14">
        <v>500</v>
      </c>
      <c r="T222" s="14"/>
      <c r="U222" s="14" t="s">
        <v>2850</v>
      </c>
      <c r="V222" s="14" t="s">
        <v>2862</v>
      </c>
      <c r="W222" s="14" t="s">
        <v>2856</v>
      </c>
      <c r="X222" s="17">
        <v>0</v>
      </c>
      <c r="Y222" s="15" t="s">
        <v>2896</v>
      </c>
      <c r="Z222" s="20">
        <v>46032</v>
      </c>
      <c r="AA222" s="20" t="s">
        <v>2913</v>
      </c>
      <c r="AB222" s="16"/>
      <c r="AC222" s="16"/>
      <c r="AD222" s="16"/>
      <c r="AE222" s="16" t="s">
        <v>2915</v>
      </c>
      <c r="AF222" s="16"/>
      <c r="AI222" s="3" t="str">
        <f t="shared" ca="1" si="3"/>
        <v>OK</v>
      </c>
    </row>
    <row r="223" spans="1:35" hidden="1" x14ac:dyDescent="0.3">
      <c r="A223" s="13">
        <v>46032</v>
      </c>
      <c r="B223" s="14" t="s">
        <v>2806</v>
      </c>
      <c r="C223" s="16"/>
      <c r="D223" s="16"/>
      <c r="E223" s="15" t="s">
        <v>856</v>
      </c>
      <c r="F223" s="15" t="s">
        <v>1247</v>
      </c>
      <c r="G223" s="15" t="s">
        <v>271</v>
      </c>
      <c r="H223" s="15"/>
      <c r="I223" s="15" t="s">
        <v>1711</v>
      </c>
      <c r="J223" s="15" t="s">
        <v>1712</v>
      </c>
      <c r="K223" s="16"/>
      <c r="L223" s="14" t="s">
        <v>2815</v>
      </c>
      <c r="M223" s="16"/>
      <c r="N223" s="15" t="s">
        <v>994</v>
      </c>
      <c r="O223" s="14">
        <v>1</v>
      </c>
      <c r="P223" s="14" t="s">
        <v>2845</v>
      </c>
      <c r="Q223" s="14" cm="1">
        <f t="array" ref="Q223">_xlfn.IFS(P223="USD",O223,P223="VND",O223/26090,P223="JPY",O223/161)</f>
        <v>1</v>
      </c>
      <c r="R223" s="14">
        <v>120</v>
      </c>
      <c r="S223" s="14">
        <v>290</v>
      </c>
      <c r="T223" s="14"/>
      <c r="U223" s="14" t="s">
        <v>2848</v>
      </c>
      <c r="V223" s="14" t="s">
        <v>2857</v>
      </c>
      <c r="W223" s="14" t="s">
        <v>2858</v>
      </c>
      <c r="X223" s="17">
        <v>0</v>
      </c>
      <c r="Y223" s="15" t="s">
        <v>2879</v>
      </c>
      <c r="Z223" s="20">
        <v>46028</v>
      </c>
      <c r="AA223" s="18"/>
      <c r="AB223" s="16"/>
      <c r="AC223" s="16"/>
      <c r="AD223" s="16"/>
      <c r="AE223" s="16" t="s">
        <v>3012</v>
      </c>
      <c r="AF223" s="16"/>
      <c r="AI223" s="3" t="str">
        <f t="shared" ca="1" si="3"/>
        <v>OK</v>
      </c>
    </row>
    <row r="224" spans="1:35" hidden="1" x14ac:dyDescent="0.3">
      <c r="A224" s="13">
        <v>46032</v>
      </c>
      <c r="B224" s="14" t="s">
        <v>2806</v>
      </c>
      <c r="C224" s="16"/>
      <c r="D224" s="16"/>
      <c r="E224" s="15" t="s">
        <v>872</v>
      </c>
      <c r="F224" s="15" t="s">
        <v>1258</v>
      </c>
      <c r="G224" s="15" t="s">
        <v>272</v>
      </c>
      <c r="H224" s="15"/>
      <c r="I224" s="15" t="s">
        <v>1713</v>
      </c>
      <c r="J224" s="15" t="s">
        <v>1714</v>
      </c>
      <c r="K224" s="16"/>
      <c r="L224" s="14" t="s">
        <v>2823</v>
      </c>
      <c r="M224" s="16"/>
      <c r="N224" s="15" t="s">
        <v>1003</v>
      </c>
      <c r="O224" s="14">
        <v>1.55</v>
      </c>
      <c r="P224" s="14" t="s">
        <v>2845</v>
      </c>
      <c r="Q224" s="14" cm="1">
        <f t="array" ref="Q224">_xlfn.IFS(P224="USD",O224,P224="VND",O224/26090,P224="JPY",O224/161)</f>
        <v>1.55</v>
      </c>
      <c r="R224" s="14">
        <v>30</v>
      </c>
      <c r="S224" s="14">
        <v>30</v>
      </c>
      <c r="T224" s="14"/>
      <c r="U224" s="14" t="s">
        <v>2849</v>
      </c>
      <c r="V224" s="14" t="s">
        <v>2857</v>
      </c>
      <c r="W224" s="14" t="s">
        <v>2858</v>
      </c>
      <c r="X224" s="17">
        <v>0</v>
      </c>
      <c r="Y224" s="15" t="s">
        <v>2887</v>
      </c>
      <c r="Z224" s="18" t="s">
        <v>2930</v>
      </c>
      <c r="AA224" s="18"/>
      <c r="AB224" s="16"/>
      <c r="AC224" s="16"/>
      <c r="AD224" s="16"/>
      <c r="AE224" s="16" t="s">
        <v>2952</v>
      </c>
      <c r="AF224" s="16"/>
      <c r="AI224" s="3" t="str">
        <f t="shared" ca="1" si="3"/>
        <v>OK</v>
      </c>
    </row>
    <row r="225" spans="1:35" hidden="1" x14ac:dyDescent="0.3">
      <c r="A225" s="13">
        <v>46032</v>
      </c>
      <c r="B225" s="14" t="s">
        <v>2806</v>
      </c>
      <c r="C225" s="16"/>
      <c r="D225" s="16"/>
      <c r="E225" s="15" t="s">
        <v>872</v>
      </c>
      <c r="F225" s="15" t="s">
        <v>1258</v>
      </c>
      <c r="G225" s="15" t="s">
        <v>273</v>
      </c>
      <c r="H225" s="15"/>
      <c r="I225" s="15" t="s">
        <v>1715</v>
      </c>
      <c r="J225" s="15" t="s">
        <v>1716</v>
      </c>
      <c r="K225" s="16"/>
      <c r="L225" s="14" t="s">
        <v>2823</v>
      </c>
      <c r="M225" s="16"/>
      <c r="N225" s="15" t="s">
        <v>1003</v>
      </c>
      <c r="O225" s="14">
        <v>3.9</v>
      </c>
      <c r="P225" s="14" t="s">
        <v>2845</v>
      </c>
      <c r="Q225" s="14" cm="1">
        <f t="array" ref="Q225">_xlfn.IFS(P225="USD",O225,P225="VND",O225/26090,P225="JPY",O225/161)</f>
        <v>3.9</v>
      </c>
      <c r="R225" s="14">
        <v>90</v>
      </c>
      <c r="S225" s="14">
        <v>300</v>
      </c>
      <c r="T225" s="14"/>
      <c r="U225" s="14" t="s">
        <v>2849</v>
      </c>
      <c r="V225" s="14" t="s">
        <v>2857</v>
      </c>
      <c r="W225" s="14" t="s">
        <v>2858</v>
      </c>
      <c r="X225" s="17">
        <v>0</v>
      </c>
      <c r="Y225" s="15" t="s">
        <v>2887</v>
      </c>
      <c r="Z225" s="18" t="s">
        <v>2930</v>
      </c>
      <c r="AA225" s="18"/>
      <c r="AB225" s="16"/>
      <c r="AC225" s="16"/>
      <c r="AD225" s="16"/>
      <c r="AE225" s="16" t="s">
        <v>2952</v>
      </c>
      <c r="AF225" s="16"/>
      <c r="AI225" s="3" t="str">
        <f t="shared" ca="1" si="3"/>
        <v>OK</v>
      </c>
    </row>
    <row r="226" spans="1:35" hidden="1" x14ac:dyDescent="0.3">
      <c r="A226" s="13">
        <v>46032</v>
      </c>
      <c r="B226" s="14" t="s">
        <v>2806</v>
      </c>
      <c r="C226" s="16"/>
      <c r="D226" s="16"/>
      <c r="E226" s="15" t="s">
        <v>872</v>
      </c>
      <c r="F226" s="15" t="s">
        <v>1258</v>
      </c>
      <c r="G226" s="15" t="s">
        <v>274</v>
      </c>
      <c r="H226" s="15"/>
      <c r="I226" s="15" t="s">
        <v>1717</v>
      </c>
      <c r="J226" s="15" t="s">
        <v>1718</v>
      </c>
      <c r="K226" s="16"/>
      <c r="L226" s="14" t="s">
        <v>2823</v>
      </c>
      <c r="M226" s="16"/>
      <c r="N226" s="15" t="s">
        <v>1003</v>
      </c>
      <c r="O226" s="14">
        <v>3.9</v>
      </c>
      <c r="P226" s="14" t="s">
        <v>2845</v>
      </c>
      <c r="Q226" s="14" cm="1">
        <f t="array" ref="Q226">_xlfn.IFS(P226="USD",O226,P226="VND",O226/26090,P226="JPY",O226/161)</f>
        <v>3.9</v>
      </c>
      <c r="R226" s="14">
        <v>90</v>
      </c>
      <c r="S226" s="14">
        <v>300</v>
      </c>
      <c r="T226" s="14"/>
      <c r="U226" s="14" t="s">
        <v>2849</v>
      </c>
      <c r="V226" s="14" t="s">
        <v>2857</v>
      </c>
      <c r="W226" s="14" t="s">
        <v>2858</v>
      </c>
      <c r="X226" s="17">
        <v>0</v>
      </c>
      <c r="Y226" s="15" t="s">
        <v>2887</v>
      </c>
      <c r="Z226" s="18" t="s">
        <v>2930</v>
      </c>
      <c r="AA226" s="18"/>
      <c r="AB226" s="16"/>
      <c r="AC226" s="16"/>
      <c r="AD226" s="16"/>
      <c r="AE226" s="16" t="s">
        <v>2952</v>
      </c>
      <c r="AF226" s="16"/>
      <c r="AI226" s="3" t="str">
        <f t="shared" ca="1" si="3"/>
        <v>OK</v>
      </c>
    </row>
    <row r="227" spans="1:35" hidden="1" x14ac:dyDescent="0.3">
      <c r="A227" s="13">
        <v>46032</v>
      </c>
      <c r="B227" s="14" t="s">
        <v>2806</v>
      </c>
      <c r="C227" s="16"/>
      <c r="D227" s="16"/>
      <c r="E227" s="15" t="s">
        <v>872</v>
      </c>
      <c r="F227" s="15" t="s">
        <v>1258</v>
      </c>
      <c r="G227" s="15" t="s">
        <v>275</v>
      </c>
      <c r="H227" s="15"/>
      <c r="I227" s="15" t="s">
        <v>1719</v>
      </c>
      <c r="J227" s="15" t="s">
        <v>1720</v>
      </c>
      <c r="K227" s="16"/>
      <c r="L227" s="14" t="s">
        <v>2823</v>
      </c>
      <c r="M227" s="16"/>
      <c r="N227" s="15" t="s">
        <v>1003</v>
      </c>
      <c r="O227" s="14">
        <v>3.9</v>
      </c>
      <c r="P227" s="14" t="s">
        <v>2845</v>
      </c>
      <c r="Q227" s="14" cm="1">
        <f t="array" ref="Q227">_xlfn.IFS(P227="USD",O227,P227="VND",O227/26090,P227="JPY",O227/161)</f>
        <v>3.9</v>
      </c>
      <c r="R227" s="14">
        <v>90</v>
      </c>
      <c r="S227" s="14">
        <v>300</v>
      </c>
      <c r="T227" s="14"/>
      <c r="U227" s="14" t="s">
        <v>2849</v>
      </c>
      <c r="V227" s="14" t="s">
        <v>2857</v>
      </c>
      <c r="W227" s="14" t="s">
        <v>2858</v>
      </c>
      <c r="X227" s="17">
        <v>0</v>
      </c>
      <c r="Y227" s="15" t="s">
        <v>2887</v>
      </c>
      <c r="Z227" s="18" t="s">
        <v>2930</v>
      </c>
      <c r="AA227" s="18"/>
      <c r="AB227" s="16"/>
      <c r="AC227" s="16"/>
      <c r="AD227" s="16"/>
      <c r="AE227" s="16" t="s">
        <v>2952</v>
      </c>
      <c r="AF227" s="16"/>
      <c r="AI227" s="3" t="str">
        <f t="shared" ca="1" si="3"/>
        <v>OK</v>
      </c>
    </row>
    <row r="228" spans="1:35" hidden="1" x14ac:dyDescent="0.3">
      <c r="A228" s="13">
        <v>46032</v>
      </c>
      <c r="B228" s="14" t="s">
        <v>2806</v>
      </c>
      <c r="C228" s="16"/>
      <c r="D228" s="16"/>
      <c r="E228" s="15" t="s">
        <v>878</v>
      </c>
      <c r="F228" s="15" t="s">
        <v>1264</v>
      </c>
      <c r="G228" s="15" t="s">
        <v>276</v>
      </c>
      <c r="H228" s="15"/>
      <c r="I228" s="15" t="s">
        <v>1721</v>
      </c>
      <c r="J228" s="15" t="s">
        <v>1722</v>
      </c>
      <c r="K228" s="16"/>
      <c r="L228" s="14" t="s">
        <v>2816</v>
      </c>
      <c r="M228" s="16"/>
      <c r="N228" s="15" t="s">
        <v>1004</v>
      </c>
      <c r="O228" s="14">
        <v>108.15</v>
      </c>
      <c r="P228" s="14" t="s">
        <v>2845</v>
      </c>
      <c r="Q228" s="14" cm="1">
        <f t="array" ref="Q228">_xlfn.IFS(P228="USD",O228,P228="VND",O228/26090,P228="JPY",O228/161)</f>
        <v>108.15</v>
      </c>
      <c r="R228" s="14">
        <v>30</v>
      </c>
      <c r="S228" s="14" t="s">
        <v>2910</v>
      </c>
      <c r="T228" s="14"/>
      <c r="U228" s="14" t="s">
        <v>2851</v>
      </c>
      <c r="V228" s="14" t="s">
        <v>2873</v>
      </c>
      <c r="W228" s="14" t="s">
        <v>2860</v>
      </c>
      <c r="X228" s="17">
        <v>0</v>
      </c>
      <c r="Y228" s="15" t="s">
        <v>2897</v>
      </c>
      <c r="Z228" s="18"/>
      <c r="AA228" s="18"/>
      <c r="AB228" s="16"/>
      <c r="AC228" s="16"/>
      <c r="AD228" s="16"/>
      <c r="AE228" s="16" t="s">
        <v>3003</v>
      </c>
      <c r="AF228" s="16"/>
      <c r="AI228" s="3" t="str">
        <f t="shared" ca="1" si="3"/>
        <v>OK</v>
      </c>
    </row>
    <row r="229" spans="1:35" hidden="1" x14ac:dyDescent="0.3">
      <c r="A229" s="13">
        <v>46032</v>
      </c>
      <c r="B229" s="14" t="s">
        <v>2806</v>
      </c>
      <c r="C229" s="16"/>
      <c r="D229" s="16"/>
      <c r="E229" s="15" t="s">
        <v>856</v>
      </c>
      <c r="F229" s="15" t="s">
        <v>1247</v>
      </c>
      <c r="G229" s="15" t="s">
        <v>277</v>
      </c>
      <c r="H229" s="15"/>
      <c r="I229" s="15" t="s">
        <v>1723</v>
      </c>
      <c r="J229" s="15" t="s">
        <v>1724</v>
      </c>
      <c r="K229" s="16"/>
      <c r="L229" s="14" t="s">
        <v>2830</v>
      </c>
      <c r="M229" s="16"/>
      <c r="N229" s="15" t="s">
        <v>1005</v>
      </c>
      <c r="O229" s="14">
        <v>4.8</v>
      </c>
      <c r="P229" s="14" t="s">
        <v>2845</v>
      </c>
      <c r="Q229" s="14" cm="1">
        <f t="array" ref="Q229">_xlfn.IFS(P229="USD",O229,P229="VND",O229/26090,P229="JPY",O229/161)</f>
        <v>4.8</v>
      </c>
      <c r="R229" s="14">
        <v>90</v>
      </c>
      <c r="S229" s="14">
        <v>1</v>
      </c>
      <c r="T229" s="14"/>
      <c r="U229" s="14" t="s">
        <v>2848</v>
      </c>
      <c r="V229" s="14" t="s">
        <v>2857</v>
      </c>
      <c r="W229" s="14" t="s">
        <v>2858</v>
      </c>
      <c r="X229" s="17">
        <v>0</v>
      </c>
      <c r="Y229" s="15" t="s">
        <v>2879</v>
      </c>
      <c r="Z229" s="20">
        <v>46028</v>
      </c>
      <c r="AA229" s="18"/>
      <c r="AB229" s="16"/>
      <c r="AC229" s="16"/>
      <c r="AD229" s="16"/>
      <c r="AE229" s="16" t="s">
        <v>3012</v>
      </c>
      <c r="AF229" s="16"/>
      <c r="AI229" s="3" t="str">
        <f t="shared" ca="1" si="3"/>
        <v>OK</v>
      </c>
    </row>
    <row r="230" spans="1:35" x14ac:dyDescent="0.3">
      <c r="A230" s="13">
        <v>46032</v>
      </c>
      <c r="B230" s="14" t="s">
        <v>2806</v>
      </c>
      <c r="C230" s="16"/>
      <c r="D230" s="16"/>
      <c r="E230" s="15" t="s">
        <v>883</v>
      </c>
      <c r="F230" s="15" t="s">
        <v>1268</v>
      </c>
      <c r="G230" s="15" t="s">
        <v>278</v>
      </c>
      <c r="H230" s="15"/>
      <c r="I230" s="15" t="s">
        <v>1725</v>
      </c>
      <c r="J230" s="15" t="s">
        <v>1726</v>
      </c>
      <c r="K230" s="16"/>
      <c r="L230" s="14" t="s">
        <v>2826</v>
      </c>
      <c r="M230" s="16"/>
      <c r="N230" s="15" t="s">
        <v>1006</v>
      </c>
      <c r="O230" s="14">
        <v>2650000</v>
      </c>
      <c r="P230" s="14" t="s">
        <v>2846</v>
      </c>
      <c r="Q230" s="14" cm="1">
        <f t="array" ref="Q230">_xlfn.IFS(P230="USD",O230,P230="VND",O230/26090,P230="JPY",O230/161)</f>
        <v>101.57148332694518</v>
      </c>
      <c r="R230" s="14">
        <v>30</v>
      </c>
      <c r="S230" s="14">
        <v>5</v>
      </c>
      <c r="T230" s="14"/>
      <c r="U230" s="14" t="s">
        <v>2848</v>
      </c>
      <c r="V230" s="14" t="s">
        <v>2857</v>
      </c>
      <c r="W230" s="14" t="s">
        <v>2858</v>
      </c>
      <c r="X230" s="17">
        <v>0</v>
      </c>
      <c r="Y230" s="15" t="s">
        <v>2875</v>
      </c>
      <c r="Z230" s="18" t="s">
        <v>3000</v>
      </c>
      <c r="AA230" s="22" t="s">
        <v>3001</v>
      </c>
      <c r="AB230" s="16"/>
      <c r="AC230" s="16"/>
      <c r="AD230" s="16"/>
      <c r="AE230" s="16" t="s">
        <v>3002</v>
      </c>
      <c r="AF230" s="16"/>
      <c r="AI230" s="3" t="str">
        <f t="shared" ca="1" si="3"/>
        <v>OK</v>
      </c>
    </row>
    <row r="231" spans="1:35" x14ac:dyDescent="0.3">
      <c r="A231" s="13">
        <v>46032</v>
      </c>
      <c r="B231" s="14" t="s">
        <v>2806</v>
      </c>
      <c r="C231" s="16"/>
      <c r="D231" s="16"/>
      <c r="E231" s="15" t="s">
        <v>883</v>
      </c>
      <c r="F231" s="15" t="s">
        <v>1268</v>
      </c>
      <c r="G231" s="15" t="s">
        <v>279</v>
      </c>
      <c r="H231" s="15"/>
      <c r="I231" s="15" t="s">
        <v>1727</v>
      </c>
      <c r="J231" s="15" t="s">
        <v>1728</v>
      </c>
      <c r="K231" s="16"/>
      <c r="L231" s="14" t="s">
        <v>2826</v>
      </c>
      <c r="M231" s="16"/>
      <c r="N231" s="15" t="s">
        <v>1006</v>
      </c>
      <c r="O231" s="14">
        <v>460000</v>
      </c>
      <c r="P231" s="14" t="s">
        <v>2846</v>
      </c>
      <c r="Q231" s="14" cm="1">
        <f t="array" ref="Q231">_xlfn.IFS(P231="USD",O231,P231="VND",O231/26090,P231="JPY",O231/161)</f>
        <v>17.631276351092371</v>
      </c>
      <c r="R231" s="14">
        <v>30</v>
      </c>
      <c r="S231" s="14">
        <v>5</v>
      </c>
      <c r="T231" s="14"/>
      <c r="U231" s="14" t="s">
        <v>2848</v>
      </c>
      <c r="V231" s="14" t="s">
        <v>2857</v>
      </c>
      <c r="W231" s="14" t="s">
        <v>2858</v>
      </c>
      <c r="X231" s="17">
        <v>0</v>
      </c>
      <c r="Y231" s="15" t="s">
        <v>2875</v>
      </c>
      <c r="Z231" s="18" t="s">
        <v>3000</v>
      </c>
      <c r="AA231" s="22" t="s">
        <v>3001</v>
      </c>
      <c r="AB231" s="16"/>
      <c r="AC231" s="16"/>
      <c r="AD231" s="16"/>
      <c r="AE231" s="16" t="s">
        <v>3003</v>
      </c>
      <c r="AF231" s="16"/>
      <c r="AI231" s="3" t="str">
        <f t="shared" ca="1" si="3"/>
        <v>OK</v>
      </c>
    </row>
    <row r="232" spans="1:35" hidden="1" x14ac:dyDescent="0.3">
      <c r="A232" s="13">
        <v>46032</v>
      </c>
      <c r="B232" s="14" t="s">
        <v>2806</v>
      </c>
      <c r="C232" s="16"/>
      <c r="D232" s="16"/>
      <c r="E232" s="15" t="s">
        <v>857</v>
      </c>
      <c r="F232" s="15" t="s">
        <v>912</v>
      </c>
      <c r="G232" s="15" t="s">
        <v>280</v>
      </c>
      <c r="H232" s="15"/>
      <c r="I232" s="15" t="s">
        <v>1729</v>
      </c>
      <c r="J232" s="15" t="s">
        <v>1730</v>
      </c>
      <c r="K232" s="16"/>
      <c r="L232" s="14" t="s">
        <v>2815</v>
      </c>
      <c r="M232" s="16"/>
      <c r="N232" s="15" t="s">
        <v>1007</v>
      </c>
      <c r="O232" s="14">
        <v>14</v>
      </c>
      <c r="P232" s="14" t="s">
        <v>2845</v>
      </c>
      <c r="Q232" s="14" cm="1">
        <f t="array" ref="Q232">_xlfn.IFS(P232="USD",O232,P232="VND",O232/26090,P232="JPY",O232/161)</f>
        <v>14</v>
      </c>
      <c r="R232" s="14">
        <v>30</v>
      </c>
      <c r="S232" s="14">
        <v>5</v>
      </c>
      <c r="T232" s="14"/>
      <c r="U232" s="14" t="s">
        <v>2848</v>
      </c>
      <c r="V232" s="14" t="s">
        <v>2857</v>
      </c>
      <c r="W232" s="14" t="s">
        <v>2858</v>
      </c>
      <c r="X232" s="17">
        <v>0</v>
      </c>
      <c r="Y232" s="15" t="s">
        <v>2875</v>
      </c>
      <c r="Z232" s="20">
        <v>46243</v>
      </c>
      <c r="AA232" s="20">
        <v>46608</v>
      </c>
      <c r="AB232" s="16"/>
      <c r="AC232" s="16"/>
      <c r="AD232" s="16"/>
      <c r="AE232" s="16" t="s">
        <v>2957</v>
      </c>
      <c r="AF232" s="16"/>
      <c r="AI232" s="3" t="str">
        <f t="shared" ca="1" si="3"/>
        <v>OK</v>
      </c>
    </row>
    <row r="233" spans="1:35" hidden="1" x14ac:dyDescent="0.3">
      <c r="A233" s="13">
        <v>46032</v>
      </c>
      <c r="B233" s="14" t="s">
        <v>2806</v>
      </c>
      <c r="C233" s="16"/>
      <c r="D233" s="16"/>
      <c r="E233" s="15" t="s">
        <v>855</v>
      </c>
      <c r="F233" s="15" t="s">
        <v>907</v>
      </c>
      <c r="G233" s="15" t="s">
        <v>3026</v>
      </c>
      <c r="H233" s="15"/>
      <c r="I233" s="15" t="s">
        <v>3027</v>
      </c>
      <c r="J233" s="15" t="s">
        <v>3028</v>
      </c>
      <c r="K233" s="16"/>
      <c r="L233" s="14" t="s">
        <v>2815</v>
      </c>
      <c r="M233" s="16"/>
      <c r="N233" s="15" t="s">
        <v>3029</v>
      </c>
      <c r="O233" s="14">
        <v>6.72</v>
      </c>
      <c r="P233" s="14" t="s">
        <v>2845</v>
      </c>
      <c r="Q233" s="14" cm="1">
        <f t="array" ref="Q233">_xlfn.IFS(P233="USD",O233,P233="VND",O233/26090,P233="JPY",O233/161)</f>
        <v>6.72</v>
      </c>
      <c r="R233" s="14">
        <v>30</v>
      </c>
      <c r="S233" s="14">
        <v>1</v>
      </c>
      <c r="T233" s="14"/>
      <c r="U233" s="14" t="s">
        <v>2849</v>
      </c>
      <c r="V233" s="14"/>
      <c r="W233" s="14" t="s">
        <v>2858</v>
      </c>
      <c r="X233" s="17">
        <v>0</v>
      </c>
      <c r="Y233" s="15" t="s">
        <v>2875</v>
      </c>
      <c r="Z233" s="20">
        <v>46029</v>
      </c>
      <c r="AA233" s="20"/>
      <c r="AB233" s="16"/>
      <c r="AC233" s="16"/>
      <c r="AD233" s="16"/>
      <c r="AE233" s="16" t="s">
        <v>2957</v>
      </c>
      <c r="AF233" s="16"/>
      <c r="AI233" s="3" t="str">
        <f t="shared" ca="1" si="3"/>
        <v>OK</v>
      </c>
    </row>
    <row r="234" spans="1:35" hidden="1" x14ac:dyDescent="0.3">
      <c r="A234" s="13">
        <v>46032</v>
      </c>
      <c r="B234" s="14" t="s">
        <v>2806</v>
      </c>
      <c r="C234" s="16"/>
      <c r="D234" s="16"/>
      <c r="E234" s="15" t="s">
        <v>849</v>
      </c>
      <c r="F234" s="15" t="s">
        <v>1243</v>
      </c>
      <c r="G234" s="15" t="s">
        <v>2960</v>
      </c>
      <c r="H234" s="15"/>
      <c r="I234" s="15" t="s">
        <v>2962</v>
      </c>
      <c r="J234" s="15" t="s">
        <v>2963</v>
      </c>
      <c r="K234" s="16"/>
      <c r="L234" s="14" t="s">
        <v>2818</v>
      </c>
      <c r="M234" s="16"/>
      <c r="N234" s="15" t="s">
        <v>2964</v>
      </c>
      <c r="O234" s="14">
        <v>3</v>
      </c>
      <c r="P234" s="14" t="s">
        <v>2845</v>
      </c>
      <c r="Q234" s="14" cm="1">
        <f t="array" ref="Q234">_xlfn.IFS(P234="USD",O234,P234="VND",O234/26090,P234="JPY",O234/161)</f>
        <v>3</v>
      </c>
      <c r="R234" s="14">
        <v>30</v>
      </c>
      <c r="S234" s="14">
        <v>10</v>
      </c>
      <c r="T234" s="14"/>
      <c r="U234" s="14" t="s">
        <v>2849</v>
      </c>
      <c r="V234" s="14" t="s">
        <v>2857</v>
      </c>
      <c r="W234" s="14" t="s">
        <v>2858</v>
      </c>
      <c r="X234" s="17">
        <v>0</v>
      </c>
      <c r="Y234" s="15" t="s">
        <v>2875</v>
      </c>
      <c r="Z234" s="20">
        <v>46274</v>
      </c>
      <c r="AA234" s="20">
        <v>46277</v>
      </c>
      <c r="AB234" s="16"/>
      <c r="AC234" s="16"/>
      <c r="AD234" s="16"/>
      <c r="AE234" s="16" t="s">
        <v>2961</v>
      </c>
      <c r="AF234" s="16"/>
      <c r="AI234" s="3" t="str">
        <f t="shared" ca="1" si="3"/>
        <v>NG</v>
      </c>
    </row>
    <row r="235" spans="1:35" hidden="1" x14ac:dyDescent="0.3">
      <c r="A235" s="13">
        <v>46032</v>
      </c>
      <c r="B235" s="14" t="s">
        <v>2806</v>
      </c>
      <c r="C235" s="16"/>
      <c r="D235" s="16"/>
      <c r="E235" s="15" t="s">
        <v>853</v>
      </c>
      <c r="F235" s="15" t="s">
        <v>903</v>
      </c>
      <c r="G235" s="15" t="s">
        <v>2985</v>
      </c>
      <c r="H235" s="15"/>
      <c r="I235" s="15" t="s">
        <v>2987</v>
      </c>
      <c r="J235" s="15" t="s">
        <v>2989</v>
      </c>
      <c r="K235" s="16"/>
      <c r="L235" s="14" t="s">
        <v>2813</v>
      </c>
      <c r="M235" s="16"/>
      <c r="N235" s="15" t="s">
        <v>922</v>
      </c>
      <c r="O235" s="14">
        <v>53.3</v>
      </c>
      <c r="P235" s="14" t="s">
        <v>2845</v>
      </c>
      <c r="Q235" s="14" cm="1">
        <f t="array" ref="Q235">_xlfn.IFS(P235="USD",O235,P235="VND",O235/26090,P235="JPY",O235/161)</f>
        <v>53.3</v>
      </c>
      <c r="R235" s="14">
        <v>114</v>
      </c>
      <c r="S235" s="14">
        <v>6</v>
      </c>
      <c r="T235" s="14"/>
      <c r="U235" s="14" t="s">
        <v>2850</v>
      </c>
      <c r="V235" s="14" t="s">
        <v>2862</v>
      </c>
      <c r="W235" s="14" t="s">
        <v>2856</v>
      </c>
      <c r="X235" s="17">
        <v>0</v>
      </c>
      <c r="Y235" s="15" t="s">
        <v>2878</v>
      </c>
      <c r="Z235" s="20">
        <v>46031</v>
      </c>
      <c r="AA235" s="18"/>
      <c r="AB235" s="16"/>
      <c r="AC235" s="16"/>
      <c r="AD235" s="16"/>
      <c r="AE235" s="16" t="s">
        <v>2984</v>
      </c>
      <c r="AF235" s="16"/>
      <c r="AI235" s="3" t="str">
        <f t="shared" ca="1" si="3"/>
        <v>OK</v>
      </c>
    </row>
    <row r="236" spans="1:35" hidden="1" x14ac:dyDescent="0.3">
      <c r="A236" s="13">
        <v>46032</v>
      </c>
      <c r="B236" s="14" t="s">
        <v>2806</v>
      </c>
      <c r="C236" s="16"/>
      <c r="D236" s="16"/>
      <c r="E236" s="15" t="s">
        <v>853</v>
      </c>
      <c r="F236" s="15" t="s">
        <v>903</v>
      </c>
      <c r="G236" s="15" t="s">
        <v>2986</v>
      </c>
      <c r="H236" s="15"/>
      <c r="I236" s="15" t="s">
        <v>2988</v>
      </c>
      <c r="J236" s="15" t="s">
        <v>2990</v>
      </c>
      <c r="K236" s="16"/>
      <c r="L236" s="14" t="s">
        <v>2813</v>
      </c>
      <c r="M236" s="16"/>
      <c r="N236" s="15" t="s">
        <v>922</v>
      </c>
      <c r="O236" s="14">
        <v>51</v>
      </c>
      <c r="P236" s="14" t="s">
        <v>2845</v>
      </c>
      <c r="Q236" s="14" cm="1">
        <f t="array" ref="Q236">_xlfn.IFS(P236="USD",O236,P236="VND",O236/26090,P236="JPY",O236/161)</f>
        <v>51</v>
      </c>
      <c r="R236" s="14">
        <v>114</v>
      </c>
      <c r="S236" s="14">
        <v>6</v>
      </c>
      <c r="T236" s="14"/>
      <c r="U236" s="14" t="s">
        <v>2850</v>
      </c>
      <c r="V236" s="14" t="s">
        <v>2862</v>
      </c>
      <c r="W236" s="14" t="s">
        <v>2856</v>
      </c>
      <c r="X236" s="17">
        <v>0</v>
      </c>
      <c r="Y236" s="15" t="s">
        <v>2878</v>
      </c>
      <c r="Z236" s="20">
        <v>46031</v>
      </c>
      <c r="AA236" s="18"/>
      <c r="AB236" s="16"/>
      <c r="AC236" s="16"/>
      <c r="AD236" s="16"/>
      <c r="AE236" s="16" t="s">
        <v>2984</v>
      </c>
      <c r="AF236" s="16"/>
      <c r="AI236" s="3" t="str">
        <f t="shared" ca="1" si="3"/>
        <v>OK</v>
      </c>
    </row>
    <row r="237" spans="1:35" hidden="1" x14ac:dyDescent="0.3">
      <c r="A237" s="13">
        <v>46032</v>
      </c>
      <c r="B237" s="14" t="s">
        <v>2806</v>
      </c>
      <c r="C237" s="16"/>
      <c r="D237" s="16"/>
      <c r="E237" s="15" t="s">
        <v>849</v>
      </c>
      <c r="F237" s="15" t="s">
        <v>1243</v>
      </c>
      <c r="G237" s="15" t="s">
        <v>281</v>
      </c>
      <c r="H237" s="15"/>
      <c r="I237" s="15" t="s">
        <v>1732</v>
      </c>
      <c r="J237" s="15" t="s">
        <v>1733</v>
      </c>
      <c r="K237" s="16"/>
      <c r="L237" s="14" t="s">
        <v>2818</v>
      </c>
      <c r="M237" s="16"/>
      <c r="N237" s="15" t="s">
        <v>1009</v>
      </c>
      <c r="O237" s="14">
        <v>7.81</v>
      </c>
      <c r="P237" s="14" t="s">
        <v>2845</v>
      </c>
      <c r="Q237" s="14" cm="1">
        <f t="array" ref="Q237">_xlfn.IFS(P237="USD",O237,P237="VND",O237/26090,P237="JPY",O237/161)</f>
        <v>7.81</v>
      </c>
      <c r="R237" s="14">
        <v>25</v>
      </c>
      <c r="S237" s="14">
        <v>1</v>
      </c>
      <c r="T237" s="14"/>
      <c r="U237" s="14" t="s">
        <v>2849</v>
      </c>
      <c r="V237" s="14" t="s">
        <v>2857</v>
      </c>
      <c r="W237" s="14" t="s">
        <v>2858</v>
      </c>
      <c r="X237" s="17">
        <v>0</v>
      </c>
      <c r="Y237" s="15" t="s">
        <v>2875</v>
      </c>
      <c r="Z237" s="20">
        <v>46028</v>
      </c>
      <c r="AA237" s="20">
        <v>46393</v>
      </c>
      <c r="AB237" s="16"/>
      <c r="AC237" s="16"/>
      <c r="AD237" s="16"/>
      <c r="AE237" s="16" t="s">
        <v>2959</v>
      </c>
      <c r="AF237" s="16"/>
      <c r="AI237" s="3" t="str">
        <f t="shared" ca="1" si="3"/>
        <v>OK</v>
      </c>
    </row>
    <row r="238" spans="1:35" hidden="1" x14ac:dyDescent="0.3">
      <c r="A238" s="13">
        <v>46032</v>
      </c>
      <c r="B238" s="14" t="s">
        <v>2806</v>
      </c>
      <c r="C238" s="16"/>
      <c r="D238" s="16"/>
      <c r="E238" s="15" t="s">
        <v>849</v>
      </c>
      <c r="F238" s="15" t="s">
        <v>1243</v>
      </c>
      <c r="G238" s="15" t="s">
        <v>282</v>
      </c>
      <c r="H238" s="15"/>
      <c r="I238" s="15" t="s">
        <v>1734</v>
      </c>
      <c r="J238" s="15" t="s">
        <v>1735</v>
      </c>
      <c r="K238" s="16"/>
      <c r="L238" s="14" t="s">
        <v>2818</v>
      </c>
      <c r="M238" s="16"/>
      <c r="N238" s="15" t="s">
        <v>1009</v>
      </c>
      <c r="O238" s="14">
        <v>7.81</v>
      </c>
      <c r="P238" s="14" t="s">
        <v>2845</v>
      </c>
      <c r="Q238" s="14" cm="1">
        <f t="array" ref="Q238">_xlfn.IFS(P238="USD",O238,P238="VND",O238/26090,P238="JPY",O238/161)</f>
        <v>7.81</v>
      </c>
      <c r="R238" s="14">
        <v>25</v>
      </c>
      <c r="S238" s="14">
        <v>1</v>
      </c>
      <c r="T238" s="14"/>
      <c r="U238" s="14" t="s">
        <v>2849</v>
      </c>
      <c r="V238" s="14" t="s">
        <v>2857</v>
      </c>
      <c r="W238" s="14" t="s">
        <v>2858</v>
      </c>
      <c r="X238" s="17">
        <v>0</v>
      </c>
      <c r="Y238" s="15" t="s">
        <v>2875</v>
      </c>
      <c r="Z238" s="20">
        <v>46028</v>
      </c>
      <c r="AA238" s="20">
        <v>46393</v>
      </c>
      <c r="AB238" s="16"/>
      <c r="AC238" s="16"/>
      <c r="AD238" s="16"/>
      <c r="AE238" s="16" t="s">
        <v>2959</v>
      </c>
      <c r="AF238" s="16"/>
      <c r="AI238" s="3" t="str">
        <f t="shared" ca="1" si="3"/>
        <v>OK</v>
      </c>
    </row>
    <row r="239" spans="1:35" hidden="1" x14ac:dyDescent="0.3">
      <c r="A239" s="13">
        <v>46032</v>
      </c>
      <c r="B239" s="14" t="s">
        <v>2806</v>
      </c>
      <c r="C239" s="16"/>
      <c r="D239" s="16"/>
      <c r="E239" s="15" t="s">
        <v>884</v>
      </c>
      <c r="F239" s="15" t="s">
        <v>1269</v>
      </c>
      <c r="G239" s="15" t="s">
        <v>283</v>
      </c>
      <c r="H239" s="15"/>
      <c r="I239" s="15" t="s">
        <v>1736</v>
      </c>
      <c r="J239" s="15" t="s">
        <v>1737</v>
      </c>
      <c r="K239" s="16"/>
      <c r="L239" s="14" t="s">
        <v>2823</v>
      </c>
      <c r="M239" s="16"/>
      <c r="N239" s="15" t="s">
        <v>1010</v>
      </c>
      <c r="O239" s="14">
        <v>9.81</v>
      </c>
      <c r="P239" s="14" t="s">
        <v>2845</v>
      </c>
      <c r="Q239" s="14" cm="1">
        <f t="array" ref="Q239">_xlfn.IFS(P239="USD",O239,P239="VND",O239/26090,P239="JPY",O239/161)</f>
        <v>9.81</v>
      </c>
      <c r="R239" s="14">
        <v>90</v>
      </c>
      <c r="S239" s="14">
        <v>10</v>
      </c>
      <c r="T239" s="14"/>
      <c r="U239" s="14" t="s">
        <v>2848</v>
      </c>
      <c r="V239" s="14" t="s">
        <v>2857</v>
      </c>
      <c r="W239" s="14" t="s">
        <v>2858</v>
      </c>
      <c r="X239" s="17">
        <v>0</v>
      </c>
      <c r="Y239" s="15" t="s">
        <v>2898</v>
      </c>
      <c r="Z239" s="20">
        <v>45754</v>
      </c>
      <c r="AA239" s="18"/>
      <c r="AB239" s="16"/>
      <c r="AC239" s="16"/>
      <c r="AD239" s="16"/>
      <c r="AE239" s="16" t="s">
        <v>2951</v>
      </c>
      <c r="AF239" s="16"/>
      <c r="AI239" s="3" t="str">
        <f t="shared" ca="1" si="3"/>
        <v>OK</v>
      </c>
    </row>
    <row r="240" spans="1:35" hidden="1" x14ac:dyDescent="0.3">
      <c r="A240" s="13">
        <v>46032</v>
      </c>
      <c r="B240" s="14" t="s">
        <v>2806</v>
      </c>
      <c r="C240" s="16"/>
      <c r="D240" s="16"/>
      <c r="E240" s="15" t="s">
        <v>884</v>
      </c>
      <c r="F240" s="15" t="s">
        <v>1269</v>
      </c>
      <c r="G240" s="15" t="s">
        <v>284</v>
      </c>
      <c r="H240" s="15"/>
      <c r="I240" s="15" t="s">
        <v>1738</v>
      </c>
      <c r="J240" s="15" t="s">
        <v>1739</v>
      </c>
      <c r="K240" s="16"/>
      <c r="L240" s="14" t="s">
        <v>2823</v>
      </c>
      <c r="M240" s="16"/>
      <c r="N240" s="15" t="s">
        <v>1010</v>
      </c>
      <c r="O240" s="14">
        <v>9.36</v>
      </c>
      <c r="P240" s="14" t="s">
        <v>2845</v>
      </c>
      <c r="Q240" s="14" cm="1">
        <f t="array" ref="Q240">_xlfn.IFS(P240="USD",O240,P240="VND",O240/26090,P240="JPY",O240/161)</f>
        <v>9.36</v>
      </c>
      <c r="R240" s="14">
        <v>90</v>
      </c>
      <c r="S240" s="14">
        <v>10</v>
      </c>
      <c r="T240" s="14"/>
      <c r="U240" s="14" t="s">
        <v>2848</v>
      </c>
      <c r="V240" s="14" t="s">
        <v>2857</v>
      </c>
      <c r="W240" s="14" t="s">
        <v>2858</v>
      </c>
      <c r="X240" s="17">
        <v>0</v>
      </c>
      <c r="Y240" s="15" t="s">
        <v>2898</v>
      </c>
      <c r="Z240" s="20">
        <v>45754</v>
      </c>
      <c r="AA240" s="18"/>
      <c r="AB240" s="16"/>
      <c r="AC240" s="16"/>
      <c r="AD240" s="16"/>
      <c r="AE240" s="16" t="s">
        <v>2951</v>
      </c>
      <c r="AF240" s="16"/>
      <c r="AI240" s="3" t="str">
        <f t="shared" ca="1" si="3"/>
        <v>OK</v>
      </c>
    </row>
    <row r="241" spans="1:35" hidden="1" x14ac:dyDescent="0.3">
      <c r="A241" s="13">
        <v>46032</v>
      </c>
      <c r="B241" s="14" t="s">
        <v>2806</v>
      </c>
      <c r="C241" s="16"/>
      <c r="D241" s="16"/>
      <c r="E241" s="15" t="s">
        <v>859</v>
      </c>
      <c r="F241" s="15" t="s">
        <v>908</v>
      </c>
      <c r="G241" s="15" t="s">
        <v>285</v>
      </c>
      <c r="H241" s="15"/>
      <c r="I241" s="15" t="s">
        <v>1740</v>
      </c>
      <c r="J241" s="15" t="s">
        <v>1741</v>
      </c>
      <c r="K241" s="16"/>
      <c r="L241" s="14" t="s">
        <v>2831</v>
      </c>
      <c r="M241" s="16"/>
      <c r="N241" s="15" t="s">
        <v>1011</v>
      </c>
      <c r="O241" s="14">
        <v>6.06</v>
      </c>
      <c r="P241" s="14" t="s">
        <v>2845</v>
      </c>
      <c r="Q241" s="14" cm="1">
        <f t="array" ref="Q241">_xlfn.IFS(P241="USD",O241,P241="VND",O241/26090,P241="JPY",O241/161)</f>
        <v>6.06</v>
      </c>
      <c r="R241" s="14">
        <v>10</v>
      </c>
      <c r="S241" s="14">
        <v>1</v>
      </c>
      <c r="T241" s="14"/>
      <c r="U241" s="14" t="s">
        <v>2848</v>
      </c>
      <c r="V241" s="14" t="s">
        <v>2857</v>
      </c>
      <c r="W241" s="14" t="s">
        <v>2858</v>
      </c>
      <c r="X241" s="17">
        <v>0</v>
      </c>
      <c r="Y241" s="15" t="s">
        <v>2875</v>
      </c>
      <c r="Z241" s="20">
        <v>45664</v>
      </c>
      <c r="AA241" s="18"/>
      <c r="AB241" s="16"/>
      <c r="AC241" s="16"/>
      <c r="AD241" s="16"/>
      <c r="AE241" s="16" t="s">
        <v>3033</v>
      </c>
      <c r="AF241" s="16"/>
      <c r="AI241" s="3" t="str">
        <f t="shared" ca="1" si="3"/>
        <v>OK</v>
      </c>
    </row>
    <row r="242" spans="1:35" hidden="1" x14ac:dyDescent="0.3">
      <c r="A242" s="13">
        <v>46032</v>
      </c>
      <c r="B242" s="14" t="s">
        <v>2806</v>
      </c>
      <c r="C242" s="16"/>
      <c r="D242" s="16"/>
      <c r="E242" s="15" t="s">
        <v>859</v>
      </c>
      <c r="F242" s="15" t="s">
        <v>908</v>
      </c>
      <c r="G242" s="15" t="s">
        <v>286</v>
      </c>
      <c r="H242" s="15"/>
      <c r="I242" s="15" t="s">
        <v>1742</v>
      </c>
      <c r="J242" s="15" t="s">
        <v>1743</v>
      </c>
      <c r="K242" s="16"/>
      <c r="L242" s="14" t="s">
        <v>2823</v>
      </c>
      <c r="M242" s="16"/>
      <c r="N242" s="15" t="s">
        <v>1012</v>
      </c>
      <c r="O242" s="14">
        <v>1.65</v>
      </c>
      <c r="P242" s="14" t="s">
        <v>2845</v>
      </c>
      <c r="Q242" s="14" cm="1">
        <f t="array" ref="Q242">_xlfn.IFS(P242="USD",O242,P242="VND",O242/26090,P242="JPY",O242/161)</f>
        <v>1.65</v>
      </c>
      <c r="R242" s="14">
        <v>10</v>
      </c>
      <c r="S242" s="14">
        <v>1</v>
      </c>
      <c r="T242" s="14"/>
      <c r="U242" s="14" t="s">
        <v>2848</v>
      </c>
      <c r="V242" s="14" t="s">
        <v>2857</v>
      </c>
      <c r="W242" s="14" t="s">
        <v>2858</v>
      </c>
      <c r="X242" s="17">
        <v>0</v>
      </c>
      <c r="Y242" s="15" t="s">
        <v>2875</v>
      </c>
      <c r="Z242" s="20">
        <v>45664</v>
      </c>
      <c r="AA242" s="18"/>
      <c r="AB242" s="16"/>
      <c r="AC242" s="16"/>
      <c r="AD242" s="16"/>
      <c r="AE242" s="16" t="s">
        <v>3033</v>
      </c>
      <c r="AF242" s="16"/>
      <c r="AI242" s="3" t="str">
        <f t="shared" ca="1" si="3"/>
        <v>OK</v>
      </c>
    </row>
    <row r="243" spans="1:35" hidden="1" x14ac:dyDescent="0.3">
      <c r="A243" s="13">
        <v>46032</v>
      </c>
      <c r="B243" s="14" t="s">
        <v>2806</v>
      </c>
      <c r="C243" s="16"/>
      <c r="D243" s="16"/>
      <c r="E243" s="15" t="s">
        <v>859</v>
      </c>
      <c r="F243" s="15" t="s">
        <v>908</v>
      </c>
      <c r="G243" s="15" t="s">
        <v>287</v>
      </c>
      <c r="H243" s="15"/>
      <c r="I243" s="15" t="s">
        <v>1744</v>
      </c>
      <c r="J243" s="15" t="s">
        <v>1745</v>
      </c>
      <c r="K243" s="16"/>
      <c r="L243" s="14" t="s">
        <v>2832</v>
      </c>
      <c r="M243" s="16"/>
      <c r="N243" s="15" t="s">
        <v>3031</v>
      </c>
      <c r="O243" s="14">
        <v>1.75</v>
      </c>
      <c r="P243" s="14" t="s">
        <v>2845</v>
      </c>
      <c r="Q243" s="14" cm="1">
        <f t="array" ref="Q243">_xlfn.IFS(P243="USD",O243,P243="VND",O243/26090,P243="JPY",O243/161)</f>
        <v>1.75</v>
      </c>
      <c r="R243" s="14">
        <v>10</v>
      </c>
      <c r="S243" s="14">
        <v>1</v>
      </c>
      <c r="T243" s="14"/>
      <c r="U243" s="14" t="s">
        <v>2848</v>
      </c>
      <c r="V243" s="14" t="s">
        <v>2857</v>
      </c>
      <c r="W243" s="14" t="s">
        <v>2858</v>
      </c>
      <c r="X243" s="17">
        <v>0</v>
      </c>
      <c r="Y243" s="15" t="s">
        <v>2875</v>
      </c>
      <c r="Z243" s="18" t="s">
        <v>3032</v>
      </c>
      <c r="AA243" s="18"/>
      <c r="AB243" s="16"/>
      <c r="AC243" s="16"/>
      <c r="AD243" s="16"/>
      <c r="AE243" s="19" t="s">
        <v>3030</v>
      </c>
      <c r="AF243" s="16"/>
      <c r="AI243" s="3" t="str">
        <f t="shared" ca="1" si="3"/>
        <v>OK</v>
      </c>
    </row>
    <row r="244" spans="1:35" hidden="1" x14ac:dyDescent="0.3">
      <c r="A244" s="13">
        <v>46032</v>
      </c>
      <c r="B244" s="14" t="s">
        <v>2806</v>
      </c>
      <c r="C244" s="16"/>
      <c r="D244" s="16"/>
      <c r="E244" s="15" t="s">
        <v>859</v>
      </c>
      <c r="F244" s="15" t="s">
        <v>908</v>
      </c>
      <c r="G244" s="15" t="s">
        <v>288</v>
      </c>
      <c r="H244" s="15"/>
      <c r="I244" s="15" t="s">
        <v>1746</v>
      </c>
      <c r="J244" s="15" t="s">
        <v>1747</v>
      </c>
      <c r="K244" s="16"/>
      <c r="L244" s="14" t="s">
        <v>2832</v>
      </c>
      <c r="M244" s="16"/>
      <c r="N244" s="15" t="s">
        <v>3031</v>
      </c>
      <c r="O244" s="14">
        <v>2.96</v>
      </c>
      <c r="P244" s="14" t="s">
        <v>2845</v>
      </c>
      <c r="Q244" s="14" cm="1">
        <f t="array" ref="Q244">_xlfn.IFS(P244="USD",O244,P244="VND",O244/26090,P244="JPY",O244/161)</f>
        <v>2.96</v>
      </c>
      <c r="R244" s="14">
        <v>10</v>
      </c>
      <c r="S244" s="14">
        <v>1</v>
      </c>
      <c r="T244" s="14"/>
      <c r="U244" s="14" t="s">
        <v>2848</v>
      </c>
      <c r="V244" s="14" t="s">
        <v>2857</v>
      </c>
      <c r="W244" s="14" t="s">
        <v>2858</v>
      </c>
      <c r="X244" s="17">
        <v>0</v>
      </c>
      <c r="Y244" s="15" t="s">
        <v>2875</v>
      </c>
      <c r="Z244" s="18" t="s">
        <v>3032</v>
      </c>
      <c r="AA244" s="18"/>
      <c r="AB244" s="16"/>
      <c r="AC244" s="16"/>
      <c r="AD244" s="16"/>
      <c r="AE244" s="19" t="s">
        <v>3030</v>
      </c>
      <c r="AF244" s="16"/>
      <c r="AI244" s="3" t="str">
        <f t="shared" ca="1" si="3"/>
        <v>OK</v>
      </c>
    </row>
    <row r="245" spans="1:35" hidden="1" x14ac:dyDescent="0.3">
      <c r="A245" s="13">
        <v>46032</v>
      </c>
      <c r="B245" s="14" t="s">
        <v>2806</v>
      </c>
      <c r="C245" s="16"/>
      <c r="D245" s="16"/>
      <c r="E245" s="15" t="s">
        <v>855</v>
      </c>
      <c r="F245" s="15" t="s">
        <v>907</v>
      </c>
      <c r="G245" s="15" t="s">
        <v>289</v>
      </c>
      <c r="H245" s="15"/>
      <c r="I245" s="15" t="s">
        <v>1748</v>
      </c>
      <c r="J245" s="15" t="s">
        <v>1749</v>
      </c>
      <c r="K245" s="16"/>
      <c r="L245" s="14" t="s">
        <v>2823</v>
      </c>
      <c r="M245" s="16"/>
      <c r="N245" s="15" t="s">
        <v>1013</v>
      </c>
      <c r="O245" s="14">
        <v>5.6000000000000001E-2</v>
      </c>
      <c r="P245" s="14" t="s">
        <v>2845</v>
      </c>
      <c r="Q245" s="14" cm="1">
        <f t="array" ref="Q245">_xlfn.IFS(P245="USD",O245,P245="VND",O245/26090,P245="JPY",O245/161)</f>
        <v>5.6000000000000001E-2</v>
      </c>
      <c r="R245" s="14">
        <v>30</v>
      </c>
      <c r="S245" s="14">
        <v>1</v>
      </c>
      <c r="T245" s="14"/>
      <c r="U245" s="14" t="s">
        <v>2849</v>
      </c>
      <c r="V245" s="14" t="s">
        <v>2857</v>
      </c>
      <c r="W245" s="14" t="s">
        <v>2858</v>
      </c>
      <c r="X245" s="17">
        <v>0</v>
      </c>
      <c r="Y245" s="15" t="s">
        <v>2875</v>
      </c>
      <c r="Z245" s="20">
        <v>46029</v>
      </c>
      <c r="AA245" s="18"/>
      <c r="AB245" s="16"/>
      <c r="AC245" s="16"/>
      <c r="AD245" s="16"/>
      <c r="AE245" s="16" t="s">
        <v>3025</v>
      </c>
      <c r="AF245" s="16"/>
      <c r="AI245" s="3" t="str">
        <f t="shared" ca="1" si="3"/>
        <v>OK</v>
      </c>
    </row>
    <row r="246" spans="1:35" hidden="1" x14ac:dyDescent="0.3">
      <c r="A246" s="13">
        <v>46032</v>
      </c>
      <c r="B246" s="14" t="s">
        <v>2806</v>
      </c>
      <c r="C246" s="16"/>
      <c r="D246" s="16"/>
      <c r="E246" s="15" t="s">
        <v>855</v>
      </c>
      <c r="F246" s="15" t="s">
        <v>907</v>
      </c>
      <c r="G246" s="15" t="s">
        <v>290</v>
      </c>
      <c r="H246" s="15"/>
      <c r="I246" s="15" t="s">
        <v>1750</v>
      </c>
      <c r="J246" s="15" t="s">
        <v>1751</v>
      </c>
      <c r="K246" s="16"/>
      <c r="L246" s="14" t="s">
        <v>2823</v>
      </c>
      <c r="M246" s="16"/>
      <c r="N246" s="15" t="s">
        <v>1013</v>
      </c>
      <c r="O246" s="14">
        <v>4.7E-2</v>
      </c>
      <c r="P246" s="14" t="s">
        <v>2845</v>
      </c>
      <c r="Q246" s="14" cm="1">
        <f t="array" ref="Q246">_xlfn.IFS(P246="USD",O246,P246="VND",O246/26090,P246="JPY",O246/161)</f>
        <v>4.7E-2</v>
      </c>
      <c r="R246" s="14">
        <v>30</v>
      </c>
      <c r="S246" s="14">
        <v>1</v>
      </c>
      <c r="T246" s="14"/>
      <c r="U246" s="14" t="s">
        <v>2849</v>
      </c>
      <c r="V246" s="14" t="s">
        <v>2857</v>
      </c>
      <c r="W246" s="14" t="s">
        <v>2858</v>
      </c>
      <c r="X246" s="17">
        <v>0</v>
      </c>
      <c r="Y246" s="15" t="s">
        <v>2875</v>
      </c>
      <c r="Z246" s="20">
        <v>46029</v>
      </c>
      <c r="AA246" s="18"/>
      <c r="AB246" s="16"/>
      <c r="AC246" s="16"/>
      <c r="AD246" s="16"/>
      <c r="AE246" s="16" t="s">
        <v>3025</v>
      </c>
      <c r="AF246" s="16"/>
      <c r="AI246" s="3" t="str">
        <f t="shared" ca="1" si="3"/>
        <v>OK</v>
      </c>
    </row>
    <row r="247" spans="1:35" hidden="1" x14ac:dyDescent="0.3">
      <c r="A247" s="13">
        <v>46032</v>
      </c>
      <c r="B247" s="14" t="s">
        <v>2806</v>
      </c>
      <c r="C247" s="16"/>
      <c r="D247" s="16"/>
      <c r="E247" s="15" t="s">
        <v>855</v>
      </c>
      <c r="F247" s="15" t="s">
        <v>907</v>
      </c>
      <c r="G247" s="15" t="s">
        <v>291</v>
      </c>
      <c r="H247" s="15"/>
      <c r="I247" s="15" t="s">
        <v>1752</v>
      </c>
      <c r="J247" s="15" t="s">
        <v>1753</v>
      </c>
      <c r="K247" s="16"/>
      <c r="L247" s="14" t="s">
        <v>2833</v>
      </c>
      <c r="M247" s="16"/>
      <c r="N247" s="15" t="s">
        <v>1013</v>
      </c>
      <c r="O247" s="14">
        <v>6.2110000000000003</v>
      </c>
      <c r="P247" s="14" t="s">
        <v>2845</v>
      </c>
      <c r="Q247" s="14" cm="1">
        <f t="array" ref="Q247">_xlfn.IFS(P247="USD",O247,P247="VND",O247/26090,P247="JPY",O247/161)</f>
        <v>6.2110000000000003</v>
      </c>
      <c r="R247" s="14">
        <v>30</v>
      </c>
      <c r="S247" s="14">
        <v>1</v>
      </c>
      <c r="T247" s="14"/>
      <c r="U247" s="14" t="s">
        <v>2849</v>
      </c>
      <c r="V247" s="14" t="s">
        <v>2857</v>
      </c>
      <c r="W247" s="14" t="s">
        <v>2858</v>
      </c>
      <c r="X247" s="17">
        <v>0</v>
      </c>
      <c r="Y247" s="15" t="s">
        <v>2875</v>
      </c>
      <c r="Z247" s="20">
        <v>46029</v>
      </c>
      <c r="AA247" s="18"/>
      <c r="AB247" s="16"/>
      <c r="AC247" s="16"/>
      <c r="AD247" s="16"/>
      <c r="AE247" s="16" t="s">
        <v>3025</v>
      </c>
      <c r="AF247" s="16"/>
      <c r="AI247" s="3" t="str">
        <f t="shared" ca="1" si="3"/>
        <v>OK</v>
      </c>
    </row>
    <row r="248" spans="1:35" hidden="1" x14ac:dyDescent="0.3">
      <c r="A248" s="13">
        <v>46032</v>
      </c>
      <c r="B248" s="14" t="s">
        <v>2806</v>
      </c>
      <c r="C248" s="16"/>
      <c r="D248" s="16"/>
      <c r="E248" s="15" t="s">
        <v>855</v>
      </c>
      <c r="F248" s="15" t="s">
        <v>907</v>
      </c>
      <c r="G248" s="15" t="s">
        <v>292</v>
      </c>
      <c r="H248" s="15"/>
      <c r="I248" s="15" t="s">
        <v>1754</v>
      </c>
      <c r="J248" s="15" t="s">
        <v>1755</v>
      </c>
      <c r="K248" s="16"/>
      <c r="L248" s="14" t="s">
        <v>2823</v>
      </c>
      <c r="M248" s="16"/>
      <c r="N248" s="15" t="s">
        <v>1013</v>
      </c>
      <c r="O248" s="14">
        <v>0.32400000000000001</v>
      </c>
      <c r="P248" s="14" t="s">
        <v>2845</v>
      </c>
      <c r="Q248" s="14" cm="1">
        <f t="array" ref="Q248">_xlfn.IFS(P248="USD",O248,P248="VND",O248/26090,P248="JPY",O248/161)</f>
        <v>0.32400000000000001</v>
      </c>
      <c r="R248" s="14">
        <v>30</v>
      </c>
      <c r="S248" s="14">
        <v>1</v>
      </c>
      <c r="T248" s="14"/>
      <c r="U248" s="14" t="s">
        <v>2849</v>
      </c>
      <c r="V248" s="14" t="s">
        <v>2857</v>
      </c>
      <c r="W248" s="14" t="s">
        <v>2858</v>
      </c>
      <c r="X248" s="17">
        <v>0</v>
      </c>
      <c r="Y248" s="15" t="s">
        <v>2875</v>
      </c>
      <c r="Z248" s="20">
        <v>46029</v>
      </c>
      <c r="AA248" s="18"/>
      <c r="AB248" s="16"/>
      <c r="AC248" s="16"/>
      <c r="AD248" s="16"/>
      <c r="AE248" s="16" t="s">
        <v>3025</v>
      </c>
      <c r="AF248" s="16"/>
      <c r="AI248" s="3" t="str">
        <f t="shared" ca="1" si="3"/>
        <v>OK</v>
      </c>
    </row>
    <row r="249" spans="1:35" hidden="1" x14ac:dyDescent="0.3">
      <c r="A249" s="13">
        <v>46032</v>
      </c>
      <c r="B249" s="14" t="s">
        <v>2806</v>
      </c>
      <c r="C249" s="16"/>
      <c r="D249" s="16"/>
      <c r="E249" s="15" t="s">
        <v>855</v>
      </c>
      <c r="F249" s="15" t="s">
        <v>907</v>
      </c>
      <c r="G249" s="15" t="s">
        <v>293</v>
      </c>
      <c r="H249" s="15"/>
      <c r="I249" s="15" t="s">
        <v>1756</v>
      </c>
      <c r="J249" s="15" t="s">
        <v>1757</v>
      </c>
      <c r="K249" s="16"/>
      <c r="L249" s="14" t="s">
        <v>2823</v>
      </c>
      <c r="M249" s="16"/>
      <c r="N249" s="15" t="s">
        <v>1013</v>
      </c>
      <c r="O249" s="14">
        <v>0.46899999999999997</v>
      </c>
      <c r="P249" s="14" t="s">
        <v>2845</v>
      </c>
      <c r="Q249" s="14" cm="1">
        <f t="array" ref="Q249">_xlfn.IFS(P249="USD",O249,P249="VND",O249/26090,P249="JPY",O249/161)</f>
        <v>0.46899999999999997</v>
      </c>
      <c r="R249" s="14">
        <v>30</v>
      </c>
      <c r="S249" s="14">
        <v>1</v>
      </c>
      <c r="T249" s="14"/>
      <c r="U249" s="14" t="s">
        <v>2849</v>
      </c>
      <c r="V249" s="14" t="s">
        <v>2857</v>
      </c>
      <c r="W249" s="14" t="s">
        <v>2858</v>
      </c>
      <c r="X249" s="17">
        <v>0</v>
      </c>
      <c r="Y249" s="15" t="s">
        <v>2875</v>
      </c>
      <c r="Z249" s="20">
        <v>46029</v>
      </c>
      <c r="AA249" s="18"/>
      <c r="AB249" s="16"/>
      <c r="AC249" s="16"/>
      <c r="AD249" s="16"/>
      <c r="AE249" s="16" t="s">
        <v>3025</v>
      </c>
      <c r="AF249" s="16"/>
      <c r="AI249" s="3" t="str">
        <f t="shared" ca="1" si="3"/>
        <v>OK</v>
      </c>
    </row>
    <row r="250" spans="1:35" hidden="1" x14ac:dyDescent="0.3">
      <c r="A250" s="13">
        <v>46032</v>
      </c>
      <c r="B250" s="14" t="s">
        <v>2806</v>
      </c>
      <c r="C250" s="16"/>
      <c r="D250" s="16"/>
      <c r="E250" s="15" t="s">
        <v>855</v>
      </c>
      <c r="F250" s="15" t="s">
        <v>907</v>
      </c>
      <c r="G250" s="15" t="s">
        <v>294</v>
      </c>
      <c r="H250" s="15"/>
      <c r="I250" s="15" t="s">
        <v>1758</v>
      </c>
      <c r="J250" s="15" t="s">
        <v>1759</v>
      </c>
      <c r="K250" s="16"/>
      <c r="L250" s="14" t="s">
        <v>2823</v>
      </c>
      <c r="M250" s="16"/>
      <c r="N250" s="15" t="s">
        <v>1013</v>
      </c>
      <c r="O250" s="14">
        <v>0.51</v>
      </c>
      <c r="P250" s="14" t="s">
        <v>2845</v>
      </c>
      <c r="Q250" s="14" cm="1">
        <f t="array" ref="Q250">_xlfn.IFS(P250="USD",O250,P250="VND",O250/26090,P250="JPY",O250/161)</f>
        <v>0.51</v>
      </c>
      <c r="R250" s="14">
        <v>30</v>
      </c>
      <c r="S250" s="14">
        <v>1</v>
      </c>
      <c r="T250" s="14"/>
      <c r="U250" s="14" t="s">
        <v>2849</v>
      </c>
      <c r="V250" s="14" t="s">
        <v>2857</v>
      </c>
      <c r="W250" s="14" t="s">
        <v>2858</v>
      </c>
      <c r="X250" s="17">
        <v>0</v>
      </c>
      <c r="Y250" s="15" t="s">
        <v>2875</v>
      </c>
      <c r="Z250" s="20">
        <v>46029</v>
      </c>
      <c r="AA250" s="18"/>
      <c r="AB250" s="16"/>
      <c r="AC250" s="16"/>
      <c r="AD250" s="16"/>
      <c r="AE250" s="16" t="s">
        <v>3025</v>
      </c>
      <c r="AF250" s="16"/>
      <c r="AI250" s="3" t="str">
        <f t="shared" ca="1" si="3"/>
        <v>OK</v>
      </c>
    </row>
    <row r="251" spans="1:35" hidden="1" x14ac:dyDescent="0.3">
      <c r="A251" s="13">
        <v>46032</v>
      </c>
      <c r="B251" s="14" t="s">
        <v>2806</v>
      </c>
      <c r="C251" s="16"/>
      <c r="D251" s="16"/>
      <c r="E251" s="15" t="s">
        <v>855</v>
      </c>
      <c r="F251" s="15" t="s">
        <v>907</v>
      </c>
      <c r="G251" s="15" t="s">
        <v>295</v>
      </c>
      <c r="H251" s="15"/>
      <c r="I251" s="15" t="s">
        <v>1760</v>
      </c>
      <c r="J251" s="15" t="s">
        <v>1761</v>
      </c>
      <c r="K251" s="16"/>
      <c r="L251" s="14" t="s">
        <v>2823</v>
      </c>
      <c r="M251" s="16"/>
      <c r="N251" s="15" t="s">
        <v>1013</v>
      </c>
      <c r="O251" s="14">
        <v>0.45300000000000001</v>
      </c>
      <c r="P251" s="14" t="s">
        <v>2845</v>
      </c>
      <c r="Q251" s="14" cm="1">
        <f t="array" ref="Q251">_xlfn.IFS(P251="USD",O251,P251="VND",O251/26090,P251="JPY",O251/161)</f>
        <v>0.45300000000000001</v>
      </c>
      <c r="R251" s="14">
        <v>30</v>
      </c>
      <c r="S251" s="14">
        <v>1</v>
      </c>
      <c r="T251" s="14"/>
      <c r="U251" s="14" t="s">
        <v>2849</v>
      </c>
      <c r="V251" s="14" t="s">
        <v>2857</v>
      </c>
      <c r="W251" s="14" t="s">
        <v>2858</v>
      </c>
      <c r="X251" s="17">
        <v>0</v>
      </c>
      <c r="Y251" s="15" t="s">
        <v>2875</v>
      </c>
      <c r="Z251" s="20">
        <v>46029</v>
      </c>
      <c r="AA251" s="18"/>
      <c r="AB251" s="16"/>
      <c r="AC251" s="16"/>
      <c r="AD251" s="16"/>
      <c r="AE251" s="16" t="s">
        <v>3025</v>
      </c>
      <c r="AF251" s="16"/>
      <c r="AI251" s="3" t="str">
        <f t="shared" ca="1" si="3"/>
        <v>OK</v>
      </c>
    </row>
    <row r="252" spans="1:35" hidden="1" x14ac:dyDescent="0.3">
      <c r="A252" s="13">
        <v>46032</v>
      </c>
      <c r="B252" s="14" t="s">
        <v>2806</v>
      </c>
      <c r="C252" s="16"/>
      <c r="D252" s="16"/>
      <c r="E252" s="15" t="s">
        <v>855</v>
      </c>
      <c r="F252" s="15" t="s">
        <v>907</v>
      </c>
      <c r="G252" s="15" t="s">
        <v>296</v>
      </c>
      <c r="H252" s="15"/>
      <c r="I252" s="15" t="s">
        <v>1762</v>
      </c>
      <c r="J252" s="15" t="s">
        <v>1763</v>
      </c>
      <c r="K252" s="16"/>
      <c r="L252" s="14" t="s">
        <v>2823</v>
      </c>
      <c r="M252" s="16"/>
      <c r="N252" s="15" t="s">
        <v>1014</v>
      </c>
      <c r="O252" s="14">
        <v>0.45300000000000001</v>
      </c>
      <c r="P252" s="14" t="s">
        <v>2845</v>
      </c>
      <c r="Q252" s="14" cm="1">
        <f t="array" ref="Q252">_xlfn.IFS(P252="USD",O252,P252="VND",O252/26090,P252="JPY",O252/161)</f>
        <v>0.45300000000000001</v>
      </c>
      <c r="R252" s="14">
        <v>30</v>
      </c>
      <c r="S252" s="14">
        <v>1</v>
      </c>
      <c r="T252" s="14"/>
      <c r="U252" s="14" t="s">
        <v>2849</v>
      </c>
      <c r="V252" s="14" t="s">
        <v>2857</v>
      </c>
      <c r="W252" s="14" t="s">
        <v>2858</v>
      </c>
      <c r="X252" s="17">
        <v>0</v>
      </c>
      <c r="Y252" s="15" t="s">
        <v>2875</v>
      </c>
      <c r="Z252" s="20">
        <v>46029</v>
      </c>
      <c r="AA252" s="18"/>
      <c r="AB252" s="16"/>
      <c r="AC252" s="16"/>
      <c r="AD252" s="16"/>
      <c r="AE252" s="16" t="s">
        <v>3025</v>
      </c>
      <c r="AF252" s="16"/>
      <c r="AI252" s="3" t="str">
        <f t="shared" ca="1" si="3"/>
        <v>OK</v>
      </c>
    </row>
    <row r="253" spans="1:35" hidden="1" x14ac:dyDescent="0.3">
      <c r="A253" s="13">
        <v>46032</v>
      </c>
      <c r="B253" s="14" t="s">
        <v>2806</v>
      </c>
      <c r="C253" s="16"/>
      <c r="D253" s="16"/>
      <c r="E253" s="15" t="s">
        <v>855</v>
      </c>
      <c r="F253" s="15" t="s">
        <v>907</v>
      </c>
      <c r="G253" s="15" t="s">
        <v>297</v>
      </c>
      <c r="H253" s="15"/>
      <c r="I253" s="15" t="s">
        <v>1764</v>
      </c>
      <c r="J253" s="15" t="s">
        <v>1765</v>
      </c>
      <c r="K253" s="16"/>
      <c r="L253" s="14" t="s">
        <v>2823</v>
      </c>
      <c r="M253" s="16"/>
      <c r="N253" s="15" t="s">
        <v>1014</v>
      </c>
      <c r="O253" s="14">
        <v>0.42199999999999999</v>
      </c>
      <c r="P253" s="14" t="s">
        <v>2845</v>
      </c>
      <c r="Q253" s="14" cm="1">
        <f t="array" ref="Q253">_xlfn.IFS(P253="USD",O253,P253="VND",O253/26090,P253="JPY",O253/161)</f>
        <v>0.42199999999999999</v>
      </c>
      <c r="R253" s="14">
        <v>30</v>
      </c>
      <c r="S253" s="14">
        <v>1</v>
      </c>
      <c r="T253" s="14"/>
      <c r="U253" s="14" t="s">
        <v>2849</v>
      </c>
      <c r="V253" s="14" t="s">
        <v>2857</v>
      </c>
      <c r="W253" s="14" t="s">
        <v>2858</v>
      </c>
      <c r="X253" s="17">
        <v>0</v>
      </c>
      <c r="Y253" s="15" t="s">
        <v>2875</v>
      </c>
      <c r="Z253" s="20">
        <v>46029</v>
      </c>
      <c r="AA253" s="18"/>
      <c r="AB253" s="16"/>
      <c r="AC253" s="16"/>
      <c r="AD253" s="16"/>
      <c r="AE253" s="16" t="s">
        <v>3025</v>
      </c>
      <c r="AF253" s="16"/>
      <c r="AI253" s="3" t="str">
        <f t="shared" ca="1" si="3"/>
        <v>OK</v>
      </c>
    </row>
    <row r="254" spans="1:35" hidden="1" x14ac:dyDescent="0.3">
      <c r="A254" s="13">
        <v>46032</v>
      </c>
      <c r="B254" s="14" t="s">
        <v>2806</v>
      </c>
      <c r="C254" s="16"/>
      <c r="D254" s="16"/>
      <c r="E254" s="15" t="s">
        <v>855</v>
      </c>
      <c r="F254" s="15" t="s">
        <v>907</v>
      </c>
      <c r="G254" s="15" t="s">
        <v>298</v>
      </c>
      <c r="H254" s="15"/>
      <c r="I254" s="15" t="s">
        <v>1766</v>
      </c>
      <c r="J254" s="15" t="s">
        <v>1767</v>
      </c>
      <c r="K254" s="16"/>
      <c r="L254" s="14" t="s">
        <v>2823</v>
      </c>
      <c r="M254" s="16"/>
      <c r="N254" s="15" t="s">
        <v>1014</v>
      </c>
      <c r="O254" s="14">
        <v>0.57699999999999996</v>
      </c>
      <c r="P254" s="14" t="s">
        <v>2845</v>
      </c>
      <c r="Q254" s="14" cm="1">
        <f t="array" ref="Q254">_xlfn.IFS(P254="USD",O254,P254="VND",O254/26090,P254="JPY",O254/161)</f>
        <v>0.57699999999999996</v>
      </c>
      <c r="R254" s="14">
        <v>30</v>
      </c>
      <c r="S254" s="14">
        <v>1</v>
      </c>
      <c r="T254" s="14"/>
      <c r="U254" s="14" t="s">
        <v>2849</v>
      </c>
      <c r="V254" s="14" t="s">
        <v>2857</v>
      </c>
      <c r="W254" s="14" t="s">
        <v>2858</v>
      </c>
      <c r="X254" s="17">
        <v>0</v>
      </c>
      <c r="Y254" s="15" t="s">
        <v>2875</v>
      </c>
      <c r="Z254" s="20">
        <v>46029</v>
      </c>
      <c r="AA254" s="18"/>
      <c r="AB254" s="16"/>
      <c r="AC254" s="16"/>
      <c r="AD254" s="16"/>
      <c r="AE254" s="16" t="s">
        <v>3025</v>
      </c>
      <c r="AF254" s="16"/>
      <c r="AI254" s="3" t="str">
        <f t="shared" ca="1" si="3"/>
        <v>OK</v>
      </c>
    </row>
    <row r="255" spans="1:35" hidden="1" x14ac:dyDescent="0.3">
      <c r="A255" s="13">
        <v>46032</v>
      </c>
      <c r="B255" s="14" t="s">
        <v>2806</v>
      </c>
      <c r="C255" s="16"/>
      <c r="D255" s="16"/>
      <c r="E255" s="15" t="s">
        <v>855</v>
      </c>
      <c r="F255" s="15" t="s">
        <v>907</v>
      </c>
      <c r="G255" s="15" t="s">
        <v>299</v>
      </c>
      <c r="H255" s="15"/>
      <c r="I255" s="15" t="s">
        <v>1768</v>
      </c>
      <c r="J255" s="15" t="s">
        <v>1769</v>
      </c>
      <c r="K255" s="16"/>
      <c r="L255" s="14" t="s">
        <v>2823</v>
      </c>
      <c r="M255" s="16"/>
      <c r="N255" s="15" t="s">
        <v>1014</v>
      </c>
      <c r="O255" s="14">
        <v>0.42199999999999999</v>
      </c>
      <c r="P255" s="14" t="s">
        <v>2845</v>
      </c>
      <c r="Q255" s="14" cm="1">
        <f t="array" ref="Q255">_xlfn.IFS(P255="USD",O255,P255="VND",O255/26090,P255="JPY",O255/161)</f>
        <v>0.42199999999999999</v>
      </c>
      <c r="R255" s="14">
        <v>30</v>
      </c>
      <c r="S255" s="14">
        <v>1</v>
      </c>
      <c r="T255" s="14"/>
      <c r="U255" s="14" t="s">
        <v>2849</v>
      </c>
      <c r="V255" s="14" t="s">
        <v>2857</v>
      </c>
      <c r="W255" s="14" t="s">
        <v>2858</v>
      </c>
      <c r="X255" s="17">
        <v>0</v>
      </c>
      <c r="Y255" s="15" t="s">
        <v>2875</v>
      </c>
      <c r="Z255" s="20">
        <v>46029</v>
      </c>
      <c r="AA255" s="18"/>
      <c r="AB255" s="16"/>
      <c r="AC255" s="16"/>
      <c r="AD255" s="16"/>
      <c r="AE255" s="16" t="s">
        <v>3025</v>
      </c>
      <c r="AF255" s="16"/>
      <c r="AI255" s="3" t="str">
        <f t="shared" ca="1" si="3"/>
        <v>OK</v>
      </c>
    </row>
    <row r="256" spans="1:35" hidden="1" x14ac:dyDescent="0.3">
      <c r="A256" s="13">
        <v>46032</v>
      </c>
      <c r="B256" s="14" t="s">
        <v>2806</v>
      </c>
      <c r="C256" s="16"/>
      <c r="D256" s="16"/>
      <c r="E256" s="15" t="s">
        <v>857</v>
      </c>
      <c r="F256" s="15" t="s">
        <v>912</v>
      </c>
      <c r="G256" s="15" t="s">
        <v>300</v>
      </c>
      <c r="H256" s="15"/>
      <c r="I256" s="15" t="s">
        <v>1770</v>
      </c>
      <c r="J256" s="15" t="s">
        <v>1771</v>
      </c>
      <c r="K256" s="16"/>
      <c r="L256" s="14" t="s">
        <v>2823</v>
      </c>
      <c r="M256" s="16"/>
      <c r="N256" s="15" t="s">
        <v>1015</v>
      </c>
      <c r="O256" s="14">
        <v>10.35</v>
      </c>
      <c r="P256" s="14" t="s">
        <v>2845</v>
      </c>
      <c r="Q256" s="14" cm="1">
        <f t="array" ref="Q256">_xlfn.IFS(P256="USD",O256,P256="VND",O256/26090,P256="JPY",O256/161)</f>
        <v>10.35</v>
      </c>
      <c r="R256" s="14">
        <v>35</v>
      </c>
      <c r="S256" s="14">
        <v>1</v>
      </c>
      <c r="T256" s="14"/>
      <c r="U256" s="14" t="s">
        <v>2848</v>
      </c>
      <c r="V256" s="14" t="s">
        <v>2857</v>
      </c>
      <c r="W256" s="14" t="s">
        <v>2858</v>
      </c>
      <c r="X256" s="17">
        <v>0</v>
      </c>
      <c r="Y256" s="15" t="s">
        <v>2875</v>
      </c>
      <c r="Z256" s="20">
        <v>46243</v>
      </c>
      <c r="AA256" s="20">
        <v>46608</v>
      </c>
      <c r="AB256" s="16"/>
      <c r="AC256" s="16"/>
      <c r="AD256" s="16"/>
      <c r="AE256" s="16" t="s">
        <v>2957</v>
      </c>
      <c r="AF256" s="16"/>
      <c r="AI256" s="3" t="str">
        <f t="shared" ca="1" si="3"/>
        <v>OK</v>
      </c>
    </row>
    <row r="257" spans="1:35" x14ac:dyDescent="0.3">
      <c r="A257" s="13">
        <v>46032</v>
      </c>
      <c r="B257" s="14" t="s">
        <v>2806</v>
      </c>
      <c r="C257" s="16"/>
      <c r="D257" s="16"/>
      <c r="E257" s="15" t="s">
        <v>862</v>
      </c>
      <c r="F257" s="15" t="s">
        <v>1251</v>
      </c>
      <c r="G257" s="15" t="s">
        <v>301</v>
      </c>
      <c r="H257" s="15"/>
      <c r="I257" s="15" t="s">
        <v>1772</v>
      </c>
      <c r="J257" s="15" t="s">
        <v>1773</v>
      </c>
      <c r="K257" s="16"/>
      <c r="L257" s="14" t="s">
        <v>2825</v>
      </c>
      <c r="M257" s="16"/>
      <c r="N257" s="15" t="s">
        <v>1008</v>
      </c>
      <c r="O257" s="14">
        <v>4200</v>
      </c>
      <c r="P257" s="14" t="s">
        <v>2846</v>
      </c>
      <c r="Q257" s="14" cm="1">
        <f t="array" ref="Q257">_xlfn.IFS(P257="USD",O257,P257="VND",O257/26090,P257="JPY",O257/161)</f>
        <v>0.16098121885779992</v>
      </c>
      <c r="R257" s="14">
        <v>7</v>
      </c>
      <c r="S257" s="14">
        <v>100</v>
      </c>
      <c r="T257" s="14"/>
      <c r="U257" s="14" t="s">
        <v>2848</v>
      </c>
      <c r="V257" s="14" t="s">
        <v>2857</v>
      </c>
      <c r="W257" s="14" t="s">
        <v>2858</v>
      </c>
      <c r="X257" s="17">
        <v>0</v>
      </c>
      <c r="Y257" s="15" t="s">
        <v>2875</v>
      </c>
      <c r="Z257" s="18" t="s">
        <v>2929</v>
      </c>
      <c r="AA257" s="22" t="s">
        <v>2931</v>
      </c>
      <c r="AB257" s="16"/>
      <c r="AC257" s="16"/>
      <c r="AD257" s="16"/>
      <c r="AE257" s="16" t="s">
        <v>2933</v>
      </c>
      <c r="AF257" s="16"/>
      <c r="AI257" s="3" t="str">
        <f t="shared" ca="1" si="3"/>
        <v>OK</v>
      </c>
    </row>
    <row r="258" spans="1:35" x14ac:dyDescent="0.3">
      <c r="A258" s="13">
        <v>46032</v>
      </c>
      <c r="B258" s="14" t="s">
        <v>2806</v>
      </c>
      <c r="C258" s="16"/>
      <c r="D258" s="16"/>
      <c r="E258" s="15" t="s">
        <v>862</v>
      </c>
      <c r="F258" s="15" t="s">
        <v>1251</v>
      </c>
      <c r="G258" s="15" t="s">
        <v>302</v>
      </c>
      <c r="H258" s="15"/>
      <c r="I258" s="15" t="s">
        <v>1774</v>
      </c>
      <c r="J258" s="15" t="s">
        <v>1775</v>
      </c>
      <c r="K258" s="16"/>
      <c r="L258" s="14" t="s">
        <v>2825</v>
      </c>
      <c r="M258" s="16"/>
      <c r="N258" s="15" t="s">
        <v>1008</v>
      </c>
      <c r="O258" s="14">
        <v>9160</v>
      </c>
      <c r="P258" s="14" t="s">
        <v>2846</v>
      </c>
      <c r="Q258" s="14" cm="1">
        <f t="array" ref="Q258">_xlfn.IFS(P258="USD",O258,P258="VND",O258/26090,P258="JPY",O258/161)</f>
        <v>0.35109237255653508</v>
      </c>
      <c r="R258" s="14">
        <v>7</v>
      </c>
      <c r="S258" s="14">
        <v>200</v>
      </c>
      <c r="T258" s="14"/>
      <c r="U258" s="14" t="s">
        <v>2848</v>
      </c>
      <c r="V258" s="14" t="s">
        <v>2857</v>
      </c>
      <c r="W258" s="14" t="s">
        <v>2858</v>
      </c>
      <c r="X258" s="17">
        <v>0</v>
      </c>
      <c r="Y258" s="15" t="s">
        <v>2875</v>
      </c>
      <c r="Z258" s="18" t="s">
        <v>2929</v>
      </c>
      <c r="AA258" s="22" t="s">
        <v>2931</v>
      </c>
      <c r="AB258" s="16"/>
      <c r="AC258" s="16"/>
      <c r="AD258" s="16"/>
      <c r="AE258" s="16" t="s">
        <v>2933</v>
      </c>
      <c r="AF258" s="16"/>
      <c r="AI258" s="3" t="str">
        <f t="shared" ca="1" si="3"/>
        <v>OK</v>
      </c>
    </row>
    <row r="259" spans="1:35" hidden="1" x14ac:dyDescent="0.3">
      <c r="A259" s="13">
        <v>46032</v>
      </c>
      <c r="B259" s="14" t="s">
        <v>2806</v>
      </c>
      <c r="C259" s="16"/>
      <c r="D259" s="16"/>
      <c r="E259" s="15" t="s">
        <v>849</v>
      </c>
      <c r="F259" s="15" t="s">
        <v>1243</v>
      </c>
      <c r="G259" s="15" t="s">
        <v>303</v>
      </c>
      <c r="H259" s="15"/>
      <c r="I259" s="15" t="s">
        <v>1776</v>
      </c>
      <c r="J259" s="15" t="s">
        <v>1777</v>
      </c>
      <c r="K259" s="16"/>
      <c r="L259" s="14" t="s">
        <v>2818</v>
      </c>
      <c r="M259" s="16"/>
      <c r="N259" s="15" t="s">
        <v>1016</v>
      </c>
      <c r="O259" s="14">
        <v>1.6</v>
      </c>
      <c r="P259" s="14" t="s">
        <v>2845</v>
      </c>
      <c r="Q259" s="14" cm="1">
        <f t="array" ref="Q259">_xlfn.IFS(P259="USD",O259,P259="VND",O259/26090,P259="JPY",O259/161)</f>
        <v>1.6</v>
      </c>
      <c r="R259" s="14">
        <v>21</v>
      </c>
      <c r="S259" s="14">
        <v>10</v>
      </c>
      <c r="T259" s="14"/>
      <c r="U259" s="14" t="s">
        <v>2849</v>
      </c>
      <c r="V259" s="14" t="s">
        <v>2857</v>
      </c>
      <c r="W259" s="14" t="s">
        <v>2858</v>
      </c>
      <c r="X259" s="17">
        <v>0</v>
      </c>
      <c r="Y259" s="15" t="s">
        <v>2875</v>
      </c>
      <c r="Z259" s="20">
        <v>46028</v>
      </c>
      <c r="AA259" s="20">
        <v>46393</v>
      </c>
      <c r="AB259" s="16"/>
      <c r="AC259" s="16"/>
      <c r="AD259" s="16"/>
      <c r="AE259" s="16" t="s">
        <v>2959</v>
      </c>
      <c r="AF259" s="16"/>
      <c r="AI259" s="3" t="str">
        <f t="shared" ref="AI259:AI322" ca="1" si="4">IF(AA259="","OK",IF(AA259&lt;TODAY(),"NG","OK"))</f>
        <v>OK</v>
      </c>
    </row>
    <row r="260" spans="1:35" hidden="1" x14ac:dyDescent="0.3">
      <c r="A260" s="13">
        <v>46032</v>
      </c>
      <c r="B260" s="14" t="s">
        <v>2806</v>
      </c>
      <c r="C260" s="16"/>
      <c r="D260" s="16"/>
      <c r="E260" s="15" t="s">
        <v>849</v>
      </c>
      <c r="F260" s="15" t="s">
        <v>1243</v>
      </c>
      <c r="G260" s="15" t="s">
        <v>304</v>
      </c>
      <c r="H260" s="15"/>
      <c r="I260" s="15" t="s">
        <v>1778</v>
      </c>
      <c r="J260" s="15" t="s">
        <v>1777</v>
      </c>
      <c r="K260" s="16"/>
      <c r="L260" s="14" t="s">
        <v>2818</v>
      </c>
      <c r="M260" s="16"/>
      <c r="N260" s="15" t="s">
        <v>1016</v>
      </c>
      <c r="O260" s="14">
        <v>1.95</v>
      </c>
      <c r="P260" s="14" t="s">
        <v>2845</v>
      </c>
      <c r="Q260" s="14" cm="1">
        <f t="array" ref="Q260">_xlfn.IFS(P260="USD",O260,P260="VND",O260/26090,P260="JPY",O260/161)</f>
        <v>1.95</v>
      </c>
      <c r="R260" s="14">
        <v>21</v>
      </c>
      <c r="S260" s="14">
        <v>85</v>
      </c>
      <c r="T260" s="14"/>
      <c r="U260" s="14" t="s">
        <v>2849</v>
      </c>
      <c r="V260" s="14" t="s">
        <v>2857</v>
      </c>
      <c r="W260" s="14" t="s">
        <v>2858</v>
      </c>
      <c r="X260" s="17">
        <v>0</v>
      </c>
      <c r="Y260" s="15" t="s">
        <v>2875</v>
      </c>
      <c r="Z260" s="20">
        <v>46028</v>
      </c>
      <c r="AA260" s="20">
        <v>46393</v>
      </c>
      <c r="AB260" s="16"/>
      <c r="AC260" s="16"/>
      <c r="AD260" s="16"/>
      <c r="AE260" s="16" t="s">
        <v>2959</v>
      </c>
      <c r="AF260" s="16"/>
      <c r="AI260" s="3" t="str">
        <f t="shared" ca="1" si="4"/>
        <v>OK</v>
      </c>
    </row>
    <row r="261" spans="1:35" hidden="1" x14ac:dyDescent="0.3">
      <c r="A261" s="13">
        <v>46032</v>
      </c>
      <c r="B261" s="14" t="s">
        <v>2806</v>
      </c>
      <c r="C261" s="16"/>
      <c r="D261" s="16"/>
      <c r="E261" s="15" t="s">
        <v>849</v>
      </c>
      <c r="F261" s="15" t="s">
        <v>1243</v>
      </c>
      <c r="G261" s="15" t="s">
        <v>305</v>
      </c>
      <c r="H261" s="15"/>
      <c r="I261" s="15" t="s">
        <v>1779</v>
      </c>
      <c r="J261" s="15" t="s">
        <v>1777</v>
      </c>
      <c r="K261" s="16"/>
      <c r="L261" s="14" t="s">
        <v>2818</v>
      </c>
      <c r="M261" s="16"/>
      <c r="N261" s="15" t="s">
        <v>1016</v>
      </c>
      <c r="O261" s="14">
        <v>2.06</v>
      </c>
      <c r="P261" s="14" t="s">
        <v>2845</v>
      </c>
      <c r="Q261" s="14" cm="1">
        <f t="array" ref="Q261">_xlfn.IFS(P261="USD",O261,P261="VND",O261/26090,P261="JPY",O261/161)</f>
        <v>2.06</v>
      </c>
      <c r="R261" s="14">
        <v>21</v>
      </c>
      <c r="S261" s="14">
        <v>10</v>
      </c>
      <c r="T261" s="14"/>
      <c r="U261" s="14" t="s">
        <v>2849</v>
      </c>
      <c r="V261" s="14" t="s">
        <v>2857</v>
      </c>
      <c r="W261" s="14" t="s">
        <v>2858</v>
      </c>
      <c r="X261" s="17">
        <v>0</v>
      </c>
      <c r="Y261" s="15" t="s">
        <v>2875</v>
      </c>
      <c r="Z261" s="20">
        <v>46028</v>
      </c>
      <c r="AA261" s="20">
        <v>46393</v>
      </c>
      <c r="AB261" s="16"/>
      <c r="AC261" s="16"/>
      <c r="AD261" s="16"/>
      <c r="AE261" s="16" t="s">
        <v>2959</v>
      </c>
      <c r="AF261" s="16"/>
      <c r="AI261" s="3" t="str">
        <f t="shared" ca="1" si="4"/>
        <v>OK</v>
      </c>
    </row>
    <row r="262" spans="1:35" hidden="1" x14ac:dyDescent="0.3">
      <c r="A262" s="13">
        <v>46032</v>
      </c>
      <c r="B262" s="14" t="s">
        <v>2806</v>
      </c>
      <c r="C262" s="16"/>
      <c r="D262" s="16"/>
      <c r="E262" s="15" t="s">
        <v>849</v>
      </c>
      <c r="F262" s="15" t="s">
        <v>1243</v>
      </c>
      <c r="G262" s="15" t="s">
        <v>306</v>
      </c>
      <c r="H262" s="15"/>
      <c r="I262" s="15" t="s">
        <v>1780</v>
      </c>
      <c r="J262" s="15" t="s">
        <v>1777</v>
      </c>
      <c r="K262" s="16"/>
      <c r="L262" s="14" t="s">
        <v>2818</v>
      </c>
      <c r="M262" s="16"/>
      <c r="N262" s="15" t="s">
        <v>1016</v>
      </c>
      <c r="O262" s="14">
        <v>3.85</v>
      </c>
      <c r="P262" s="14" t="s">
        <v>2845</v>
      </c>
      <c r="Q262" s="14" cm="1">
        <f t="array" ref="Q262">_xlfn.IFS(P262="USD",O262,P262="VND",O262/26090,P262="JPY",O262/161)</f>
        <v>3.85</v>
      </c>
      <c r="R262" s="14">
        <v>21</v>
      </c>
      <c r="S262" s="14">
        <v>42</v>
      </c>
      <c r="T262" s="14"/>
      <c r="U262" s="14" t="s">
        <v>2849</v>
      </c>
      <c r="V262" s="14" t="s">
        <v>2857</v>
      </c>
      <c r="W262" s="14" t="s">
        <v>2858</v>
      </c>
      <c r="X262" s="17">
        <v>0</v>
      </c>
      <c r="Y262" s="15" t="s">
        <v>2875</v>
      </c>
      <c r="Z262" s="20">
        <v>46028</v>
      </c>
      <c r="AA262" s="20">
        <v>46393</v>
      </c>
      <c r="AB262" s="16"/>
      <c r="AC262" s="16"/>
      <c r="AD262" s="16"/>
      <c r="AE262" s="16" t="s">
        <v>2959</v>
      </c>
      <c r="AF262" s="16"/>
      <c r="AI262" s="3" t="str">
        <f t="shared" ca="1" si="4"/>
        <v>OK</v>
      </c>
    </row>
    <row r="263" spans="1:35" hidden="1" x14ac:dyDescent="0.3">
      <c r="A263" s="13">
        <v>46032</v>
      </c>
      <c r="B263" s="14" t="s">
        <v>2806</v>
      </c>
      <c r="C263" s="16"/>
      <c r="D263" s="16"/>
      <c r="E263" s="15" t="s">
        <v>858</v>
      </c>
      <c r="F263" s="15" t="s">
        <v>1248</v>
      </c>
      <c r="G263" s="15" t="s">
        <v>307</v>
      </c>
      <c r="H263" s="15"/>
      <c r="I263" s="15" t="s">
        <v>1781</v>
      </c>
      <c r="J263" s="15" t="s">
        <v>1782</v>
      </c>
      <c r="K263" s="16"/>
      <c r="L263" s="14" t="s">
        <v>2834</v>
      </c>
      <c r="M263" s="16"/>
      <c r="N263" s="15" t="s">
        <v>1017</v>
      </c>
      <c r="O263" s="14">
        <v>3.39</v>
      </c>
      <c r="P263" s="14" t="s">
        <v>2845</v>
      </c>
      <c r="Q263" s="14" cm="1">
        <f t="array" ref="Q263">_xlfn.IFS(P263="USD",O263,P263="VND",O263/26090,P263="JPY",O263/161)</f>
        <v>3.39</v>
      </c>
      <c r="R263" s="14">
        <v>14</v>
      </c>
      <c r="S263" s="14">
        <v>1</v>
      </c>
      <c r="T263" s="14"/>
      <c r="U263" s="14" t="s">
        <v>2852</v>
      </c>
      <c r="V263" s="14" t="s">
        <v>2864</v>
      </c>
      <c r="W263" s="14" t="s">
        <v>2860</v>
      </c>
      <c r="X263" s="17">
        <v>0</v>
      </c>
      <c r="Y263" s="15" t="s">
        <v>2880</v>
      </c>
      <c r="Z263" s="18" t="s">
        <v>3050</v>
      </c>
      <c r="AA263" s="18"/>
      <c r="AB263" s="16"/>
      <c r="AC263" s="16"/>
      <c r="AD263" s="16"/>
      <c r="AE263" s="16" t="s">
        <v>3049</v>
      </c>
      <c r="AF263" s="16"/>
      <c r="AI263" s="3" t="str">
        <f t="shared" ca="1" si="4"/>
        <v>OK</v>
      </c>
    </row>
    <row r="264" spans="1:35" x14ac:dyDescent="0.3">
      <c r="A264" s="13">
        <v>46032</v>
      </c>
      <c r="B264" s="14" t="s">
        <v>2806</v>
      </c>
      <c r="C264" s="16"/>
      <c r="D264" s="16"/>
      <c r="E264" s="15" t="s">
        <v>862</v>
      </c>
      <c r="F264" s="15" t="s">
        <v>1251</v>
      </c>
      <c r="G264" s="15" t="s">
        <v>308</v>
      </c>
      <c r="H264" s="15"/>
      <c r="I264" s="15" t="s">
        <v>1783</v>
      </c>
      <c r="J264" s="15" t="s">
        <v>1784</v>
      </c>
      <c r="K264" s="16"/>
      <c r="L264" s="14" t="s">
        <v>2814</v>
      </c>
      <c r="M264" s="16"/>
      <c r="N264" s="15" t="s">
        <v>950</v>
      </c>
      <c r="O264" s="14">
        <v>13000</v>
      </c>
      <c r="P264" s="14" t="s">
        <v>2846</v>
      </c>
      <c r="Q264" s="14" cm="1">
        <f t="array" ref="Q264">_xlfn.IFS(P264="USD",O264,P264="VND",O264/26090,P264="JPY",O264/161)</f>
        <v>0.49827520122652358</v>
      </c>
      <c r="R264" s="14">
        <v>7</v>
      </c>
      <c r="S264" s="14">
        <v>500</v>
      </c>
      <c r="T264" s="14"/>
      <c r="U264" s="14" t="s">
        <v>2848</v>
      </c>
      <c r="V264" s="14" t="s">
        <v>2857</v>
      </c>
      <c r="W264" s="14" t="s">
        <v>2858</v>
      </c>
      <c r="X264" s="17">
        <v>0</v>
      </c>
      <c r="Y264" s="15" t="s">
        <v>2875</v>
      </c>
      <c r="Z264" s="18" t="s">
        <v>2929</v>
      </c>
      <c r="AA264" s="22" t="s">
        <v>2931</v>
      </c>
      <c r="AB264" s="16"/>
      <c r="AC264" s="16"/>
      <c r="AD264" s="16"/>
      <c r="AE264" s="16" t="s">
        <v>2933</v>
      </c>
      <c r="AF264" s="16"/>
      <c r="AI264" s="3" t="str">
        <f t="shared" ca="1" si="4"/>
        <v>OK</v>
      </c>
    </row>
    <row r="265" spans="1:35" hidden="1" x14ac:dyDescent="0.3">
      <c r="A265" s="13">
        <v>46032</v>
      </c>
      <c r="B265" s="14" t="s">
        <v>2806</v>
      </c>
      <c r="C265" s="16"/>
      <c r="D265" s="16"/>
      <c r="E265" s="15" t="s">
        <v>859</v>
      </c>
      <c r="F265" s="15" t="s">
        <v>908</v>
      </c>
      <c r="G265" s="15" t="s">
        <v>309</v>
      </c>
      <c r="H265" s="15"/>
      <c r="I265" s="15" t="s">
        <v>1785</v>
      </c>
      <c r="J265" s="15" t="s">
        <v>1786</v>
      </c>
      <c r="K265" s="16"/>
      <c r="L265" s="14" t="s">
        <v>2832</v>
      </c>
      <c r="M265" s="16"/>
      <c r="N265" s="15" t="s">
        <v>1018</v>
      </c>
      <c r="O265" s="14">
        <v>0.37</v>
      </c>
      <c r="P265" s="14" t="s">
        <v>2845</v>
      </c>
      <c r="Q265" s="14" cm="1">
        <f t="array" ref="Q265">_xlfn.IFS(P265="USD",O265,P265="VND",O265/26090,P265="JPY",O265/161)</f>
        <v>0.37</v>
      </c>
      <c r="R265" s="14">
        <v>10</v>
      </c>
      <c r="S265" s="14">
        <v>1</v>
      </c>
      <c r="T265" s="14"/>
      <c r="U265" s="14" t="s">
        <v>2848</v>
      </c>
      <c r="V265" s="14" t="s">
        <v>2857</v>
      </c>
      <c r="W265" s="14" t="s">
        <v>2858</v>
      </c>
      <c r="X265" s="17">
        <v>0</v>
      </c>
      <c r="Y265" s="15" t="s">
        <v>2875</v>
      </c>
      <c r="Z265" s="20">
        <v>45664</v>
      </c>
      <c r="AA265" s="18"/>
      <c r="AB265" s="16"/>
      <c r="AC265" s="16"/>
      <c r="AD265" s="16"/>
      <c r="AE265" s="16" t="s">
        <v>3033</v>
      </c>
      <c r="AF265" s="16"/>
      <c r="AI265" s="3" t="str">
        <f t="shared" ca="1" si="4"/>
        <v>OK</v>
      </c>
    </row>
    <row r="266" spans="1:35" hidden="1" x14ac:dyDescent="0.3">
      <c r="A266" s="13">
        <v>46032</v>
      </c>
      <c r="B266" s="14" t="s">
        <v>2806</v>
      </c>
      <c r="C266" s="16"/>
      <c r="D266" s="16"/>
      <c r="E266" s="15" t="s">
        <v>872</v>
      </c>
      <c r="F266" s="15" t="s">
        <v>1258</v>
      </c>
      <c r="G266" s="15" t="s">
        <v>310</v>
      </c>
      <c r="H266" s="15"/>
      <c r="I266" s="15" t="s">
        <v>1787</v>
      </c>
      <c r="J266" s="15" t="s">
        <v>1788</v>
      </c>
      <c r="K266" s="16"/>
      <c r="L266" s="14" t="s">
        <v>2809</v>
      </c>
      <c r="M266" s="16"/>
      <c r="N266" s="15" t="s">
        <v>1019</v>
      </c>
      <c r="O266" s="14">
        <v>6.15</v>
      </c>
      <c r="P266" s="14" t="s">
        <v>2845</v>
      </c>
      <c r="Q266" s="14" cm="1">
        <f t="array" ref="Q266">_xlfn.IFS(P266="USD",O266,P266="VND",O266/26090,P266="JPY",O266/161)</f>
        <v>6.15</v>
      </c>
      <c r="R266" s="14">
        <v>14</v>
      </c>
      <c r="S266" s="14">
        <v>1</v>
      </c>
      <c r="T266" s="14"/>
      <c r="U266" s="14" t="s">
        <v>2849</v>
      </c>
      <c r="V266" s="14" t="s">
        <v>2857</v>
      </c>
      <c r="W266" s="14" t="s">
        <v>2858</v>
      </c>
      <c r="X266" s="17">
        <v>0</v>
      </c>
      <c r="Y266" s="15" t="s">
        <v>2893</v>
      </c>
      <c r="Z266" s="18" t="s">
        <v>2930</v>
      </c>
      <c r="AA266" s="18"/>
      <c r="AB266" s="16"/>
      <c r="AC266" s="16"/>
      <c r="AD266" s="16"/>
      <c r="AE266" s="16" t="s">
        <v>2953</v>
      </c>
      <c r="AF266" s="16"/>
      <c r="AI266" s="3" t="str">
        <f t="shared" ca="1" si="4"/>
        <v>OK</v>
      </c>
    </row>
    <row r="267" spans="1:35" hidden="1" x14ac:dyDescent="0.3">
      <c r="A267" s="13">
        <v>46032</v>
      </c>
      <c r="B267" s="14" t="s">
        <v>2806</v>
      </c>
      <c r="C267" s="16"/>
      <c r="D267" s="16"/>
      <c r="E267" s="15" t="s">
        <v>885</v>
      </c>
      <c r="F267" s="15" t="s">
        <v>1270</v>
      </c>
      <c r="G267" s="15" t="s">
        <v>311</v>
      </c>
      <c r="H267" s="15"/>
      <c r="I267" s="15" t="s">
        <v>1789</v>
      </c>
      <c r="J267" s="15" t="s">
        <v>1790</v>
      </c>
      <c r="K267" s="16"/>
      <c r="L267" s="14" t="s">
        <v>2823</v>
      </c>
      <c r="M267" s="16"/>
      <c r="N267" s="15" t="s">
        <v>1020</v>
      </c>
      <c r="O267" s="14">
        <v>52900</v>
      </c>
      <c r="P267" s="14" t="s">
        <v>2846</v>
      </c>
      <c r="Q267" s="14" cm="1">
        <f t="array" ref="Q267">_xlfn.IFS(P267="USD",O267,P267="VND",O267/26090,P267="JPY",O267/161)</f>
        <v>2.0275967803756227</v>
      </c>
      <c r="R267" s="14">
        <v>7</v>
      </c>
      <c r="S267" s="14">
        <v>1</v>
      </c>
      <c r="T267" s="14"/>
      <c r="U267" s="14" t="s">
        <v>2849</v>
      </c>
      <c r="V267" s="14" t="s">
        <v>2857</v>
      </c>
      <c r="W267" s="14" t="s">
        <v>2858</v>
      </c>
      <c r="X267" s="17">
        <v>0</v>
      </c>
      <c r="Y267" s="15" t="s">
        <v>2875</v>
      </c>
      <c r="Z267" s="20">
        <v>46057</v>
      </c>
      <c r="AA267" s="18"/>
      <c r="AB267" s="16"/>
      <c r="AC267" s="16"/>
      <c r="AD267" s="16"/>
      <c r="AE267" s="16" t="s">
        <v>3017</v>
      </c>
      <c r="AF267" s="16"/>
      <c r="AI267" s="3" t="str">
        <f t="shared" ca="1" si="4"/>
        <v>OK</v>
      </c>
    </row>
    <row r="268" spans="1:35" hidden="1" x14ac:dyDescent="0.3">
      <c r="A268" s="13">
        <v>46032</v>
      </c>
      <c r="B268" s="14" t="s">
        <v>2806</v>
      </c>
      <c r="C268" s="16"/>
      <c r="D268" s="16"/>
      <c r="E268" s="15" t="s">
        <v>885</v>
      </c>
      <c r="F268" s="15" t="s">
        <v>1270</v>
      </c>
      <c r="G268" s="15" t="s">
        <v>312</v>
      </c>
      <c r="H268" s="15"/>
      <c r="I268" s="15" t="s">
        <v>1791</v>
      </c>
      <c r="J268" s="15" t="s">
        <v>1792</v>
      </c>
      <c r="K268" s="16"/>
      <c r="L268" s="14" t="s">
        <v>2823</v>
      </c>
      <c r="M268" s="16"/>
      <c r="N268" s="15" t="s">
        <v>1021</v>
      </c>
      <c r="O268" s="14">
        <v>6100</v>
      </c>
      <c r="P268" s="14" t="s">
        <v>2846</v>
      </c>
      <c r="Q268" s="14" cm="1">
        <f t="array" ref="Q268">_xlfn.IFS(P268="USD",O268,P268="VND",O268/26090,P268="JPY",O268/161)</f>
        <v>0.23380605596013798</v>
      </c>
      <c r="R268" s="14">
        <v>7</v>
      </c>
      <c r="S268" s="14">
        <v>1</v>
      </c>
      <c r="T268" s="14"/>
      <c r="U268" s="14" t="s">
        <v>2849</v>
      </c>
      <c r="V268" s="14" t="s">
        <v>2857</v>
      </c>
      <c r="W268" s="14" t="s">
        <v>2858</v>
      </c>
      <c r="X268" s="17">
        <v>0</v>
      </c>
      <c r="Y268" s="15" t="s">
        <v>2875</v>
      </c>
      <c r="Z268" s="20">
        <v>46057</v>
      </c>
      <c r="AA268" s="18"/>
      <c r="AB268" s="16"/>
      <c r="AC268" s="16"/>
      <c r="AD268" s="16"/>
      <c r="AE268" s="16" t="s">
        <v>3017</v>
      </c>
      <c r="AF268" s="16"/>
      <c r="AI268" s="3" t="str">
        <f t="shared" ca="1" si="4"/>
        <v>OK</v>
      </c>
    </row>
    <row r="269" spans="1:35" hidden="1" x14ac:dyDescent="0.3">
      <c r="A269" s="13">
        <v>46032</v>
      </c>
      <c r="B269" s="14" t="s">
        <v>2806</v>
      </c>
      <c r="C269" s="16"/>
      <c r="D269" s="16"/>
      <c r="E269" s="15" t="s">
        <v>884</v>
      </c>
      <c r="F269" s="15" t="s">
        <v>1269</v>
      </c>
      <c r="G269" s="15" t="s">
        <v>313</v>
      </c>
      <c r="H269" s="15"/>
      <c r="I269" s="15" t="s">
        <v>1793</v>
      </c>
      <c r="J269" s="15" t="s">
        <v>1794</v>
      </c>
      <c r="K269" s="16"/>
      <c r="L269" s="14" t="s">
        <v>2823</v>
      </c>
      <c r="M269" s="16"/>
      <c r="N269" s="15" t="s">
        <v>1022</v>
      </c>
      <c r="O269" s="14">
        <v>5.09</v>
      </c>
      <c r="P269" s="14" t="s">
        <v>2845</v>
      </c>
      <c r="Q269" s="14" cm="1">
        <f t="array" ref="Q269">_xlfn.IFS(P269="USD",O269,P269="VND",O269/26090,P269="JPY",O269/161)</f>
        <v>5.09</v>
      </c>
      <c r="R269" s="14">
        <v>60</v>
      </c>
      <c r="S269" s="14">
        <v>10</v>
      </c>
      <c r="T269" s="14"/>
      <c r="U269" s="14" t="s">
        <v>2848</v>
      </c>
      <c r="V269" s="14" t="s">
        <v>2857</v>
      </c>
      <c r="W269" s="14" t="s">
        <v>2858</v>
      </c>
      <c r="X269" s="17">
        <v>0</v>
      </c>
      <c r="Y269" s="15" t="s">
        <v>2898</v>
      </c>
      <c r="Z269" s="20">
        <v>45754</v>
      </c>
      <c r="AA269" s="18"/>
      <c r="AB269" s="16"/>
      <c r="AC269" s="16"/>
      <c r="AD269" s="16"/>
      <c r="AE269" s="16" t="s">
        <v>2951</v>
      </c>
      <c r="AF269" s="16"/>
      <c r="AI269" s="3" t="str">
        <f t="shared" ca="1" si="4"/>
        <v>OK</v>
      </c>
    </row>
    <row r="270" spans="1:35" hidden="1" x14ac:dyDescent="0.3">
      <c r="A270" s="13">
        <v>46032</v>
      </c>
      <c r="B270" s="14" t="s">
        <v>2806</v>
      </c>
      <c r="C270" s="16"/>
      <c r="D270" s="16"/>
      <c r="E270" s="15" t="s">
        <v>855</v>
      </c>
      <c r="F270" s="15" t="s">
        <v>907</v>
      </c>
      <c r="G270" s="15" t="s">
        <v>314</v>
      </c>
      <c r="H270" s="15"/>
      <c r="I270" s="15" t="s">
        <v>1795</v>
      </c>
      <c r="J270" s="15" t="s">
        <v>1796</v>
      </c>
      <c r="K270" s="16"/>
      <c r="L270" s="14" t="s">
        <v>2823</v>
      </c>
      <c r="M270" s="16"/>
      <c r="N270" s="15" t="s">
        <v>1014</v>
      </c>
      <c r="O270" s="14">
        <v>0.1</v>
      </c>
      <c r="P270" s="14" t="s">
        <v>2845</v>
      </c>
      <c r="Q270" s="14" cm="1">
        <f t="array" ref="Q270">_xlfn.IFS(P270="USD",O270,P270="VND",O270/26090,P270="JPY",O270/161)</f>
        <v>0.1</v>
      </c>
      <c r="R270" s="14">
        <v>30</v>
      </c>
      <c r="S270" s="14">
        <v>1</v>
      </c>
      <c r="T270" s="14"/>
      <c r="U270" s="14" t="s">
        <v>2849</v>
      </c>
      <c r="V270" s="14" t="s">
        <v>2857</v>
      </c>
      <c r="W270" s="14" t="s">
        <v>2858</v>
      </c>
      <c r="X270" s="17">
        <v>0</v>
      </c>
      <c r="Y270" s="15" t="s">
        <v>2875</v>
      </c>
      <c r="Z270" s="20">
        <v>46029</v>
      </c>
      <c r="AA270" s="18"/>
      <c r="AB270" s="16"/>
      <c r="AC270" s="16"/>
      <c r="AD270" s="16"/>
      <c r="AE270" s="16" t="s">
        <v>3025</v>
      </c>
      <c r="AF270" s="16"/>
      <c r="AI270" s="3" t="str">
        <f t="shared" ca="1" si="4"/>
        <v>OK</v>
      </c>
    </row>
    <row r="271" spans="1:35" hidden="1" x14ac:dyDescent="0.3">
      <c r="A271" s="13">
        <v>46032</v>
      </c>
      <c r="B271" s="14" t="s">
        <v>2806</v>
      </c>
      <c r="C271" s="16"/>
      <c r="D271" s="16"/>
      <c r="E271" s="15" t="s">
        <v>855</v>
      </c>
      <c r="F271" s="15" t="s">
        <v>907</v>
      </c>
      <c r="G271" s="15" t="s">
        <v>315</v>
      </c>
      <c r="H271" s="15"/>
      <c r="I271" s="15" t="s">
        <v>1797</v>
      </c>
      <c r="J271" s="15" t="s">
        <v>1798</v>
      </c>
      <c r="K271" s="16"/>
      <c r="L271" s="14" t="s">
        <v>2823</v>
      </c>
      <c r="M271" s="16"/>
      <c r="N271" s="15" t="s">
        <v>1014</v>
      </c>
      <c r="O271" s="14">
        <v>0.12</v>
      </c>
      <c r="P271" s="14" t="s">
        <v>2845</v>
      </c>
      <c r="Q271" s="14" cm="1">
        <f t="array" ref="Q271">_xlfn.IFS(P271="USD",O271,P271="VND",O271/26090,P271="JPY",O271/161)</f>
        <v>0.12</v>
      </c>
      <c r="R271" s="14">
        <v>30</v>
      </c>
      <c r="S271" s="14">
        <v>1</v>
      </c>
      <c r="T271" s="14"/>
      <c r="U271" s="14" t="s">
        <v>2849</v>
      </c>
      <c r="V271" s="14" t="s">
        <v>2857</v>
      </c>
      <c r="W271" s="14" t="s">
        <v>2858</v>
      </c>
      <c r="X271" s="17">
        <v>0</v>
      </c>
      <c r="Y271" s="15" t="s">
        <v>2875</v>
      </c>
      <c r="Z271" s="20">
        <v>46029</v>
      </c>
      <c r="AA271" s="18"/>
      <c r="AB271" s="16"/>
      <c r="AC271" s="16"/>
      <c r="AD271" s="16"/>
      <c r="AE271" s="16" t="s">
        <v>3025</v>
      </c>
      <c r="AF271" s="16"/>
      <c r="AI271" s="3" t="str">
        <f t="shared" ca="1" si="4"/>
        <v>OK</v>
      </c>
    </row>
    <row r="272" spans="1:35" hidden="1" x14ac:dyDescent="0.3">
      <c r="A272" s="13">
        <v>46032</v>
      </c>
      <c r="B272" s="14" t="s">
        <v>2806</v>
      </c>
      <c r="C272" s="16"/>
      <c r="D272" s="16"/>
      <c r="E272" s="15" t="s">
        <v>855</v>
      </c>
      <c r="F272" s="15" t="s">
        <v>907</v>
      </c>
      <c r="G272" s="15" t="s">
        <v>316</v>
      </c>
      <c r="H272" s="15"/>
      <c r="I272" s="15" t="s">
        <v>1799</v>
      </c>
      <c r="J272" s="15" t="s">
        <v>1800</v>
      </c>
      <c r="K272" s="16"/>
      <c r="L272" s="14" t="s">
        <v>2823</v>
      </c>
      <c r="M272" s="16"/>
      <c r="N272" s="15" t="s">
        <v>1013</v>
      </c>
      <c r="O272" s="14">
        <v>0.108</v>
      </c>
      <c r="P272" s="14" t="s">
        <v>2845</v>
      </c>
      <c r="Q272" s="14" cm="1">
        <f t="array" ref="Q272">_xlfn.IFS(P272="USD",O272,P272="VND",O272/26090,P272="JPY",O272/161)</f>
        <v>0.108</v>
      </c>
      <c r="R272" s="14">
        <v>30</v>
      </c>
      <c r="S272" s="14">
        <v>1</v>
      </c>
      <c r="T272" s="14"/>
      <c r="U272" s="14" t="s">
        <v>2849</v>
      </c>
      <c r="V272" s="14" t="s">
        <v>2857</v>
      </c>
      <c r="W272" s="14" t="s">
        <v>2858</v>
      </c>
      <c r="X272" s="17">
        <v>0</v>
      </c>
      <c r="Y272" s="15" t="s">
        <v>2875</v>
      </c>
      <c r="Z272" s="20">
        <v>46029</v>
      </c>
      <c r="AA272" s="18"/>
      <c r="AB272" s="16"/>
      <c r="AC272" s="16"/>
      <c r="AD272" s="16"/>
      <c r="AE272" s="16" t="s">
        <v>3025</v>
      </c>
      <c r="AF272" s="16"/>
      <c r="AI272" s="3" t="str">
        <f t="shared" ca="1" si="4"/>
        <v>OK</v>
      </c>
    </row>
    <row r="273" spans="1:35" hidden="1" x14ac:dyDescent="0.3">
      <c r="A273" s="13">
        <v>46032</v>
      </c>
      <c r="B273" s="14" t="s">
        <v>2806</v>
      </c>
      <c r="C273" s="16"/>
      <c r="D273" s="16"/>
      <c r="E273" s="15" t="s">
        <v>855</v>
      </c>
      <c r="F273" s="15" t="s">
        <v>907</v>
      </c>
      <c r="G273" s="15" t="s">
        <v>317</v>
      </c>
      <c r="H273" s="15"/>
      <c r="I273" s="15" t="s">
        <v>1801</v>
      </c>
      <c r="J273" s="15" t="s">
        <v>1802</v>
      </c>
      <c r="K273" s="16"/>
      <c r="L273" s="14" t="s">
        <v>2823</v>
      </c>
      <c r="M273" s="16"/>
      <c r="N273" s="15" t="s">
        <v>1013</v>
      </c>
      <c r="O273" s="14">
        <v>0.29899999999999999</v>
      </c>
      <c r="P273" s="14" t="s">
        <v>2845</v>
      </c>
      <c r="Q273" s="14" cm="1">
        <f t="array" ref="Q273">_xlfn.IFS(P273="USD",O273,P273="VND",O273/26090,P273="JPY",O273/161)</f>
        <v>0.29899999999999999</v>
      </c>
      <c r="R273" s="14">
        <v>30</v>
      </c>
      <c r="S273" s="14">
        <v>1</v>
      </c>
      <c r="T273" s="14"/>
      <c r="U273" s="14" t="s">
        <v>2849</v>
      </c>
      <c r="V273" s="14" t="s">
        <v>2857</v>
      </c>
      <c r="W273" s="14" t="s">
        <v>2858</v>
      </c>
      <c r="X273" s="17">
        <v>0</v>
      </c>
      <c r="Y273" s="15" t="s">
        <v>2875</v>
      </c>
      <c r="Z273" s="20">
        <v>46029</v>
      </c>
      <c r="AA273" s="18"/>
      <c r="AB273" s="16"/>
      <c r="AC273" s="16"/>
      <c r="AD273" s="16"/>
      <c r="AE273" s="16" t="s">
        <v>3025</v>
      </c>
      <c r="AF273" s="16"/>
      <c r="AI273" s="3" t="str">
        <f t="shared" ca="1" si="4"/>
        <v>OK</v>
      </c>
    </row>
    <row r="274" spans="1:35" hidden="1" x14ac:dyDescent="0.3">
      <c r="A274" s="13">
        <v>46032</v>
      </c>
      <c r="B274" s="14" t="s">
        <v>2806</v>
      </c>
      <c r="C274" s="16"/>
      <c r="D274" s="16"/>
      <c r="E274" s="15" t="s">
        <v>855</v>
      </c>
      <c r="F274" s="15" t="s">
        <v>907</v>
      </c>
      <c r="G274" s="15" t="s">
        <v>318</v>
      </c>
      <c r="H274" s="15"/>
      <c r="I274" s="15" t="s">
        <v>1803</v>
      </c>
      <c r="J274" s="15" t="s">
        <v>1804</v>
      </c>
      <c r="K274" s="16"/>
      <c r="L274" s="14" t="s">
        <v>2823</v>
      </c>
      <c r="M274" s="16"/>
      <c r="N274" s="15" t="s">
        <v>1014</v>
      </c>
      <c r="O274" s="14">
        <v>0.88600000000000001</v>
      </c>
      <c r="P274" s="14" t="s">
        <v>2845</v>
      </c>
      <c r="Q274" s="14" cm="1">
        <f t="array" ref="Q274">_xlfn.IFS(P274="USD",O274,P274="VND",O274/26090,P274="JPY",O274/161)</f>
        <v>0.88600000000000001</v>
      </c>
      <c r="R274" s="14">
        <v>30</v>
      </c>
      <c r="S274" s="14">
        <v>1</v>
      </c>
      <c r="T274" s="14"/>
      <c r="U274" s="14" t="s">
        <v>2849</v>
      </c>
      <c r="V274" s="14" t="s">
        <v>2857</v>
      </c>
      <c r="W274" s="14" t="s">
        <v>2858</v>
      </c>
      <c r="X274" s="17">
        <v>0</v>
      </c>
      <c r="Y274" s="15" t="s">
        <v>2875</v>
      </c>
      <c r="Z274" s="20">
        <v>46029</v>
      </c>
      <c r="AA274" s="18"/>
      <c r="AB274" s="16"/>
      <c r="AC274" s="16"/>
      <c r="AD274" s="16"/>
      <c r="AE274" s="16" t="s">
        <v>3025</v>
      </c>
      <c r="AF274" s="16"/>
      <c r="AI274" s="3" t="str">
        <f t="shared" ca="1" si="4"/>
        <v>OK</v>
      </c>
    </row>
    <row r="275" spans="1:35" hidden="1" x14ac:dyDescent="0.3">
      <c r="A275" s="13">
        <v>46032</v>
      </c>
      <c r="B275" s="14" t="s">
        <v>2806</v>
      </c>
      <c r="C275" s="16"/>
      <c r="D275" s="16"/>
      <c r="E275" s="15" t="s">
        <v>855</v>
      </c>
      <c r="F275" s="15" t="s">
        <v>907</v>
      </c>
      <c r="G275" s="15" t="s">
        <v>319</v>
      </c>
      <c r="H275" s="15"/>
      <c r="I275" s="15" t="s">
        <v>1805</v>
      </c>
      <c r="J275" s="15" t="s">
        <v>1806</v>
      </c>
      <c r="K275" s="16"/>
      <c r="L275" s="14" t="s">
        <v>2823</v>
      </c>
      <c r="M275" s="16"/>
      <c r="N275" s="15" t="s">
        <v>1014</v>
      </c>
      <c r="O275" s="14">
        <v>1.1850000000000001</v>
      </c>
      <c r="P275" s="14" t="s">
        <v>2845</v>
      </c>
      <c r="Q275" s="14" cm="1">
        <f t="array" ref="Q275">_xlfn.IFS(P275="USD",O275,P275="VND",O275/26090,P275="JPY",O275/161)</f>
        <v>1.1850000000000001</v>
      </c>
      <c r="R275" s="14">
        <v>30</v>
      </c>
      <c r="S275" s="14">
        <v>1</v>
      </c>
      <c r="T275" s="14"/>
      <c r="U275" s="14" t="s">
        <v>2849</v>
      </c>
      <c r="V275" s="14" t="s">
        <v>2857</v>
      </c>
      <c r="W275" s="14" t="s">
        <v>2858</v>
      </c>
      <c r="X275" s="17">
        <v>0</v>
      </c>
      <c r="Y275" s="15" t="s">
        <v>2875</v>
      </c>
      <c r="Z275" s="20">
        <v>46029</v>
      </c>
      <c r="AA275" s="18"/>
      <c r="AB275" s="16"/>
      <c r="AC275" s="16"/>
      <c r="AD275" s="16"/>
      <c r="AE275" s="16" t="s">
        <v>3025</v>
      </c>
      <c r="AF275" s="16"/>
      <c r="AI275" s="3" t="str">
        <f t="shared" ca="1" si="4"/>
        <v>OK</v>
      </c>
    </row>
    <row r="276" spans="1:35" hidden="1" x14ac:dyDescent="0.3">
      <c r="A276" s="13">
        <v>46032</v>
      </c>
      <c r="B276" s="14" t="s">
        <v>2806</v>
      </c>
      <c r="C276" s="16"/>
      <c r="D276" s="16"/>
      <c r="E276" s="15" t="s">
        <v>855</v>
      </c>
      <c r="F276" s="15" t="s">
        <v>907</v>
      </c>
      <c r="G276" s="15" t="s">
        <v>320</v>
      </c>
      <c r="H276" s="15"/>
      <c r="I276" s="15" t="s">
        <v>1807</v>
      </c>
      <c r="J276" s="15" t="s">
        <v>1808</v>
      </c>
      <c r="K276" s="16"/>
      <c r="L276" s="14" t="s">
        <v>2833</v>
      </c>
      <c r="M276" s="16"/>
      <c r="N276" s="15" t="s">
        <v>1014</v>
      </c>
      <c r="O276" s="14">
        <v>16.521000000000001</v>
      </c>
      <c r="P276" s="14" t="s">
        <v>2845</v>
      </c>
      <c r="Q276" s="14" cm="1">
        <f t="array" ref="Q276">_xlfn.IFS(P276="USD",O276,P276="VND",O276/26090,P276="JPY",O276/161)</f>
        <v>16.521000000000001</v>
      </c>
      <c r="R276" s="14">
        <v>30</v>
      </c>
      <c r="S276" s="14">
        <v>1</v>
      </c>
      <c r="T276" s="14"/>
      <c r="U276" s="14" t="s">
        <v>2849</v>
      </c>
      <c r="V276" s="14" t="s">
        <v>2857</v>
      </c>
      <c r="W276" s="14" t="s">
        <v>2858</v>
      </c>
      <c r="X276" s="17">
        <v>0</v>
      </c>
      <c r="Y276" s="15" t="s">
        <v>2875</v>
      </c>
      <c r="Z276" s="20">
        <v>46029</v>
      </c>
      <c r="AA276" s="18"/>
      <c r="AB276" s="16"/>
      <c r="AC276" s="16"/>
      <c r="AD276" s="16"/>
      <c r="AE276" s="16" t="s">
        <v>3025</v>
      </c>
      <c r="AF276" s="16"/>
      <c r="AI276" s="3" t="str">
        <f t="shared" ca="1" si="4"/>
        <v>OK</v>
      </c>
    </row>
    <row r="277" spans="1:35" x14ac:dyDescent="0.3">
      <c r="A277" s="13">
        <v>46032</v>
      </c>
      <c r="B277" s="14" t="s">
        <v>2806</v>
      </c>
      <c r="C277" s="16"/>
      <c r="D277" s="16"/>
      <c r="E277" s="15" t="s">
        <v>862</v>
      </c>
      <c r="F277" s="15" t="s">
        <v>1251</v>
      </c>
      <c r="G277" s="15" t="s">
        <v>321</v>
      </c>
      <c r="H277" s="15"/>
      <c r="I277" s="15" t="s">
        <v>1809</v>
      </c>
      <c r="J277" s="15" t="s">
        <v>1810</v>
      </c>
      <c r="K277" s="16"/>
      <c r="L277" s="14" t="s">
        <v>2823</v>
      </c>
      <c r="M277" s="16"/>
      <c r="N277" s="15" t="s">
        <v>1023</v>
      </c>
      <c r="O277" s="14">
        <v>22000</v>
      </c>
      <c r="P277" s="14" t="s">
        <v>2846</v>
      </c>
      <c r="Q277" s="14" cm="1">
        <f t="array" ref="Q277">_xlfn.IFS(P277="USD",O277,P277="VND",O277/26090,P277="JPY",O277/161)</f>
        <v>0.84323495592180908</v>
      </c>
      <c r="R277" s="14">
        <v>10</v>
      </c>
      <c r="S277" s="14">
        <v>100</v>
      </c>
      <c r="T277" s="14"/>
      <c r="U277" s="14" t="s">
        <v>2848</v>
      </c>
      <c r="V277" s="14" t="s">
        <v>2857</v>
      </c>
      <c r="W277" s="14" t="s">
        <v>2858</v>
      </c>
      <c r="X277" s="17">
        <v>0</v>
      </c>
      <c r="Y277" s="15" t="s">
        <v>2875</v>
      </c>
      <c r="Z277" s="18" t="s">
        <v>2929</v>
      </c>
      <c r="AA277" s="22" t="s">
        <v>2931</v>
      </c>
      <c r="AB277" s="16"/>
      <c r="AC277" s="16"/>
      <c r="AD277" s="16"/>
      <c r="AE277" s="16" t="s">
        <v>2933</v>
      </c>
      <c r="AF277" s="16"/>
      <c r="AI277" s="3" t="str">
        <f t="shared" ca="1" si="4"/>
        <v>OK</v>
      </c>
    </row>
    <row r="278" spans="1:35" x14ac:dyDescent="0.3">
      <c r="A278" s="13">
        <v>46032</v>
      </c>
      <c r="B278" s="14" t="s">
        <v>2806</v>
      </c>
      <c r="C278" s="16"/>
      <c r="D278" s="16"/>
      <c r="E278" s="15" t="s">
        <v>862</v>
      </c>
      <c r="F278" s="15" t="s">
        <v>1251</v>
      </c>
      <c r="G278" s="15" t="s">
        <v>322</v>
      </c>
      <c r="H278" s="15"/>
      <c r="I278" s="15" t="s">
        <v>1811</v>
      </c>
      <c r="J278" s="15" t="s">
        <v>1812</v>
      </c>
      <c r="K278" s="16"/>
      <c r="L278" s="14" t="s">
        <v>2807</v>
      </c>
      <c r="M278" s="16"/>
      <c r="N278" s="15" t="s">
        <v>1024</v>
      </c>
      <c r="O278" s="14">
        <v>148000</v>
      </c>
      <c r="P278" s="14" t="s">
        <v>2846</v>
      </c>
      <c r="Q278" s="14" cm="1">
        <f t="array" ref="Q278">_xlfn.IFS(P278="USD",O278,P278="VND",O278/26090,P278="JPY",O278/161)</f>
        <v>5.6726715216558068</v>
      </c>
      <c r="R278" s="14">
        <v>7</v>
      </c>
      <c r="S278" s="14">
        <v>10</v>
      </c>
      <c r="T278" s="14"/>
      <c r="U278" s="14" t="s">
        <v>2848</v>
      </c>
      <c r="V278" s="14" t="s">
        <v>2857</v>
      </c>
      <c r="W278" s="14" t="s">
        <v>2858</v>
      </c>
      <c r="X278" s="17">
        <v>0</v>
      </c>
      <c r="Y278" s="15" t="s">
        <v>2875</v>
      </c>
      <c r="Z278" s="18" t="s">
        <v>2929</v>
      </c>
      <c r="AA278" s="22" t="s">
        <v>2931</v>
      </c>
      <c r="AB278" s="16"/>
      <c r="AC278" s="16"/>
      <c r="AD278" s="16"/>
      <c r="AE278" s="16" t="s">
        <v>2933</v>
      </c>
      <c r="AF278" s="16"/>
      <c r="AI278" s="3" t="str">
        <f t="shared" ca="1" si="4"/>
        <v>OK</v>
      </c>
    </row>
    <row r="279" spans="1:35" x14ac:dyDescent="0.3">
      <c r="A279" s="13">
        <v>46032</v>
      </c>
      <c r="B279" s="14" t="s">
        <v>2806</v>
      </c>
      <c r="C279" s="16"/>
      <c r="D279" s="16"/>
      <c r="E279" s="15" t="s">
        <v>886</v>
      </c>
      <c r="F279" s="15" t="s">
        <v>1271</v>
      </c>
      <c r="G279" s="15" t="s">
        <v>323</v>
      </c>
      <c r="H279" s="15"/>
      <c r="I279" s="15" t="s">
        <v>1813</v>
      </c>
      <c r="J279" s="15" t="s">
        <v>1814</v>
      </c>
      <c r="K279" s="16"/>
      <c r="L279" s="14" t="s">
        <v>2823</v>
      </c>
      <c r="M279" s="16"/>
      <c r="N279" s="15" t="s">
        <v>1025</v>
      </c>
      <c r="O279" s="14">
        <v>1.48</v>
      </c>
      <c r="P279" s="14" t="s">
        <v>2845</v>
      </c>
      <c r="Q279" s="14" cm="1">
        <f t="array" ref="Q279">_xlfn.IFS(P279="USD",O279,P279="VND",O279/26090,P279="JPY",O279/161)</f>
        <v>1.48</v>
      </c>
      <c r="R279" s="14">
        <v>35</v>
      </c>
      <c r="S279" s="14">
        <v>10</v>
      </c>
      <c r="T279" s="14"/>
      <c r="U279" s="14" t="s">
        <v>2850</v>
      </c>
      <c r="V279" s="14" t="s">
        <v>2859</v>
      </c>
      <c r="W279" s="14" t="s">
        <v>2860</v>
      </c>
      <c r="X279" s="17">
        <v>0</v>
      </c>
      <c r="Y279" s="15" t="s">
        <v>2899</v>
      </c>
      <c r="Z279" s="18" t="s">
        <v>3044</v>
      </c>
      <c r="AA279" s="22" t="s">
        <v>3045</v>
      </c>
      <c r="AB279" s="16"/>
      <c r="AC279" s="16"/>
      <c r="AD279" s="16"/>
      <c r="AE279" s="16" t="s">
        <v>3046</v>
      </c>
      <c r="AF279" s="16"/>
      <c r="AI279" s="3" t="str">
        <f t="shared" ca="1" si="4"/>
        <v>OK</v>
      </c>
    </row>
    <row r="280" spans="1:35" hidden="1" x14ac:dyDescent="0.3">
      <c r="A280" s="13">
        <v>46032</v>
      </c>
      <c r="B280" s="14" t="s">
        <v>2806</v>
      </c>
      <c r="C280" s="16"/>
      <c r="D280" s="16"/>
      <c r="E280" s="15" t="s">
        <v>872</v>
      </c>
      <c r="F280" s="15" t="s">
        <v>1258</v>
      </c>
      <c r="G280" s="15" t="s">
        <v>324</v>
      </c>
      <c r="H280" s="15"/>
      <c r="I280" s="15" t="s">
        <v>1815</v>
      </c>
      <c r="J280" s="15" t="s">
        <v>1816</v>
      </c>
      <c r="K280" s="16"/>
      <c r="L280" s="14" t="s">
        <v>2823</v>
      </c>
      <c r="M280" s="16"/>
      <c r="N280" s="15" t="s">
        <v>1026</v>
      </c>
      <c r="O280" s="14">
        <v>13.3</v>
      </c>
      <c r="P280" s="14" t="s">
        <v>2845</v>
      </c>
      <c r="Q280" s="14" cm="1">
        <f t="array" ref="Q280">_xlfn.IFS(P280="USD",O280,P280="VND",O280/26090,P280="JPY",O280/161)</f>
        <v>13.3</v>
      </c>
      <c r="R280" s="14">
        <v>14</v>
      </c>
      <c r="S280" s="14">
        <v>1</v>
      </c>
      <c r="T280" s="14"/>
      <c r="U280" s="14" t="s">
        <v>2849</v>
      </c>
      <c r="V280" s="14" t="s">
        <v>2857</v>
      </c>
      <c r="W280" s="14" t="s">
        <v>2858</v>
      </c>
      <c r="X280" s="17">
        <v>0</v>
      </c>
      <c r="Y280" s="15" t="s">
        <v>2893</v>
      </c>
      <c r="Z280" s="18" t="s">
        <v>2930</v>
      </c>
      <c r="AA280" s="18"/>
      <c r="AB280" s="16"/>
      <c r="AC280" s="16"/>
      <c r="AD280" s="16"/>
      <c r="AE280" s="16" t="s">
        <v>2953</v>
      </c>
      <c r="AF280" s="16"/>
      <c r="AI280" s="3" t="str">
        <f t="shared" ca="1" si="4"/>
        <v>OK</v>
      </c>
    </row>
    <row r="281" spans="1:35" x14ac:dyDescent="0.3">
      <c r="A281" s="13">
        <v>46032</v>
      </c>
      <c r="B281" s="14" t="s">
        <v>2806</v>
      </c>
      <c r="C281" s="16"/>
      <c r="D281" s="16"/>
      <c r="E281" s="15" t="s">
        <v>886</v>
      </c>
      <c r="F281" s="15" t="s">
        <v>1271</v>
      </c>
      <c r="G281" s="15" t="s">
        <v>325</v>
      </c>
      <c r="H281" s="15"/>
      <c r="I281" s="15" t="s">
        <v>1817</v>
      </c>
      <c r="J281" s="15" t="s">
        <v>1818</v>
      </c>
      <c r="K281" s="16"/>
      <c r="L281" s="14" t="s">
        <v>2823</v>
      </c>
      <c r="M281" s="16"/>
      <c r="N281" s="15" t="s">
        <v>1025</v>
      </c>
      <c r="O281" s="14">
        <v>1.38</v>
      </c>
      <c r="P281" s="14" t="s">
        <v>2845</v>
      </c>
      <c r="Q281" s="14" cm="1">
        <f t="array" ref="Q281">_xlfn.IFS(P281="USD",O281,P281="VND",O281/26090,P281="JPY",O281/161)</f>
        <v>1.38</v>
      </c>
      <c r="R281" s="14">
        <v>35</v>
      </c>
      <c r="S281" s="14">
        <v>10</v>
      </c>
      <c r="T281" s="14"/>
      <c r="U281" s="14" t="s">
        <v>2850</v>
      </c>
      <c r="V281" s="14" t="s">
        <v>2859</v>
      </c>
      <c r="W281" s="14" t="s">
        <v>2860</v>
      </c>
      <c r="X281" s="17">
        <v>0</v>
      </c>
      <c r="Y281" s="15" t="s">
        <v>2899</v>
      </c>
      <c r="Z281" s="18" t="s">
        <v>3044</v>
      </c>
      <c r="AA281" s="22" t="s">
        <v>3045</v>
      </c>
      <c r="AB281" s="16"/>
      <c r="AC281" s="16"/>
      <c r="AD281" s="16"/>
      <c r="AE281" s="16" t="s">
        <v>3046</v>
      </c>
      <c r="AF281" s="16"/>
      <c r="AI281" s="3" t="str">
        <f t="shared" ca="1" si="4"/>
        <v>OK</v>
      </c>
    </row>
    <row r="282" spans="1:35" hidden="1" x14ac:dyDescent="0.3">
      <c r="A282" s="13">
        <v>46032</v>
      </c>
      <c r="B282" s="14" t="s">
        <v>2806</v>
      </c>
      <c r="C282" s="16"/>
      <c r="D282" s="16"/>
      <c r="E282" s="15" t="s">
        <v>855</v>
      </c>
      <c r="F282" s="15" t="s">
        <v>907</v>
      </c>
      <c r="G282" s="15" t="s">
        <v>326</v>
      </c>
      <c r="H282" s="15"/>
      <c r="I282" s="15" t="s">
        <v>1819</v>
      </c>
      <c r="J282" s="15" t="s">
        <v>1820</v>
      </c>
      <c r="K282" s="16"/>
      <c r="L282" s="14" t="s">
        <v>2823</v>
      </c>
      <c r="M282" s="16"/>
      <c r="N282" s="15" t="s">
        <v>1027</v>
      </c>
      <c r="O282" s="14">
        <v>1.9159999999999999</v>
      </c>
      <c r="P282" s="14" t="s">
        <v>2845</v>
      </c>
      <c r="Q282" s="14" cm="1">
        <f t="array" ref="Q282">_xlfn.IFS(P282="USD",O282,P282="VND",O282/26090,P282="JPY",O282/161)</f>
        <v>1.9159999999999999</v>
      </c>
      <c r="R282" s="14">
        <v>30</v>
      </c>
      <c r="S282" s="14">
        <v>1</v>
      </c>
      <c r="T282" s="14"/>
      <c r="U282" s="14" t="s">
        <v>2849</v>
      </c>
      <c r="V282" s="14" t="s">
        <v>2857</v>
      </c>
      <c r="W282" s="14" t="s">
        <v>2858</v>
      </c>
      <c r="X282" s="17">
        <v>0</v>
      </c>
      <c r="Y282" s="15" t="s">
        <v>2875</v>
      </c>
      <c r="Z282" s="20">
        <v>46029</v>
      </c>
      <c r="AA282" s="18"/>
      <c r="AB282" s="16"/>
      <c r="AC282" s="16"/>
      <c r="AD282" s="16"/>
      <c r="AE282" s="16" t="s">
        <v>3025</v>
      </c>
      <c r="AF282" s="16"/>
      <c r="AI282" s="3" t="str">
        <f t="shared" ca="1" si="4"/>
        <v>OK</v>
      </c>
    </row>
    <row r="283" spans="1:35" hidden="1" x14ac:dyDescent="0.3">
      <c r="A283" s="13">
        <v>46032</v>
      </c>
      <c r="B283" s="14" t="s">
        <v>2806</v>
      </c>
      <c r="C283" s="16"/>
      <c r="D283" s="16"/>
      <c r="E283" s="15" t="s">
        <v>849</v>
      </c>
      <c r="F283" s="15" t="s">
        <v>1243</v>
      </c>
      <c r="G283" s="15" t="s">
        <v>327</v>
      </c>
      <c r="H283" s="15"/>
      <c r="I283" s="15" t="s">
        <v>1821</v>
      </c>
      <c r="J283" s="15" t="s">
        <v>1822</v>
      </c>
      <c r="K283" s="16"/>
      <c r="L283" s="14" t="s">
        <v>2821</v>
      </c>
      <c r="M283" s="16"/>
      <c r="N283" s="15" t="s">
        <v>1028</v>
      </c>
      <c r="O283" s="14">
        <v>23</v>
      </c>
      <c r="P283" s="14" t="s">
        <v>2845</v>
      </c>
      <c r="Q283" s="14" cm="1">
        <f t="array" ref="Q283">_xlfn.IFS(P283="USD",O283,P283="VND",O283/26090,P283="JPY",O283/161)</f>
        <v>23</v>
      </c>
      <c r="R283" s="14">
        <v>25</v>
      </c>
      <c r="S283" s="14">
        <v>1</v>
      </c>
      <c r="T283" s="14"/>
      <c r="U283" s="14" t="s">
        <v>2849</v>
      </c>
      <c r="V283" s="14" t="s">
        <v>2857</v>
      </c>
      <c r="W283" s="14" t="s">
        <v>2858</v>
      </c>
      <c r="X283" s="17">
        <v>0</v>
      </c>
      <c r="Y283" s="15" t="s">
        <v>2875</v>
      </c>
      <c r="Z283" s="20">
        <v>46028</v>
      </c>
      <c r="AA283" s="20">
        <v>46393</v>
      </c>
      <c r="AB283" s="16"/>
      <c r="AC283" s="16"/>
      <c r="AD283" s="16"/>
      <c r="AE283" s="16" t="s">
        <v>2959</v>
      </c>
      <c r="AF283" s="16"/>
      <c r="AI283" s="3" t="str">
        <f t="shared" ca="1" si="4"/>
        <v>OK</v>
      </c>
    </row>
    <row r="284" spans="1:35" hidden="1" x14ac:dyDescent="0.3">
      <c r="A284" s="13">
        <v>46032</v>
      </c>
      <c r="B284" s="14" t="s">
        <v>2806</v>
      </c>
      <c r="C284" s="16"/>
      <c r="D284" s="16"/>
      <c r="E284" s="15" t="s">
        <v>849</v>
      </c>
      <c r="F284" s="15" t="s">
        <v>1243</v>
      </c>
      <c r="G284" s="15" t="s">
        <v>328</v>
      </c>
      <c r="H284" s="15"/>
      <c r="I284" s="15" t="s">
        <v>1823</v>
      </c>
      <c r="J284" s="15" t="s">
        <v>1824</v>
      </c>
      <c r="K284" s="16"/>
      <c r="L284" s="14" t="s">
        <v>2823</v>
      </c>
      <c r="M284" s="16"/>
      <c r="N284" s="15" t="s">
        <v>1029</v>
      </c>
      <c r="O284" s="14">
        <v>1.44</v>
      </c>
      <c r="P284" s="14" t="s">
        <v>2845</v>
      </c>
      <c r="Q284" s="14" cm="1">
        <f t="array" ref="Q284">_xlfn.IFS(P284="USD",O284,P284="VND",O284/26090,P284="JPY",O284/161)</f>
        <v>1.44</v>
      </c>
      <c r="R284" s="14">
        <v>25</v>
      </c>
      <c r="S284" s="14">
        <v>1</v>
      </c>
      <c r="T284" s="14"/>
      <c r="U284" s="14" t="s">
        <v>2849</v>
      </c>
      <c r="V284" s="14" t="s">
        <v>2857</v>
      </c>
      <c r="W284" s="14" t="s">
        <v>2858</v>
      </c>
      <c r="X284" s="17">
        <v>0</v>
      </c>
      <c r="Y284" s="15" t="s">
        <v>2875</v>
      </c>
      <c r="Z284" s="20">
        <v>46028</v>
      </c>
      <c r="AA284" s="20">
        <v>46393</v>
      </c>
      <c r="AB284" s="16"/>
      <c r="AC284" s="16"/>
      <c r="AD284" s="16"/>
      <c r="AE284" s="16" t="s">
        <v>2959</v>
      </c>
      <c r="AF284" s="16"/>
      <c r="AI284" s="3" t="str">
        <f t="shared" ca="1" si="4"/>
        <v>OK</v>
      </c>
    </row>
    <row r="285" spans="1:35" hidden="1" x14ac:dyDescent="0.3">
      <c r="A285" s="13">
        <v>46032</v>
      </c>
      <c r="B285" s="14" t="s">
        <v>2806</v>
      </c>
      <c r="C285" s="16"/>
      <c r="D285" s="16"/>
      <c r="E285" s="15" t="s">
        <v>884</v>
      </c>
      <c r="F285" s="15" t="s">
        <v>1269</v>
      </c>
      <c r="G285" s="15" t="s">
        <v>329</v>
      </c>
      <c r="H285" s="15"/>
      <c r="I285" s="15" t="s">
        <v>1825</v>
      </c>
      <c r="J285" s="15" t="s">
        <v>1826</v>
      </c>
      <c r="K285" s="16"/>
      <c r="L285" s="14" t="s">
        <v>2823</v>
      </c>
      <c r="M285" s="16"/>
      <c r="N285" s="15" t="s">
        <v>1030</v>
      </c>
      <c r="O285" s="14">
        <v>2.84</v>
      </c>
      <c r="P285" s="14" t="s">
        <v>2845</v>
      </c>
      <c r="Q285" s="14" cm="1">
        <f t="array" ref="Q285">_xlfn.IFS(P285="USD",O285,P285="VND",O285/26090,P285="JPY",O285/161)</f>
        <v>2.84</v>
      </c>
      <c r="R285" s="14">
        <v>30</v>
      </c>
      <c r="S285" s="14">
        <v>10</v>
      </c>
      <c r="T285" s="14"/>
      <c r="U285" s="14" t="s">
        <v>2848</v>
      </c>
      <c r="V285" s="14" t="s">
        <v>2857</v>
      </c>
      <c r="W285" s="14" t="s">
        <v>2858</v>
      </c>
      <c r="X285" s="17">
        <v>0</v>
      </c>
      <c r="Y285" s="15" t="s">
        <v>2898</v>
      </c>
      <c r="Z285" s="20">
        <v>45754</v>
      </c>
      <c r="AA285" s="18"/>
      <c r="AB285" s="16"/>
      <c r="AC285" s="16"/>
      <c r="AD285" s="16"/>
      <c r="AE285" s="16" t="s">
        <v>2951</v>
      </c>
      <c r="AF285" s="16"/>
      <c r="AI285" s="3" t="str">
        <f t="shared" ca="1" si="4"/>
        <v>OK</v>
      </c>
    </row>
    <row r="286" spans="1:35" hidden="1" x14ac:dyDescent="0.3">
      <c r="A286" s="13">
        <v>46032</v>
      </c>
      <c r="B286" s="14" t="s">
        <v>2806</v>
      </c>
      <c r="C286" s="16"/>
      <c r="D286" s="16"/>
      <c r="E286" s="15" t="s">
        <v>872</v>
      </c>
      <c r="F286" s="15" t="s">
        <v>1258</v>
      </c>
      <c r="G286" s="15" t="s">
        <v>330</v>
      </c>
      <c r="H286" s="15"/>
      <c r="I286" s="15" t="s">
        <v>1827</v>
      </c>
      <c r="J286" s="15" t="s">
        <v>1828</v>
      </c>
      <c r="K286" s="16"/>
      <c r="L286" s="14" t="s">
        <v>2823</v>
      </c>
      <c r="M286" s="16"/>
      <c r="N286" s="15" t="s">
        <v>1031</v>
      </c>
      <c r="O286" s="14">
        <v>2.35</v>
      </c>
      <c r="P286" s="14" t="s">
        <v>2845</v>
      </c>
      <c r="Q286" s="14" cm="1">
        <f t="array" ref="Q286">_xlfn.IFS(P286="USD",O286,P286="VND",O286/26090,P286="JPY",O286/161)</f>
        <v>2.35</v>
      </c>
      <c r="R286" s="14">
        <v>21</v>
      </c>
      <c r="S286" s="14">
        <v>1</v>
      </c>
      <c r="T286" s="14"/>
      <c r="U286" s="14" t="s">
        <v>2849</v>
      </c>
      <c r="V286" s="14" t="s">
        <v>2857</v>
      </c>
      <c r="W286" s="14" t="s">
        <v>2858</v>
      </c>
      <c r="X286" s="17">
        <v>0</v>
      </c>
      <c r="Y286" s="15" t="s">
        <v>2893</v>
      </c>
      <c r="Z286" s="18" t="s">
        <v>2930</v>
      </c>
      <c r="AA286" s="18"/>
      <c r="AB286" s="16"/>
      <c r="AC286" s="16"/>
      <c r="AD286" s="16"/>
      <c r="AE286" s="16" t="s">
        <v>2953</v>
      </c>
      <c r="AF286" s="16"/>
      <c r="AI286" s="3" t="str">
        <f t="shared" ca="1" si="4"/>
        <v>OK</v>
      </c>
    </row>
    <row r="287" spans="1:35" hidden="1" x14ac:dyDescent="0.3">
      <c r="A287" s="13">
        <v>46032</v>
      </c>
      <c r="B287" s="14" t="s">
        <v>2806</v>
      </c>
      <c r="C287" s="16"/>
      <c r="D287" s="16"/>
      <c r="E287" s="15" t="s">
        <v>849</v>
      </c>
      <c r="F287" s="15" t="s">
        <v>1243</v>
      </c>
      <c r="G287" s="15" t="s">
        <v>331</v>
      </c>
      <c r="H287" s="15"/>
      <c r="I287" s="15" t="s">
        <v>1829</v>
      </c>
      <c r="J287" s="15" t="s">
        <v>1830</v>
      </c>
      <c r="K287" s="16"/>
      <c r="L287" s="14" t="s">
        <v>2823</v>
      </c>
      <c r="M287" s="16"/>
      <c r="N287" s="15" t="s">
        <v>1032</v>
      </c>
      <c r="O287" s="14">
        <v>13.1</v>
      </c>
      <c r="P287" s="14" t="s">
        <v>2845</v>
      </c>
      <c r="Q287" s="14" cm="1">
        <f t="array" ref="Q287">_xlfn.IFS(P287="USD",O287,P287="VND",O287/26090,P287="JPY",O287/161)</f>
        <v>13.1</v>
      </c>
      <c r="R287" s="14">
        <v>25</v>
      </c>
      <c r="S287" s="14">
        <v>1</v>
      </c>
      <c r="T287" s="14"/>
      <c r="U287" s="14" t="s">
        <v>2849</v>
      </c>
      <c r="V287" s="14" t="s">
        <v>2857</v>
      </c>
      <c r="W287" s="14" t="s">
        <v>2858</v>
      </c>
      <c r="X287" s="17">
        <v>0</v>
      </c>
      <c r="Y287" s="15" t="s">
        <v>2875</v>
      </c>
      <c r="Z287" s="20">
        <v>46028</v>
      </c>
      <c r="AA287" s="20">
        <v>46393</v>
      </c>
      <c r="AB287" s="16"/>
      <c r="AC287" s="16"/>
      <c r="AD287" s="16"/>
      <c r="AE287" s="16" t="s">
        <v>2959</v>
      </c>
      <c r="AF287" s="16"/>
      <c r="AI287" s="3" t="str">
        <f t="shared" ca="1" si="4"/>
        <v>OK</v>
      </c>
    </row>
    <row r="288" spans="1:35" hidden="1" x14ac:dyDescent="0.3">
      <c r="A288" s="13">
        <v>46032</v>
      </c>
      <c r="B288" s="14" t="s">
        <v>2806</v>
      </c>
      <c r="C288" s="16"/>
      <c r="D288" s="16"/>
      <c r="E288" s="15" t="s">
        <v>875</v>
      </c>
      <c r="F288" s="15" t="s">
        <v>1261</v>
      </c>
      <c r="G288" s="15" t="s">
        <v>332</v>
      </c>
      <c r="H288" s="15"/>
      <c r="I288" s="15" t="s">
        <v>1831</v>
      </c>
      <c r="J288" s="15" t="s">
        <v>1832</v>
      </c>
      <c r="K288" s="16"/>
      <c r="L288" s="14" t="s">
        <v>2823</v>
      </c>
      <c r="M288" s="16"/>
      <c r="N288" s="15" t="s">
        <v>1033</v>
      </c>
      <c r="O288" s="14">
        <v>3.42</v>
      </c>
      <c r="P288" s="14" t="s">
        <v>2845</v>
      </c>
      <c r="Q288" s="14" cm="1">
        <f t="array" ref="Q288">_xlfn.IFS(P288="USD",O288,P288="VND",O288/26090,P288="JPY",O288/161)</f>
        <v>3.42</v>
      </c>
      <c r="R288" s="14">
        <v>42</v>
      </c>
      <c r="S288" s="14">
        <v>1</v>
      </c>
      <c r="T288" s="14"/>
      <c r="U288" s="14" t="s">
        <v>2848</v>
      </c>
      <c r="V288" s="14" t="s">
        <v>2857</v>
      </c>
      <c r="W288" s="14" t="s">
        <v>2858</v>
      </c>
      <c r="X288" s="17">
        <v>0</v>
      </c>
      <c r="Y288" s="15" t="s">
        <v>2875</v>
      </c>
      <c r="Z288" s="18" t="s">
        <v>2935</v>
      </c>
      <c r="AA288" s="18"/>
      <c r="AB288" s="16"/>
      <c r="AC288" s="16"/>
      <c r="AD288" s="16"/>
      <c r="AE288" s="16" t="s">
        <v>2999</v>
      </c>
      <c r="AF288" s="16"/>
      <c r="AI288" s="3" t="str">
        <f t="shared" ca="1" si="4"/>
        <v>OK</v>
      </c>
    </row>
    <row r="289" spans="1:35" hidden="1" x14ac:dyDescent="0.3">
      <c r="A289" s="13">
        <v>46032</v>
      </c>
      <c r="B289" s="14" t="s">
        <v>2806</v>
      </c>
      <c r="C289" s="16"/>
      <c r="D289" s="16"/>
      <c r="E289" s="15" t="s">
        <v>849</v>
      </c>
      <c r="F289" s="15" t="s">
        <v>1243</v>
      </c>
      <c r="G289" s="15" t="s">
        <v>333</v>
      </c>
      <c r="H289" s="15"/>
      <c r="I289" s="15" t="s">
        <v>1833</v>
      </c>
      <c r="J289" s="15" t="s">
        <v>1834</v>
      </c>
      <c r="K289" s="16"/>
      <c r="L289" s="14" t="s">
        <v>2821</v>
      </c>
      <c r="M289" s="16"/>
      <c r="N289" s="15" t="s">
        <v>1034</v>
      </c>
      <c r="O289" s="14">
        <v>14.74</v>
      </c>
      <c r="P289" s="14" t="s">
        <v>2845</v>
      </c>
      <c r="Q289" s="14" cm="1">
        <f t="array" ref="Q289">_xlfn.IFS(P289="USD",O289,P289="VND",O289/26090,P289="JPY",O289/161)</f>
        <v>14.74</v>
      </c>
      <c r="R289" s="14">
        <v>25</v>
      </c>
      <c r="S289" s="14">
        <v>1</v>
      </c>
      <c r="T289" s="14"/>
      <c r="U289" s="14" t="s">
        <v>2849</v>
      </c>
      <c r="V289" s="14" t="s">
        <v>2857</v>
      </c>
      <c r="W289" s="14" t="s">
        <v>2858</v>
      </c>
      <c r="X289" s="17">
        <v>0</v>
      </c>
      <c r="Y289" s="15" t="s">
        <v>2875</v>
      </c>
      <c r="Z289" s="20">
        <v>46028</v>
      </c>
      <c r="AA289" s="20">
        <v>46393</v>
      </c>
      <c r="AB289" s="16"/>
      <c r="AC289" s="16"/>
      <c r="AD289" s="16"/>
      <c r="AE289" s="16" t="s">
        <v>2959</v>
      </c>
      <c r="AF289" s="16"/>
      <c r="AI289" s="3" t="str">
        <f t="shared" ca="1" si="4"/>
        <v>OK</v>
      </c>
    </row>
    <row r="290" spans="1:35" hidden="1" x14ac:dyDescent="0.3">
      <c r="A290" s="13">
        <v>46032</v>
      </c>
      <c r="B290" s="14" t="s">
        <v>2806</v>
      </c>
      <c r="C290" s="16"/>
      <c r="D290" s="16"/>
      <c r="E290" s="15" t="s">
        <v>849</v>
      </c>
      <c r="F290" s="15" t="s">
        <v>1243</v>
      </c>
      <c r="G290" s="15" t="s">
        <v>334</v>
      </c>
      <c r="H290" s="15"/>
      <c r="I290" s="15" t="s">
        <v>1835</v>
      </c>
      <c r="J290" s="15" t="s">
        <v>1836</v>
      </c>
      <c r="K290" s="16"/>
      <c r="L290" s="14" t="s">
        <v>2821</v>
      </c>
      <c r="M290" s="16"/>
      <c r="N290" s="15" t="s">
        <v>1034</v>
      </c>
      <c r="O290" s="14">
        <v>14.74</v>
      </c>
      <c r="P290" s="14" t="s">
        <v>2845</v>
      </c>
      <c r="Q290" s="14" cm="1">
        <f t="array" ref="Q290">_xlfn.IFS(P290="USD",O290,P290="VND",O290/26090,P290="JPY",O290/161)</f>
        <v>14.74</v>
      </c>
      <c r="R290" s="14">
        <v>25</v>
      </c>
      <c r="S290" s="14">
        <v>1</v>
      </c>
      <c r="T290" s="14"/>
      <c r="U290" s="14" t="s">
        <v>2849</v>
      </c>
      <c r="V290" s="14" t="s">
        <v>2857</v>
      </c>
      <c r="W290" s="14" t="s">
        <v>2858</v>
      </c>
      <c r="X290" s="17">
        <v>0</v>
      </c>
      <c r="Y290" s="15" t="s">
        <v>2875</v>
      </c>
      <c r="Z290" s="20">
        <v>46028</v>
      </c>
      <c r="AA290" s="20">
        <v>46393</v>
      </c>
      <c r="AB290" s="16"/>
      <c r="AC290" s="16"/>
      <c r="AD290" s="16"/>
      <c r="AE290" s="16" t="s">
        <v>2959</v>
      </c>
      <c r="AF290" s="16"/>
      <c r="AI290" s="3" t="str">
        <f t="shared" ca="1" si="4"/>
        <v>OK</v>
      </c>
    </row>
    <row r="291" spans="1:35" hidden="1" x14ac:dyDescent="0.3">
      <c r="A291" s="13">
        <v>46032</v>
      </c>
      <c r="B291" s="14" t="s">
        <v>2806</v>
      </c>
      <c r="C291" s="16"/>
      <c r="D291" s="16"/>
      <c r="E291" s="15" t="s">
        <v>849</v>
      </c>
      <c r="F291" s="15" t="s">
        <v>1243</v>
      </c>
      <c r="G291" s="15" t="s">
        <v>335</v>
      </c>
      <c r="H291" s="15"/>
      <c r="I291" s="15" t="s">
        <v>1837</v>
      </c>
      <c r="J291" s="15" t="s">
        <v>1838</v>
      </c>
      <c r="K291" s="16"/>
      <c r="L291" s="14" t="s">
        <v>2821</v>
      </c>
      <c r="M291" s="16"/>
      <c r="N291" s="15" t="s">
        <v>1034</v>
      </c>
      <c r="O291" s="14">
        <v>14.74</v>
      </c>
      <c r="P291" s="14" t="s">
        <v>2845</v>
      </c>
      <c r="Q291" s="14" cm="1">
        <f t="array" ref="Q291">_xlfn.IFS(P291="USD",O291,P291="VND",O291/26090,P291="JPY",O291/161)</f>
        <v>14.74</v>
      </c>
      <c r="R291" s="14">
        <v>25</v>
      </c>
      <c r="S291" s="14">
        <v>1</v>
      </c>
      <c r="T291" s="14"/>
      <c r="U291" s="14" t="s">
        <v>2849</v>
      </c>
      <c r="V291" s="14" t="s">
        <v>2857</v>
      </c>
      <c r="W291" s="14" t="s">
        <v>2858</v>
      </c>
      <c r="X291" s="17">
        <v>0</v>
      </c>
      <c r="Y291" s="15" t="s">
        <v>2875</v>
      </c>
      <c r="Z291" s="20">
        <v>46028</v>
      </c>
      <c r="AA291" s="20">
        <v>46393</v>
      </c>
      <c r="AB291" s="16"/>
      <c r="AC291" s="16"/>
      <c r="AD291" s="16"/>
      <c r="AE291" s="16" t="s">
        <v>2959</v>
      </c>
      <c r="AF291" s="16"/>
      <c r="AI291" s="3" t="str">
        <f t="shared" ca="1" si="4"/>
        <v>OK</v>
      </c>
    </row>
    <row r="292" spans="1:35" hidden="1" x14ac:dyDescent="0.3">
      <c r="A292" s="13">
        <v>46032</v>
      </c>
      <c r="B292" s="14" t="s">
        <v>2806</v>
      </c>
      <c r="C292" s="16"/>
      <c r="D292" s="16"/>
      <c r="E292" s="15" t="s">
        <v>875</v>
      </c>
      <c r="F292" s="15" t="s">
        <v>1261</v>
      </c>
      <c r="G292" s="15" t="s">
        <v>336</v>
      </c>
      <c r="H292" s="15"/>
      <c r="I292" s="15" t="s">
        <v>1839</v>
      </c>
      <c r="J292" s="15" t="s">
        <v>1840</v>
      </c>
      <c r="K292" s="16"/>
      <c r="L292" s="14" t="s">
        <v>2823</v>
      </c>
      <c r="M292" s="16"/>
      <c r="N292" s="15" t="s">
        <v>1033</v>
      </c>
      <c r="O292" s="14">
        <v>13.5</v>
      </c>
      <c r="P292" s="14" t="s">
        <v>2845</v>
      </c>
      <c r="Q292" s="14" cm="1">
        <f t="array" ref="Q292">_xlfn.IFS(P292="USD",O292,P292="VND",O292/26090,P292="JPY",O292/161)</f>
        <v>13.5</v>
      </c>
      <c r="R292" s="14">
        <v>42</v>
      </c>
      <c r="S292" s="14">
        <v>1</v>
      </c>
      <c r="T292" s="14"/>
      <c r="U292" s="14" t="s">
        <v>2848</v>
      </c>
      <c r="V292" s="14" t="s">
        <v>2857</v>
      </c>
      <c r="W292" s="14" t="s">
        <v>2858</v>
      </c>
      <c r="X292" s="17">
        <v>0</v>
      </c>
      <c r="Y292" s="15" t="s">
        <v>2875</v>
      </c>
      <c r="Z292" s="18" t="s">
        <v>2935</v>
      </c>
      <c r="AA292" s="18"/>
      <c r="AB292" s="16"/>
      <c r="AC292" s="16"/>
      <c r="AD292" s="16"/>
      <c r="AE292" s="16" t="s">
        <v>2999</v>
      </c>
      <c r="AF292" s="16"/>
      <c r="AI292" s="3" t="str">
        <f t="shared" ca="1" si="4"/>
        <v>OK</v>
      </c>
    </row>
    <row r="293" spans="1:35" hidden="1" x14ac:dyDescent="0.3">
      <c r="A293" s="13">
        <v>46032</v>
      </c>
      <c r="B293" s="14" t="s">
        <v>2806</v>
      </c>
      <c r="C293" s="16"/>
      <c r="D293" s="16"/>
      <c r="E293" s="15" t="s">
        <v>849</v>
      </c>
      <c r="F293" s="15" t="s">
        <v>1243</v>
      </c>
      <c r="G293" s="15" t="s">
        <v>337</v>
      </c>
      <c r="H293" s="15"/>
      <c r="I293" s="15" t="s">
        <v>1841</v>
      </c>
      <c r="J293" s="15" t="s">
        <v>1842</v>
      </c>
      <c r="K293" s="16"/>
      <c r="L293" s="14" t="s">
        <v>2829</v>
      </c>
      <c r="M293" s="16"/>
      <c r="N293" s="15" t="s">
        <v>1035</v>
      </c>
      <c r="O293" s="14">
        <v>23.24</v>
      </c>
      <c r="P293" s="14" t="s">
        <v>2845</v>
      </c>
      <c r="Q293" s="14" cm="1">
        <f t="array" ref="Q293">_xlfn.IFS(P293="USD",O293,P293="VND",O293/26090,P293="JPY",O293/161)</f>
        <v>23.24</v>
      </c>
      <c r="R293" s="14">
        <v>25</v>
      </c>
      <c r="S293" s="14">
        <v>1</v>
      </c>
      <c r="T293" s="14"/>
      <c r="U293" s="14" t="s">
        <v>2849</v>
      </c>
      <c r="V293" s="14" t="s">
        <v>2857</v>
      </c>
      <c r="W293" s="14" t="s">
        <v>2858</v>
      </c>
      <c r="X293" s="17">
        <v>0</v>
      </c>
      <c r="Y293" s="15" t="s">
        <v>2875</v>
      </c>
      <c r="Z293" s="20">
        <v>46028</v>
      </c>
      <c r="AA293" s="20">
        <v>46393</v>
      </c>
      <c r="AB293" s="16"/>
      <c r="AC293" s="16"/>
      <c r="AD293" s="16"/>
      <c r="AE293" s="16" t="s">
        <v>2959</v>
      </c>
      <c r="AF293" s="16"/>
      <c r="AI293" s="3" t="str">
        <f t="shared" ca="1" si="4"/>
        <v>OK</v>
      </c>
    </row>
    <row r="294" spans="1:35" hidden="1" x14ac:dyDescent="0.3">
      <c r="A294" s="13">
        <v>46032</v>
      </c>
      <c r="B294" s="14" t="s">
        <v>2806</v>
      </c>
      <c r="C294" s="16"/>
      <c r="D294" s="16"/>
      <c r="E294" s="15" t="s">
        <v>887</v>
      </c>
      <c r="F294" s="15" t="s">
        <v>1272</v>
      </c>
      <c r="G294" s="15" t="s">
        <v>338</v>
      </c>
      <c r="H294" s="15"/>
      <c r="I294" s="15" t="s">
        <v>1843</v>
      </c>
      <c r="J294" s="15" t="s">
        <v>1844</v>
      </c>
      <c r="K294" s="16"/>
      <c r="L294" s="14" t="s">
        <v>2823</v>
      </c>
      <c r="M294" s="16"/>
      <c r="N294" s="15" t="s">
        <v>1036</v>
      </c>
      <c r="O294" s="14">
        <v>78000</v>
      </c>
      <c r="P294" s="14" t="s">
        <v>2846</v>
      </c>
      <c r="Q294" s="14" cm="1">
        <f t="array" ref="Q294">_xlfn.IFS(P294="USD",O294,P294="VND",O294/26090,P294="JPY",O294/161)</f>
        <v>2.9896512073591412</v>
      </c>
      <c r="R294" s="14">
        <v>15</v>
      </c>
      <c r="S294" s="14">
        <v>1</v>
      </c>
      <c r="T294" s="14"/>
      <c r="U294" s="14" t="s">
        <v>2848</v>
      </c>
      <c r="V294" s="14" t="s">
        <v>2857</v>
      </c>
      <c r="W294" s="14" t="s">
        <v>2858</v>
      </c>
      <c r="X294" s="17">
        <v>0</v>
      </c>
      <c r="Y294" s="15" t="s">
        <v>2875</v>
      </c>
      <c r="Z294" s="20">
        <v>46089</v>
      </c>
      <c r="AA294" s="18"/>
      <c r="AB294" s="16"/>
      <c r="AC294" s="16"/>
      <c r="AD294" s="16"/>
      <c r="AE294" s="16" t="s">
        <v>2983</v>
      </c>
      <c r="AF294" s="16"/>
      <c r="AI294" s="3" t="str">
        <f t="shared" ca="1" si="4"/>
        <v>OK</v>
      </c>
    </row>
    <row r="295" spans="1:35" hidden="1" x14ac:dyDescent="0.3">
      <c r="A295" s="13">
        <v>46032</v>
      </c>
      <c r="B295" s="14" t="s">
        <v>2806</v>
      </c>
      <c r="C295" s="16"/>
      <c r="D295" s="16"/>
      <c r="E295" s="15" t="s">
        <v>849</v>
      </c>
      <c r="F295" s="15" t="s">
        <v>1243</v>
      </c>
      <c r="G295" s="15" t="s">
        <v>339</v>
      </c>
      <c r="H295" s="15"/>
      <c r="I295" s="15" t="s">
        <v>1845</v>
      </c>
      <c r="J295" s="15" t="s">
        <v>1846</v>
      </c>
      <c r="K295" s="16"/>
      <c r="L295" s="14" t="s">
        <v>2823</v>
      </c>
      <c r="M295" s="16"/>
      <c r="N295" s="15" t="s">
        <v>1034</v>
      </c>
      <c r="O295" s="14">
        <v>24</v>
      </c>
      <c r="P295" s="14" t="s">
        <v>2845</v>
      </c>
      <c r="Q295" s="14" cm="1">
        <f t="array" ref="Q295">_xlfn.IFS(P295="USD",O295,P295="VND",O295/26090,P295="JPY",O295/161)</f>
        <v>24</v>
      </c>
      <c r="R295" s="14">
        <v>60</v>
      </c>
      <c r="S295" s="14">
        <v>1</v>
      </c>
      <c r="T295" s="14"/>
      <c r="U295" s="14" t="s">
        <v>2849</v>
      </c>
      <c r="V295" s="14" t="s">
        <v>2857</v>
      </c>
      <c r="W295" s="14" t="s">
        <v>2858</v>
      </c>
      <c r="X295" s="17">
        <v>0</v>
      </c>
      <c r="Y295" s="15" t="s">
        <v>2875</v>
      </c>
      <c r="Z295" s="20">
        <v>46028</v>
      </c>
      <c r="AA295" s="20">
        <v>46393</v>
      </c>
      <c r="AB295" s="16"/>
      <c r="AC295" s="16"/>
      <c r="AD295" s="16"/>
      <c r="AE295" s="16" t="s">
        <v>2959</v>
      </c>
      <c r="AF295" s="16"/>
      <c r="AI295" s="3" t="str">
        <f t="shared" ca="1" si="4"/>
        <v>OK</v>
      </c>
    </row>
    <row r="296" spans="1:35" hidden="1" x14ac:dyDescent="0.3">
      <c r="A296" s="13">
        <v>46032</v>
      </c>
      <c r="B296" s="14" t="s">
        <v>2806</v>
      </c>
      <c r="C296" s="16"/>
      <c r="D296" s="16"/>
      <c r="E296" s="15" t="s">
        <v>884</v>
      </c>
      <c r="F296" s="15" t="s">
        <v>1269</v>
      </c>
      <c r="G296" s="15" t="s">
        <v>340</v>
      </c>
      <c r="H296" s="15"/>
      <c r="I296" s="15" t="s">
        <v>1847</v>
      </c>
      <c r="J296" s="15" t="s">
        <v>1848</v>
      </c>
      <c r="K296" s="16"/>
      <c r="L296" s="14" t="s">
        <v>2823</v>
      </c>
      <c r="M296" s="16"/>
      <c r="N296" s="15" t="s">
        <v>1037</v>
      </c>
      <c r="O296" s="14">
        <v>34.92</v>
      </c>
      <c r="P296" s="14" t="s">
        <v>2845</v>
      </c>
      <c r="Q296" s="14" cm="1">
        <f t="array" ref="Q296">_xlfn.IFS(P296="USD",O296,P296="VND",O296/26090,P296="JPY",O296/161)</f>
        <v>34.92</v>
      </c>
      <c r="R296" s="14">
        <v>180</v>
      </c>
      <c r="S296" s="14">
        <v>200</v>
      </c>
      <c r="T296" s="14"/>
      <c r="U296" s="14" t="s">
        <v>2848</v>
      </c>
      <c r="V296" s="14" t="s">
        <v>2857</v>
      </c>
      <c r="W296" s="14" t="s">
        <v>2858</v>
      </c>
      <c r="X296" s="17">
        <v>0</v>
      </c>
      <c r="Y296" s="15" t="s">
        <v>2898</v>
      </c>
      <c r="Z296" s="20">
        <v>45754</v>
      </c>
      <c r="AA296" s="18"/>
      <c r="AB296" s="16"/>
      <c r="AC296" s="16"/>
      <c r="AD296" s="16"/>
      <c r="AE296" s="16" t="s">
        <v>2951</v>
      </c>
      <c r="AF296" s="16"/>
      <c r="AI296" s="3" t="str">
        <f t="shared" ca="1" si="4"/>
        <v>OK</v>
      </c>
    </row>
    <row r="297" spans="1:35" x14ac:dyDescent="0.3">
      <c r="A297" s="13">
        <v>46032</v>
      </c>
      <c r="B297" s="14" t="s">
        <v>2806</v>
      </c>
      <c r="C297" s="16"/>
      <c r="D297" s="16"/>
      <c r="E297" s="15" t="s">
        <v>886</v>
      </c>
      <c r="F297" s="15" t="s">
        <v>1271</v>
      </c>
      <c r="G297" s="15" t="s">
        <v>341</v>
      </c>
      <c r="H297" s="15"/>
      <c r="I297" s="15" t="s">
        <v>1849</v>
      </c>
      <c r="J297" s="15" t="s">
        <v>1850</v>
      </c>
      <c r="K297" s="16"/>
      <c r="L297" s="14" t="s">
        <v>2823</v>
      </c>
      <c r="M297" s="16"/>
      <c r="N297" s="15" t="s">
        <v>1039</v>
      </c>
      <c r="O297" s="14">
        <v>228.4</v>
      </c>
      <c r="P297" s="14" t="s">
        <v>2845</v>
      </c>
      <c r="Q297" s="14" cm="1">
        <f t="array" ref="Q297">_xlfn.IFS(P297="USD",O297,P297="VND",O297/26090,P297="JPY",O297/161)</f>
        <v>228.4</v>
      </c>
      <c r="R297" s="14">
        <v>28</v>
      </c>
      <c r="S297" s="14">
        <v>1</v>
      </c>
      <c r="T297" s="14"/>
      <c r="U297" s="14" t="s">
        <v>2850</v>
      </c>
      <c r="V297" s="14" t="s">
        <v>2859</v>
      </c>
      <c r="W297" s="14" t="s">
        <v>2860</v>
      </c>
      <c r="X297" s="17">
        <v>0</v>
      </c>
      <c r="Y297" s="15" t="s">
        <v>2900</v>
      </c>
      <c r="Z297" s="18" t="s">
        <v>3044</v>
      </c>
      <c r="AA297" s="22" t="s">
        <v>3045</v>
      </c>
      <c r="AB297" s="16"/>
      <c r="AC297" s="16"/>
      <c r="AD297" s="16"/>
      <c r="AE297" s="16" t="s">
        <v>3046</v>
      </c>
      <c r="AF297" s="16"/>
      <c r="AI297" s="3" t="str">
        <f t="shared" ca="1" si="4"/>
        <v>OK</v>
      </c>
    </row>
    <row r="298" spans="1:35" hidden="1" x14ac:dyDescent="0.3">
      <c r="A298" s="13">
        <v>46032</v>
      </c>
      <c r="B298" s="14" t="s">
        <v>2806</v>
      </c>
      <c r="C298" s="16"/>
      <c r="D298" s="16"/>
      <c r="E298" s="15" t="s">
        <v>849</v>
      </c>
      <c r="F298" s="15" t="s">
        <v>1243</v>
      </c>
      <c r="G298" s="15" t="s">
        <v>342</v>
      </c>
      <c r="H298" s="15"/>
      <c r="I298" s="15" t="s">
        <v>1851</v>
      </c>
      <c r="J298" s="15" t="s">
        <v>1852</v>
      </c>
      <c r="K298" s="16"/>
      <c r="L298" s="14" t="s">
        <v>2823</v>
      </c>
      <c r="M298" s="16"/>
      <c r="N298" s="15" t="s">
        <v>1034</v>
      </c>
      <c r="O298" s="14">
        <v>1.78</v>
      </c>
      <c r="P298" s="14" t="s">
        <v>2845</v>
      </c>
      <c r="Q298" s="14" cm="1">
        <f t="array" ref="Q298">_xlfn.IFS(P298="USD",O298,P298="VND",O298/26090,P298="JPY",O298/161)</f>
        <v>1.78</v>
      </c>
      <c r="R298" s="14">
        <v>60</v>
      </c>
      <c r="S298" s="14">
        <v>1</v>
      </c>
      <c r="T298" s="14"/>
      <c r="U298" s="14" t="s">
        <v>2849</v>
      </c>
      <c r="V298" s="14" t="s">
        <v>2857</v>
      </c>
      <c r="W298" s="14" t="s">
        <v>2858</v>
      </c>
      <c r="X298" s="17">
        <v>0</v>
      </c>
      <c r="Y298" s="15" t="s">
        <v>2875</v>
      </c>
      <c r="Z298" s="20">
        <v>46028</v>
      </c>
      <c r="AA298" s="20">
        <v>46393</v>
      </c>
      <c r="AB298" s="16"/>
      <c r="AC298" s="16"/>
      <c r="AD298" s="16"/>
      <c r="AE298" s="16" t="s">
        <v>2959</v>
      </c>
      <c r="AF298" s="16"/>
      <c r="AI298" s="3" t="str">
        <f t="shared" ca="1" si="4"/>
        <v>OK</v>
      </c>
    </row>
    <row r="299" spans="1:35" hidden="1" x14ac:dyDescent="0.3">
      <c r="A299" s="13">
        <v>46032</v>
      </c>
      <c r="B299" s="14" t="s">
        <v>2806</v>
      </c>
      <c r="C299" s="16"/>
      <c r="D299" s="16"/>
      <c r="E299" s="15" t="s">
        <v>849</v>
      </c>
      <c r="F299" s="15" t="s">
        <v>1243</v>
      </c>
      <c r="G299" s="15" t="s">
        <v>343</v>
      </c>
      <c r="H299" s="15"/>
      <c r="I299" s="15" t="s">
        <v>1853</v>
      </c>
      <c r="J299" s="15" t="s">
        <v>1854</v>
      </c>
      <c r="K299" s="16"/>
      <c r="L299" s="14" t="s">
        <v>2823</v>
      </c>
      <c r="M299" s="16"/>
      <c r="N299" s="15" t="s">
        <v>1040</v>
      </c>
      <c r="O299" s="14">
        <v>2.25</v>
      </c>
      <c r="P299" s="14" t="s">
        <v>2845</v>
      </c>
      <c r="Q299" s="14" cm="1">
        <f t="array" ref="Q299">_xlfn.IFS(P299="USD",O299,P299="VND",O299/26090,P299="JPY",O299/161)</f>
        <v>2.25</v>
      </c>
      <c r="R299" s="14">
        <v>60</v>
      </c>
      <c r="S299" s="14">
        <v>1</v>
      </c>
      <c r="T299" s="14"/>
      <c r="U299" s="14" t="s">
        <v>2849</v>
      </c>
      <c r="V299" s="14" t="s">
        <v>2857</v>
      </c>
      <c r="W299" s="14" t="s">
        <v>2858</v>
      </c>
      <c r="X299" s="17">
        <v>0</v>
      </c>
      <c r="Y299" s="15" t="s">
        <v>2875</v>
      </c>
      <c r="Z299" s="20">
        <v>46028</v>
      </c>
      <c r="AA299" s="20">
        <v>46393</v>
      </c>
      <c r="AB299" s="16"/>
      <c r="AC299" s="16"/>
      <c r="AD299" s="16"/>
      <c r="AE299" s="16" t="s">
        <v>2959</v>
      </c>
      <c r="AF299" s="16"/>
      <c r="AI299" s="3" t="str">
        <f t="shared" ca="1" si="4"/>
        <v>OK</v>
      </c>
    </row>
    <row r="300" spans="1:35" x14ac:dyDescent="0.3">
      <c r="A300" s="13">
        <v>46032</v>
      </c>
      <c r="B300" s="14" t="s">
        <v>2806</v>
      </c>
      <c r="C300" s="16"/>
      <c r="D300" s="16"/>
      <c r="E300" s="15" t="s">
        <v>886</v>
      </c>
      <c r="F300" s="15" t="s">
        <v>1271</v>
      </c>
      <c r="G300" s="15" t="s">
        <v>344</v>
      </c>
      <c r="H300" s="15"/>
      <c r="I300" s="15" t="s">
        <v>1855</v>
      </c>
      <c r="J300" s="15" t="s">
        <v>1856</v>
      </c>
      <c r="K300" s="16"/>
      <c r="L300" s="14" t="s">
        <v>2823</v>
      </c>
      <c r="M300" s="16"/>
      <c r="N300" s="15" t="s">
        <v>1025</v>
      </c>
      <c r="O300" s="14">
        <v>1.38</v>
      </c>
      <c r="P300" s="14" t="s">
        <v>2845</v>
      </c>
      <c r="Q300" s="14" cm="1">
        <f t="array" ref="Q300">_xlfn.IFS(P300="USD",O300,P300="VND",O300/26090,P300="JPY",O300/161)</f>
        <v>1.38</v>
      </c>
      <c r="R300" s="14">
        <v>35</v>
      </c>
      <c r="S300" s="14">
        <v>10</v>
      </c>
      <c r="T300" s="14"/>
      <c r="U300" s="14" t="s">
        <v>2850</v>
      </c>
      <c r="V300" s="14" t="s">
        <v>2859</v>
      </c>
      <c r="W300" s="14" t="s">
        <v>2860</v>
      </c>
      <c r="X300" s="17">
        <v>0</v>
      </c>
      <c r="Y300" s="15" t="s">
        <v>2899</v>
      </c>
      <c r="Z300" s="18" t="s">
        <v>3044</v>
      </c>
      <c r="AA300" s="22" t="s">
        <v>3045</v>
      </c>
      <c r="AB300" s="16"/>
      <c r="AC300" s="16"/>
      <c r="AD300" s="16"/>
      <c r="AE300" s="16" t="s">
        <v>3046</v>
      </c>
      <c r="AF300" s="16"/>
      <c r="AI300" s="3" t="str">
        <f t="shared" ca="1" si="4"/>
        <v>OK</v>
      </c>
    </row>
    <row r="301" spans="1:35" x14ac:dyDescent="0.3">
      <c r="A301" s="13">
        <v>46032</v>
      </c>
      <c r="B301" s="14" t="s">
        <v>2806</v>
      </c>
      <c r="C301" s="16"/>
      <c r="D301" s="16"/>
      <c r="E301" s="15" t="s">
        <v>886</v>
      </c>
      <c r="F301" s="15" t="s">
        <v>1271</v>
      </c>
      <c r="G301" s="15" t="s">
        <v>345</v>
      </c>
      <c r="H301" s="15"/>
      <c r="I301" s="15" t="s">
        <v>1857</v>
      </c>
      <c r="J301" s="15" t="s">
        <v>1858</v>
      </c>
      <c r="K301" s="16"/>
      <c r="L301" s="14" t="s">
        <v>2823</v>
      </c>
      <c r="M301" s="16"/>
      <c r="N301" s="15" t="s">
        <v>1025</v>
      </c>
      <c r="O301" s="14">
        <v>1.38</v>
      </c>
      <c r="P301" s="14" t="s">
        <v>2845</v>
      </c>
      <c r="Q301" s="14" cm="1">
        <f t="array" ref="Q301">_xlfn.IFS(P301="USD",O301,P301="VND",O301/26090,P301="JPY",O301/161)</f>
        <v>1.38</v>
      </c>
      <c r="R301" s="14">
        <v>35</v>
      </c>
      <c r="S301" s="14">
        <v>10</v>
      </c>
      <c r="T301" s="14"/>
      <c r="U301" s="14" t="s">
        <v>2850</v>
      </c>
      <c r="V301" s="14" t="s">
        <v>2859</v>
      </c>
      <c r="W301" s="14" t="s">
        <v>2860</v>
      </c>
      <c r="X301" s="17">
        <v>0</v>
      </c>
      <c r="Y301" s="15" t="s">
        <v>2899</v>
      </c>
      <c r="Z301" s="18" t="s">
        <v>3044</v>
      </c>
      <c r="AA301" s="22" t="s">
        <v>3045</v>
      </c>
      <c r="AB301" s="16"/>
      <c r="AC301" s="16"/>
      <c r="AD301" s="16"/>
      <c r="AE301" s="16" t="s">
        <v>3046</v>
      </c>
      <c r="AF301" s="16"/>
      <c r="AI301" s="3" t="str">
        <f t="shared" ca="1" si="4"/>
        <v>OK</v>
      </c>
    </row>
    <row r="302" spans="1:35" x14ac:dyDescent="0.3">
      <c r="A302" s="13">
        <v>46032</v>
      </c>
      <c r="B302" s="14" t="s">
        <v>2806</v>
      </c>
      <c r="C302" s="16"/>
      <c r="D302" s="16"/>
      <c r="E302" s="15" t="s">
        <v>886</v>
      </c>
      <c r="F302" s="15" t="s">
        <v>1271</v>
      </c>
      <c r="G302" s="15" t="s">
        <v>346</v>
      </c>
      <c r="H302" s="15"/>
      <c r="I302" s="15" t="s">
        <v>1859</v>
      </c>
      <c r="J302" s="15" t="s">
        <v>1860</v>
      </c>
      <c r="K302" s="16"/>
      <c r="L302" s="14" t="s">
        <v>2823</v>
      </c>
      <c r="M302" s="16"/>
      <c r="N302" s="15" t="s">
        <v>1025</v>
      </c>
      <c r="O302" s="14">
        <v>1.41</v>
      </c>
      <c r="P302" s="14" t="s">
        <v>2845</v>
      </c>
      <c r="Q302" s="14" cm="1">
        <f t="array" ref="Q302">_xlfn.IFS(P302="USD",O302,P302="VND",O302/26090,P302="JPY",O302/161)</f>
        <v>1.41</v>
      </c>
      <c r="R302" s="14">
        <v>35</v>
      </c>
      <c r="S302" s="14">
        <v>10</v>
      </c>
      <c r="T302" s="14"/>
      <c r="U302" s="14" t="s">
        <v>2850</v>
      </c>
      <c r="V302" s="14" t="s">
        <v>2859</v>
      </c>
      <c r="W302" s="14" t="s">
        <v>2860</v>
      </c>
      <c r="X302" s="17">
        <v>0</v>
      </c>
      <c r="Y302" s="15" t="s">
        <v>2899</v>
      </c>
      <c r="Z302" s="18" t="s">
        <v>3044</v>
      </c>
      <c r="AA302" s="22" t="s">
        <v>3045</v>
      </c>
      <c r="AB302" s="16"/>
      <c r="AC302" s="16"/>
      <c r="AD302" s="16"/>
      <c r="AE302" s="16" t="s">
        <v>3046</v>
      </c>
      <c r="AF302" s="16"/>
      <c r="AI302" s="3" t="str">
        <f t="shared" ca="1" si="4"/>
        <v>OK</v>
      </c>
    </row>
    <row r="303" spans="1:35" x14ac:dyDescent="0.3">
      <c r="A303" s="13">
        <v>46032</v>
      </c>
      <c r="B303" s="14" t="s">
        <v>2806</v>
      </c>
      <c r="C303" s="16"/>
      <c r="D303" s="16"/>
      <c r="E303" s="15" t="s">
        <v>886</v>
      </c>
      <c r="F303" s="15" t="s">
        <v>1271</v>
      </c>
      <c r="G303" s="15" t="s">
        <v>347</v>
      </c>
      <c r="H303" s="15"/>
      <c r="I303" s="15" t="s">
        <v>1861</v>
      </c>
      <c r="J303" s="15" t="s">
        <v>1862</v>
      </c>
      <c r="K303" s="16"/>
      <c r="L303" s="14" t="s">
        <v>2823</v>
      </c>
      <c r="M303" s="16"/>
      <c r="N303" s="15" t="s">
        <v>1025</v>
      </c>
      <c r="O303" s="14">
        <v>1.74</v>
      </c>
      <c r="P303" s="14" t="s">
        <v>2845</v>
      </c>
      <c r="Q303" s="14" cm="1">
        <f t="array" ref="Q303">_xlfn.IFS(P303="USD",O303,P303="VND",O303/26090,P303="JPY",O303/161)</f>
        <v>1.74</v>
      </c>
      <c r="R303" s="14">
        <v>35</v>
      </c>
      <c r="S303" s="14">
        <v>10</v>
      </c>
      <c r="T303" s="14"/>
      <c r="U303" s="14" t="s">
        <v>2850</v>
      </c>
      <c r="V303" s="14" t="s">
        <v>2859</v>
      </c>
      <c r="W303" s="14" t="s">
        <v>2860</v>
      </c>
      <c r="X303" s="17">
        <v>0</v>
      </c>
      <c r="Y303" s="15" t="s">
        <v>2899</v>
      </c>
      <c r="Z303" s="18" t="s">
        <v>3044</v>
      </c>
      <c r="AA303" s="22" t="s">
        <v>3045</v>
      </c>
      <c r="AB303" s="16"/>
      <c r="AC303" s="16"/>
      <c r="AD303" s="16"/>
      <c r="AE303" s="16" t="s">
        <v>3046</v>
      </c>
      <c r="AF303" s="16"/>
      <c r="AI303" s="3" t="str">
        <f t="shared" ca="1" si="4"/>
        <v>OK</v>
      </c>
    </row>
    <row r="304" spans="1:35" x14ac:dyDescent="0.3">
      <c r="A304" s="13">
        <v>46032</v>
      </c>
      <c r="B304" s="14" t="s">
        <v>2806</v>
      </c>
      <c r="C304" s="16"/>
      <c r="D304" s="16"/>
      <c r="E304" s="15" t="s">
        <v>886</v>
      </c>
      <c r="F304" s="15" t="s">
        <v>1271</v>
      </c>
      <c r="G304" s="15" t="s">
        <v>348</v>
      </c>
      <c r="H304" s="15"/>
      <c r="I304" s="15" t="s">
        <v>1863</v>
      </c>
      <c r="J304" s="15" t="s">
        <v>1864</v>
      </c>
      <c r="K304" s="16"/>
      <c r="L304" s="14" t="s">
        <v>2823</v>
      </c>
      <c r="M304" s="16"/>
      <c r="N304" s="15" t="s">
        <v>1025</v>
      </c>
      <c r="O304" s="14">
        <v>2.08</v>
      </c>
      <c r="P304" s="14" t="s">
        <v>2845</v>
      </c>
      <c r="Q304" s="14" cm="1">
        <f t="array" ref="Q304">_xlfn.IFS(P304="USD",O304,P304="VND",O304/26090,P304="JPY",O304/161)</f>
        <v>2.08</v>
      </c>
      <c r="R304" s="14">
        <v>35</v>
      </c>
      <c r="S304" s="14">
        <v>10</v>
      </c>
      <c r="T304" s="14"/>
      <c r="U304" s="14" t="s">
        <v>2850</v>
      </c>
      <c r="V304" s="14" t="s">
        <v>2859</v>
      </c>
      <c r="W304" s="14" t="s">
        <v>2860</v>
      </c>
      <c r="X304" s="17">
        <v>0</v>
      </c>
      <c r="Y304" s="15" t="s">
        <v>2899</v>
      </c>
      <c r="Z304" s="18" t="s">
        <v>3044</v>
      </c>
      <c r="AA304" s="22" t="s">
        <v>3045</v>
      </c>
      <c r="AB304" s="16"/>
      <c r="AC304" s="16"/>
      <c r="AD304" s="16"/>
      <c r="AE304" s="16" t="s">
        <v>3046</v>
      </c>
      <c r="AF304" s="16"/>
      <c r="AI304" s="3" t="str">
        <f t="shared" ca="1" si="4"/>
        <v>OK</v>
      </c>
    </row>
    <row r="305" spans="1:35" hidden="1" x14ac:dyDescent="0.3">
      <c r="A305" s="13">
        <v>46032</v>
      </c>
      <c r="B305" s="14" t="s">
        <v>2806</v>
      </c>
      <c r="C305" s="16"/>
      <c r="D305" s="16"/>
      <c r="E305" s="15" t="s">
        <v>872</v>
      </c>
      <c r="F305" s="15" t="s">
        <v>1258</v>
      </c>
      <c r="G305" s="15" t="s">
        <v>349</v>
      </c>
      <c r="H305" s="15"/>
      <c r="I305" s="15" t="s">
        <v>1865</v>
      </c>
      <c r="J305" s="15" t="s">
        <v>1866</v>
      </c>
      <c r="K305" s="16"/>
      <c r="L305" s="14" t="s">
        <v>2823</v>
      </c>
      <c r="M305" s="16"/>
      <c r="N305" s="15" t="s">
        <v>1026</v>
      </c>
      <c r="O305" s="14">
        <v>92.7</v>
      </c>
      <c r="P305" s="14" t="s">
        <v>2845</v>
      </c>
      <c r="Q305" s="14" cm="1">
        <f t="array" ref="Q305">_xlfn.IFS(P305="USD",O305,P305="VND",O305/26090,P305="JPY",O305/161)</f>
        <v>92.7</v>
      </c>
      <c r="R305" s="14">
        <v>21</v>
      </c>
      <c r="S305" s="14">
        <v>1</v>
      </c>
      <c r="T305" s="14"/>
      <c r="U305" s="14" t="s">
        <v>2849</v>
      </c>
      <c r="V305" s="14" t="s">
        <v>2857</v>
      </c>
      <c r="W305" s="14" t="s">
        <v>2858</v>
      </c>
      <c r="X305" s="17">
        <v>0</v>
      </c>
      <c r="Y305" s="15" t="s">
        <v>2893</v>
      </c>
      <c r="Z305" s="18" t="s">
        <v>2930</v>
      </c>
      <c r="AA305" s="18"/>
      <c r="AB305" s="16"/>
      <c r="AC305" s="16"/>
      <c r="AD305" s="16"/>
      <c r="AE305" s="16" t="s">
        <v>2953</v>
      </c>
      <c r="AF305" s="16"/>
      <c r="AI305" s="3" t="str">
        <f t="shared" ca="1" si="4"/>
        <v>OK</v>
      </c>
    </row>
    <row r="306" spans="1:35" hidden="1" x14ac:dyDescent="0.3">
      <c r="A306" s="13">
        <v>46032</v>
      </c>
      <c r="B306" s="14" t="s">
        <v>2806</v>
      </c>
      <c r="C306" s="16"/>
      <c r="D306" s="16"/>
      <c r="E306" s="15" t="s">
        <v>872</v>
      </c>
      <c r="F306" s="15" t="s">
        <v>1258</v>
      </c>
      <c r="G306" s="15" t="s">
        <v>350</v>
      </c>
      <c r="H306" s="15"/>
      <c r="I306" s="15" t="s">
        <v>1867</v>
      </c>
      <c r="J306" s="15" t="s">
        <v>1868</v>
      </c>
      <c r="K306" s="16"/>
      <c r="L306" s="14" t="s">
        <v>2823</v>
      </c>
      <c r="M306" s="16"/>
      <c r="N306" s="15" t="s">
        <v>1026</v>
      </c>
      <c r="O306" s="14">
        <v>86.2</v>
      </c>
      <c r="P306" s="14" t="s">
        <v>2845</v>
      </c>
      <c r="Q306" s="14" cm="1">
        <f t="array" ref="Q306">_xlfn.IFS(P306="USD",O306,P306="VND",O306/26090,P306="JPY",O306/161)</f>
        <v>86.2</v>
      </c>
      <c r="R306" s="14">
        <v>14</v>
      </c>
      <c r="S306" s="14">
        <v>1</v>
      </c>
      <c r="T306" s="14"/>
      <c r="U306" s="14" t="s">
        <v>2849</v>
      </c>
      <c r="V306" s="14" t="s">
        <v>2857</v>
      </c>
      <c r="W306" s="14" t="s">
        <v>2858</v>
      </c>
      <c r="X306" s="17">
        <v>0</v>
      </c>
      <c r="Y306" s="15" t="s">
        <v>2875</v>
      </c>
      <c r="Z306" s="18" t="s">
        <v>2930</v>
      </c>
      <c r="AA306" s="18"/>
      <c r="AB306" s="16"/>
      <c r="AC306" s="16"/>
      <c r="AD306" s="16"/>
      <c r="AE306" s="16" t="s">
        <v>2953</v>
      </c>
      <c r="AF306" s="16"/>
      <c r="AI306" s="3" t="str">
        <f t="shared" ca="1" si="4"/>
        <v>OK</v>
      </c>
    </row>
    <row r="307" spans="1:35" hidden="1" x14ac:dyDescent="0.3">
      <c r="A307" s="13">
        <v>46032</v>
      </c>
      <c r="B307" s="14" t="s">
        <v>2806</v>
      </c>
      <c r="C307" s="16"/>
      <c r="D307" s="16"/>
      <c r="E307" s="15" t="s">
        <v>849</v>
      </c>
      <c r="F307" s="15" t="s">
        <v>1243</v>
      </c>
      <c r="G307" s="15" t="s">
        <v>351</v>
      </c>
      <c r="H307" s="15"/>
      <c r="I307" s="15" t="s">
        <v>1869</v>
      </c>
      <c r="J307" s="15" t="s">
        <v>1870</v>
      </c>
      <c r="K307" s="16"/>
      <c r="L307" s="14" t="s">
        <v>2823</v>
      </c>
      <c r="M307" s="16"/>
      <c r="N307" s="15" t="s">
        <v>1041</v>
      </c>
      <c r="O307" s="14">
        <v>63.42</v>
      </c>
      <c r="P307" s="14" t="s">
        <v>2845</v>
      </c>
      <c r="Q307" s="14" cm="1">
        <f t="array" ref="Q307">_xlfn.IFS(P307="USD",O307,P307="VND",O307/26090,P307="JPY",O307/161)</f>
        <v>63.42</v>
      </c>
      <c r="R307" s="14">
        <v>30</v>
      </c>
      <c r="S307" s="14">
        <v>1</v>
      </c>
      <c r="T307" s="14"/>
      <c r="U307" s="14" t="s">
        <v>2849</v>
      </c>
      <c r="V307" s="14" t="s">
        <v>2857</v>
      </c>
      <c r="W307" s="14" t="s">
        <v>2858</v>
      </c>
      <c r="X307" s="17">
        <v>0</v>
      </c>
      <c r="Y307" s="15" t="s">
        <v>2875</v>
      </c>
      <c r="Z307" s="20">
        <v>46028</v>
      </c>
      <c r="AA307" s="20">
        <v>46393</v>
      </c>
      <c r="AB307" s="16"/>
      <c r="AC307" s="16"/>
      <c r="AD307" s="16"/>
      <c r="AE307" s="16" t="s">
        <v>2959</v>
      </c>
      <c r="AF307" s="16"/>
      <c r="AI307" s="3" t="str">
        <f t="shared" ca="1" si="4"/>
        <v>OK</v>
      </c>
    </row>
    <row r="308" spans="1:35" hidden="1" x14ac:dyDescent="0.3">
      <c r="A308" s="13">
        <v>46032</v>
      </c>
      <c r="B308" s="14" t="s">
        <v>2806</v>
      </c>
      <c r="C308" s="16"/>
      <c r="D308" s="16"/>
      <c r="E308" s="15" t="s">
        <v>849</v>
      </c>
      <c r="F308" s="15" t="s">
        <v>1243</v>
      </c>
      <c r="G308" s="15" t="s">
        <v>352</v>
      </c>
      <c r="H308" s="15"/>
      <c r="I308" s="15" t="s">
        <v>1871</v>
      </c>
      <c r="J308" s="15" t="s">
        <v>1872</v>
      </c>
      <c r="K308" s="16"/>
      <c r="L308" s="14" t="s">
        <v>2821</v>
      </c>
      <c r="M308" s="16"/>
      <c r="N308" s="15" t="s">
        <v>1042</v>
      </c>
      <c r="O308" s="14">
        <v>63.24</v>
      </c>
      <c r="P308" s="14" t="s">
        <v>2845</v>
      </c>
      <c r="Q308" s="14" cm="1">
        <f t="array" ref="Q308">_xlfn.IFS(P308="USD",O308,P308="VND",O308/26090,P308="JPY",O308/161)</f>
        <v>63.24</v>
      </c>
      <c r="R308" s="14">
        <v>25</v>
      </c>
      <c r="S308" s="14">
        <v>1</v>
      </c>
      <c r="T308" s="14"/>
      <c r="U308" s="14" t="s">
        <v>2849</v>
      </c>
      <c r="V308" s="14" t="s">
        <v>2857</v>
      </c>
      <c r="W308" s="14" t="s">
        <v>2858</v>
      </c>
      <c r="X308" s="17">
        <v>0</v>
      </c>
      <c r="Y308" s="15" t="s">
        <v>2875</v>
      </c>
      <c r="Z308" s="20">
        <v>46028</v>
      </c>
      <c r="AA308" s="20">
        <v>46393</v>
      </c>
      <c r="AB308" s="16"/>
      <c r="AC308" s="16"/>
      <c r="AD308" s="16"/>
      <c r="AE308" s="16" t="s">
        <v>2959</v>
      </c>
      <c r="AF308" s="16"/>
      <c r="AI308" s="3" t="str">
        <f t="shared" ca="1" si="4"/>
        <v>OK</v>
      </c>
    </row>
    <row r="309" spans="1:35" hidden="1" x14ac:dyDescent="0.3">
      <c r="A309" s="13">
        <v>46032</v>
      </c>
      <c r="B309" s="14" t="s">
        <v>2806</v>
      </c>
      <c r="C309" s="16"/>
      <c r="D309" s="16"/>
      <c r="E309" s="15" t="s">
        <v>849</v>
      </c>
      <c r="F309" s="15" t="s">
        <v>1243</v>
      </c>
      <c r="G309" s="15" t="s">
        <v>353</v>
      </c>
      <c r="H309" s="15"/>
      <c r="I309" s="15" t="s">
        <v>1873</v>
      </c>
      <c r="J309" s="15" t="s">
        <v>1874</v>
      </c>
      <c r="K309" s="16"/>
      <c r="L309" s="14" t="s">
        <v>2823</v>
      </c>
      <c r="M309" s="16"/>
      <c r="N309" s="15" t="s">
        <v>1040</v>
      </c>
      <c r="O309" s="14">
        <v>4.46</v>
      </c>
      <c r="P309" s="14" t="s">
        <v>2845</v>
      </c>
      <c r="Q309" s="14" cm="1">
        <f t="array" ref="Q309">_xlfn.IFS(P309="USD",O309,P309="VND",O309/26090,P309="JPY",O309/161)</f>
        <v>4.46</v>
      </c>
      <c r="R309" s="14">
        <v>25</v>
      </c>
      <c r="S309" s="14">
        <v>1</v>
      </c>
      <c r="T309" s="14"/>
      <c r="U309" s="14" t="s">
        <v>2849</v>
      </c>
      <c r="V309" s="14" t="s">
        <v>2857</v>
      </c>
      <c r="W309" s="14" t="s">
        <v>2858</v>
      </c>
      <c r="X309" s="17">
        <v>0</v>
      </c>
      <c r="Y309" s="15" t="s">
        <v>2875</v>
      </c>
      <c r="Z309" s="20">
        <v>46028</v>
      </c>
      <c r="AA309" s="20">
        <v>46393</v>
      </c>
      <c r="AB309" s="16"/>
      <c r="AC309" s="16"/>
      <c r="AD309" s="16"/>
      <c r="AE309" s="16" t="s">
        <v>2959</v>
      </c>
      <c r="AF309" s="16"/>
      <c r="AI309" s="3" t="str">
        <f t="shared" ca="1" si="4"/>
        <v>OK</v>
      </c>
    </row>
    <row r="310" spans="1:35" hidden="1" x14ac:dyDescent="0.3">
      <c r="A310" s="13">
        <v>46032</v>
      </c>
      <c r="B310" s="14" t="s">
        <v>2806</v>
      </c>
      <c r="C310" s="16"/>
      <c r="D310" s="16"/>
      <c r="E310" s="15" t="s">
        <v>857</v>
      </c>
      <c r="F310" s="15" t="s">
        <v>912</v>
      </c>
      <c r="G310" s="15" t="s">
        <v>354</v>
      </c>
      <c r="H310" s="15"/>
      <c r="I310" s="15" t="s">
        <v>1875</v>
      </c>
      <c r="J310" s="15" t="s">
        <v>1876</v>
      </c>
      <c r="K310" s="16"/>
      <c r="L310" s="14" t="s">
        <v>2823</v>
      </c>
      <c r="M310" s="16"/>
      <c r="N310" s="15" t="s">
        <v>1043</v>
      </c>
      <c r="O310" s="14">
        <v>4.0199999999999996</v>
      </c>
      <c r="P310" s="14" t="s">
        <v>2845</v>
      </c>
      <c r="Q310" s="14" cm="1">
        <f t="array" ref="Q310">_xlfn.IFS(P310="USD",O310,P310="VND",O310/26090,P310="JPY",O310/161)</f>
        <v>4.0199999999999996</v>
      </c>
      <c r="R310" s="14">
        <v>30</v>
      </c>
      <c r="S310" s="14">
        <v>1</v>
      </c>
      <c r="T310" s="14"/>
      <c r="U310" s="14" t="s">
        <v>2848</v>
      </c>
      <c r="V310" s="14" t="s">
        <v>2857</v>
      </c>
      <c r="W310" s="14" t="s">
        <v>2858</v>
      </c>
      <c r="X310" s="17">
        <v>0</v>
      </c>
      <c r="Y310" s="15" t="s">
        <v>2875</v>
      </c>
      <c r="Z310" s="20">
        <v>46243</v>
      </c>
      <c r="AA310" s="20">
        <v>46608</v>
      </c>
      <c r="AB310" s="16"/>
      <c r="AC310" s="16"/>
      <c r="AD310" s="16"/>
      <c r="AE310" s="16" t="s">
        <v>2957</v>
      </c>
      <c r="AF310" s="16"/>
      <c r="AI310" s="3" t="str">
        <f t="shared" ca="1" si="4"/>
        <v>OK</v>
      </c>
    </row>
    <row r="311" spans="1:35" hidden="1" x14ac:dyDescent="0.3">
      <c r="A311" s="13">
        <v>46032</v>
      </c>
      <c r="B311" s="14" t="s">
        <v>2806</v>
      </c>
      <c r="C311" s="16"/>
      <c r="D311" s="16"/>
      <c r="E311" s="15" t="s">
        <v>857</v>
      </c>
      <c r="F311" s="15" t="s">
        <v>912</v>
      </c>
      <c r="G311" s="15" t="s">
        <v>355</v>
      </c>
      <c r="H311" s="15"/>
      <c r="I311" s="15" t="s">
        <v>1877</v>
      </c>
      <c r="J311" s="15" t="s">
        <v>1876</v>
      </c>
      <c r="K311" s="16"/>
      <c r="L311" s="14" t="s">
        <v>2823</v>
      </c>
      <c r="M311" s="16"/>
      <c r="N311" s="15" t="s">
        <v>1043</v>
      </c>
      <c r="O311" s="14">
        <v>3</v>
      </c>
      <c r="P311" s="14" t="s">
        <v>2845</v>
      </c>
      <c r="Q311" s="14" cm="1">
        <f t="array" ref="Q311">_xlfn.IFS(P311="USD",O311,P311="VND",O311/26090,P311="JPY",O311/161)</f>
        <v>3</v>
      </c>
      <c r="R311" s="14">
        <v>30</v>
      </c>
      <c r="S311" s="14">
        <v>1</v>
      </c>
      <c r="T311" s="14"/>
      <c r="U311" s="14" t="s">
        <v>2848</v>
      </c>
      <c r="V311" s="14" t="s">
        <v>2857</v>
      </c>
      <c r="W311" s="14" t="s">
        <v>2858</v>
      </c>
      <c r="X311" s="17">
        <v>0</v>
      </c>
      <c r="Y311" s="15" t="s">
        <v>2875</v>
      </c>
      <c r="Z311" s="20">
        <v>46243</v>
      </c>
      <c r="AA311" s="20">
        <v>46608</v>
      </c>
      <c r="AB311" s="16"/>
      <c r="AC311" s="16"/>
      <c r="AD311" s="16"/>
      <c r="AE311" s="16" t="s">
        <v>2957</v>
      </c>
      <c r="AF311" s="16"/>
      <c r="AI311" s="3" t="str">
        <f t="shared" ca="1" si="4"/>
        <v>OK</v>
      </c>
    </row>
    <row r="312" spans="1:35" hidden="1" x14ac:dyDescent="0.3">
      <c r="A312" s="13">
        <v>46032</v>
      </c>
      <c r="B312" s="14" t="s">
        <v>2806</v>
      </c>
      <c r="C312" s="16"/>
      <c r="D312" s="16"/>
      <c r="E312" s="15" t="s">
        <v>859</v>
      </c>
      <c r="F312" s="15" t="s">
        <v>908</v>
      </c>
      <c r="G312" s="15" t="s">
        <v>356</v>
      </c>
      <c r="H312" s="15"/>
      <c r="I312" s="15" t="s">
        <v>1878</v>
      </c>
      <c r="J312" s="15" t="s">
        <v>1879</v>
      </c>
      <c r="K312" s="16"/>
      <c r="L312" s="14" t="s">
        <v>2832</v>
      </c>
      <c r="M312" s="16"/>
      <c r="N312" s="15" t="s">
        <v>1044</v>
      </c>
      <c r="O312" s="14">
        <v>0.73</v>
      </c>
      <c r="P312" s="14" t="s">
        <v>2845</v>
      </c>
      <c r="Q312" s="14" cm="1">
        <f t="array" ref="Q312">_xlfn.IFS(P312="USD",O312,P312="VND",O312/26090,P312="JPY",O312/161)</f>
        <v>0.73</v>
      </c>
      <c r="R312" s="14">
        <v>10</v>
      </c>
      <c r="S312" s="14">
        <v>1</v>
      </c>
      <c r="T312" s="14"/>
      <c r="U312" s="14" t="s">
        <v>2848</v>
      </c>
      <c r="V312" s="14" t="s">
        <v>2857</v>
      </c>
      <c r="W312" s="14" t="s">
        <v>2858</v>
      </c>
      <c r="X312" s="17">
        <v>0</v>
      </c>
      <c r="Y312" s="15" t="s">
        <v>2875</v>
      </c>
      <c r="Z312" s="20">
        <v>45664</v>
      </c>
      <c r="AA312" s="18"/>
      <c r="AB312" s="16"/>
      <c r="AC312" s="16"/>
      <c r="AD312" s="16"/>
      <c r="AE312" s="16" t="s">
        <v>3033</v>
      </c>
      <c r="AF312" s="16"/>
      <c r="AI312" s="3" t="str">
        <f t="shared" ca="1" si="4"/>
        <v>OK</v>
      </c>
    </row>
    <row r="313" spans="1:35" hidden="1" x14ac:dyDescent="0.3">
      <c r="A313" s="13">
        <v>46032</v>
      </c>
      <c r="B313" s="14" t="s">
        <v>2806</v>
      </c>
      <c r="C313" s="16"/>
      <c r="D313" s="16"/>
      <c r="E313" s="15" t="s">
        <v>857</v>
      </c>
      <c r="F313" s="15" t="s">
        <v>912</v>
      </c>
      <c r="G313" s="15" t="s">
        <v>357</v>
      </c>
      <c r="H313" s="15"/>
      <c r="I313" s="15" t="s">
        <v>1880</v>
      </c>
      <c r="J313" s="15" t="s">
        <v>1881</v>
      </c>
      <c r="K313" s="16"/>
      <c r="L313" s="14" t="s">
        <v>2823</v>
      </c>
      <c r="M313" s="16"/>
      <c r="N313" s="15" t="s">
        <v>1045</v>
      </c>
      <c r="O313" s="14">
        <v>3.72</v>
      </c>
      <c r="P313" s="14" t="s">
        <v>2845</v>
      </c>
      <c r="Q313" s="14" cm="1">
        <f t="array" ref="Q313">_xlfn.IFS(P313="USD",O313,P313="VND",O313/26090,P313="JPY",O313/161)</f>
        <v>3.72</v>
      </c>
      <c r="R313" s="14">
        <v>35</v>
      </c>
      <c r="S313" s="14">
        <v>1</v>
      </c>
      <c r="T313" s="14"/>
      <c r="U313" s="14" t="s">
        <v>2848</v>
      </c>
      <c r="V313" s="14" t="s">
        <v>2857</v>
      </c>
      <c r="W313" s="14" t="s">
        <v>2858</v>
      </c>
      <c r="X313" s="17">
        <v>0</v>
      </c>
      <c r="Y313" s="15" t="s">
        <v>2875</v>
      </c>
      <c r="Z313" s="20">
        <v>46243</v>
      </c>
      <c r="AA313" s="20">
        <v>46608</v>
      </c>
      <c r="AB313" s="16"/>
      <c r="AC313" s="16"/>
      <c r="AD313" s="16"/>
      <c r="AE313" s="16" t="s">
        <v>2957</v>
      </c>
      <c r="AF313" s="16"/>
      <c r="AI313" s="3" t="str">
        <f t="shared" ca="1" si="4"/>
        <v>OK</v>
      </c>
    </row>
    <row r="314" spans="1:35" x14ac:dyDescent="0.3">
      <c r="A314" s="13">
        <v>46032</v>
      </c>
      <c r="B314" s="14" t="s">
        <v>2806</v>
      </c>
      <c r="C314" s="16"/>
      <c r="D314" s="16"/>
      <c r="E314" s="15" t="s">
        <v>862</v>
      </c>
      <c r="F314" s="15" t="s">
        <v>1251</v>
      </c>
      <c r="G314" s="15" t="s">
        <v>358</v>
      </c>
      <c r="H314" s="15"/>
      <c r="I314" s="15" t="s">
        <v>1882</v>
      </c>
      <c r="J314" s="15" t="s">
        <v>1883</v>
      </c>
      <c r="K314" s="16"/>
      <c r="L314" s="14" t="s">
        <v>2823</v>
      </c>
      <c r="M314" s="16"/>
      <c r="N314" s="15" t="s">
        <v>1046</v>
      </c>
      <c r="O314" s="14">
        <v>175000</v>
      </c>
      <c r="P314" s="14" t="s">
        <v>2846</v>
      </c>
      <c r="Q314" s="14" cm="1">
        <f t="array" ref="Q314">_xlfn.IFS(P314="USD",O314,P314="VND",O314/26090,P314="JPY",O314/161)</f>
        <v>6.7075507857416632</v>
      </c>
      <c r="R314" s="14">
        <v>25</v>
      </c>
      <c r="S314" s="14">
        <v>60</v>
      </c>
      <c r="T314" s="14"/>
      <c r="U314" s="14" t="s">
        <v>2848</v>
      </c>
      <c r="V314" s="14" t="s">
        <v>2857</v>
      </c>
      <c r="W314" s="14" t="s">
        <v>2858</v>
      </c>
      <c r="X314" s="17">
        <v>0</v>
      </c>
      <c r="Y314" s="15" t="s">
        <v>2875</v>
      </c>
      <c r="Z314" s="18" t="s">
        <v>2929</v>
      </c>
      <c r="AA314" s="22" t="s">
        <v>2931</v>
      </c>
      <c r="AB314" s="16"/>
      <c r="AC314" s="16"/>
      <c r="AD314" s="16"/>
      <c r="AE314" s="16" t="s">
        <v>2933</v>
      </c>
      <c r="AF314" s="16"/>
      <c r="AI314" s="3" t="str">
        <f t="shared" ca="1" si="4"/>
        <v>OK</v>
      </c>
    </row>
    <row r="315" spans="1:35" hidden="1" x14ac:dyDescent="0.3">
      <c r="A315" s="13">
        <v>46032</v>
      </c>
      <c r="B315" s="14" t="s">
        <v>2806</v>
      </c>
      <c r="C315" s="16"/>
      <c r="D315" s="16"/>
      <c r="E315" s="15" t="s">
        <v>872</v>
      </c>
      <c r="F315" s="15" t="s">
        <v>1258</v>
      </c>
      <c r="G315" s="15" t="s">
        <v>359</v>
      </c>
      <c r="H315" s="15"/>
      <c r="I315" s="15" t="s">
        <v>1884</v>
      </c>
      <c r="J315" s="15" t="s">
        <v>1885</v>
      </c>
      <c r="K315" s="16"/>
      <c r="L315" s="14" t="s">
        <v>2823</v>
      </c>
      <c r="M315" s="16"/>
      <c r="N315" s="15" t="s">
        <v>1047</v>
      </c>
      <c r="O315" s="14">
        <v>46.6</v>
      </c>
      <c r="P315" s="14" t="s">
        <v>2845</v>
      </c>
      <c r="Q315" s="14" cm="1">
        <f t="array" ref="Q315">_xlfn.IFS(P315="USD",O315,P315="VND",O315/26090,P315="JPY",O315/161)</f>
        <v>46.6</v>
      </c>
      <c r="R315" s="14">
        <v>21</v>
      </c>
      <c r="S315" s="14">
        <v>1</v>
      </c>
      <c r="T315" s="14"/>
      <c r="U315" s="14" t="s">
        <v>2849</v>
      </c>
      <c r="V315" s="14" t="s">
        <v>2857</v>
      </c>
      <c r="W315" s="14" t="s">
        <v>2858</v>
      </c>
      <c r="X315" s="17">
        <v>0</v>
      </c>
      <c r="Y315" s="15" t="s">
        <v>2893</v>
      </c>
      <c r="Z315" s="18" t="s">
        <v>2930</v>
      </c>
      <c r="AA315" s="18"/>
      <c r="AB315" s="16"/>
      <c r="AC315" s="16"/>
      <c r="AD315" s="16"/>
      <c r="AE315" s="16" t="s">
        <v>2953</v>
      </c>
      <c r="AF315" s="16"/>
      <c r="AI315" s="3" t="str">
        <f t="shared" ca="1" si="4"/>
        <v>OK</v>
      </c>
    </row>
    <row r="316" spans="1:35" hidden="1" x14ac:dyDescent="0.3">
      <c r="A316" s="13">
        <v>46032</v>
      </c>
      <c r="B316" s="14" t="s">
        <v>2806</v>
      </c>
      <c r="C316" s="16"/>
      <c r="D316" s="16"/>
      <c r="E316" s="15" t="s">
        <v>872</v>
      </c>
      <c r="F316" s="15" t="s">
        <v>1258</v>
      </c>
      <c r="G316" s="15" t="s">
        <v>360</v>
      </c>
      <c r="H316" s="15"/>
      <c r="I316" s="15" t="s">
        <v>1886</v>
      </c>
      <c r="J316" s="15" t="s">
        <v>1887</v>
      </c>
      <c r="K316" s="16"/>
      <c r="L316" s="14" t="s">
        <v>2823</v>
      </c>
      <c r="M316" s="16"/>
      <c r="N316" s="15" t="s">
        <v>1048</v>
      </c>
      <c r="O316" s="14">
        <v>2.31</v>
      </c>
      <c r="P316" s="14" t="s">
        <v>2845</v>
      </c>
      <c r="Q316" s="14" cm="1">
        <f t="array" ref="Q316">_xlfn.IFS(P316="USD",O316,P316="VND",O316/26090,P316="JPY",O316/161)</f>
        <v>2.31</v>
      </c>
      <c r="R316" s="14">
        <v>21</v>
      </c>
      <c r="S316" s="14">
        <v>1</v>
      </c>
      <c r="T316" s="14"/>
      <c r="U316" s="14" t="s">
        <v>2849</v>
      </c>
      <c r="V316" s="14" t="s">
        <v>2857</v>
      </c>
      <c r="W316" s="14" t="s">
        <v>2858</v>
      </c>
      <c r="X316" s="17">
        <v>0</v>
      </c>
      <c r="Y316" s="15" t="s">
        <v>2893</v>
      </c>
      <c r="Z316" s="18" t="s">
        <v>2930</v>
      </c>
      <c r="AA316" s="18"/>
      <c r="AB316" s="16"/>
      <c r="AC316" s="16"/>
      <c r="AD316" s="16"/>
      <c r="AE316" s="16" t="s">
        <v>2953</v>
      </c>
      <c r="AF316" s="16"/>
      <c r="AI316" s="3" t="str">
        <f t="shared" ca="1" si="4"/>
        <v>OK</v>
      </c>
    </row>
    <row r="317" spans="1:35" x14ac:dyDescent="0.3">
      <c r="A317" s="13">
        <v>46032</v>
      </c>
      <c r="B317" s="14" t="s">
        <v>2806</v>
      </c>
      <c r="C317" s="16"/>
      <c r="D317" s="16"/>
      <c r="E317" s="15" t="s">
        <v>886</v>
      </c>
      <c r="F317" s="15" t="s">
        <v>1271</v>
      </c>
      <c r="G317" s="15" t="s">
        <v>361</v>
      </c>
      <c r="H317" s="15"/>
      <c r="I317" s="15" t="s">
        <v>1888</v>
      </c>
      <c r="J317" s="15" t="s">
        <v>1889</v>
      </c>
      <c r="K317" s="16"/>
      <c r="L317" s="14" t="s">
        <v>2823</v>
      </c>
      <c r="M317" s="16"/>
      <c r="N317" s="15" t="s">
        <v>1025</v>
      </c>
      <c r="O317" s="14">
        <v>1.66</v>
      </c>
      <c r="P317" s="14" t="s">
        <v>2845</v>
      </c>
      <c r="Q317" s="14" cm="1">
        <f t="array" ref="Q317">_xlfn.IFS(P317="USD",O317,P317="VND",O317/26090,P317="JPY",O317/161)</f>
        <v>1.66</v>
      </c>
      <c r="R317" s="14">
        <v>35</v>
      </c>
      <c r="S317" s="14">
        <v>10</v>
      </c>
      <c r="T317" s="14"/>
      <c r="U317" s="14" t="s">
        <v>2850</v>
      </c>
      <c r="V317" s="14" t="s">
        <v>2859</v>
      </c>
      <c r="W317" s="14" t="s">
        <v>2860</v>
      </c>
      <c r="X317" s="17">
        <v>0</v>
      </c>
      <c r="Y317" s="15" t="s">
        <v>2899</v>
      </c>
      <c r="Z317" s="18" t="s">
        <v>3044</v>
      </c>
      <c r="AA317" s="22" t="s">
        <v>3045</v>
      </c>
      <c r="AB317" s="16"/>
      <c r="AC317" s="16"/>
      <c r="AD317" s="16"/>
      <c r="AE317" s="16" t="s">
        <v>3046</v>
      </c>
      <c r="AF317" s="16"/>
      <c r="AI317" s="3" t="str">
        <f t="shared" ca="1" si="4"/>
        <v>OK</v>
      </c>
    </row>
    <row r="318" spans="1:35" hidden="1" x14ac:dyDescent="0.3">
      <c r="A318" s="13">
        <v>46032</v>
      </c>
      <c r="B318" s="14" t="s">
        <v>2806</v>
      </c>
      <c r="C318" s="16"/>
      <c r="D318" s="16"/>
      <c r="E318" s="15" t="s">
        <v>858</v>
      </c>
      <c r="F318" s="15" t="s">
        <v>1248</v>
      </c>
      <c r="G318" s="15" t="s">
        <v>362</v>
      </c>
      <c r="H318" s="15"/>
      <c r="I318" s="15" t="s">
        <v>1890</v>
      </c>
      <c r="J318" s="15" t="s">
        <v>1891</v>
      </c>
      <c r="K318" s="16"/>
      <c r="L318" s="14" t="s">
        <v>2834</v>
      </c>
      <c r="M318" s="16"/>
      <c r="N318" s="15" t="s">
        <v>1017</v>
      </c>
      <c r="O318" s="14">
        <v>48.85</v>
      </c>
      <c r="P318" s="14" t="s">
        <v>2845</v>
      </c>
      <c r="Q318" s="14" cm="1">
        <f t="array" ref="Q318">_xlfn.IFS(P318="USD",O318,P318="VND",O318/26090,P318="JPY",O318/161)</f>
        <v>48.85</v>
      </c>
      <c r="R318" s="14">
        <v>105</v>
      </c>
      <c r="S318" s="14">
        <v>1</v>
      </c>
      <c r="T318" s="14"/>
      <c r="U318" s="14" t="s">
        <v>2852</v>
      </c>
      <c r="V318" s="14" t="s">
        <v>2864</v>
      </c>
      <c r="W318" s="14" t="s">
        <v>2860</v>
      </c>
      <c r="X318" s="17">
        <v>0</v>
      </c>
      <c r="Y318" s="15" t="s">
        <v>2880</v>
      </c>
      <c r="Z318" s="18" t="s">
        <v>3050</v>
      </c>
      <c r="AA318" s="18"/>
      <c r="AB318" s="16"/>
      <c r="AC318" s="16"/>
      <c r="AD318" s="16"/>
      <c r="AE318" s="16" t="s">
        <v>3049</v>
      </c>
      <c r="AF318" s="16"/>
      <c r="AI318" s="3" t="str">
        <f t="shared" ca="1" si="4"/>
        <v>OK</v>
      </c>
    </row>
    <row r="319" spans="1:35" hidden="1" x14ac:dyDescent="0.3">
      <c r="A319" s="13">
        <v>46032</v>
      </c>
      <c r="B319" s="14" t="s">
        <v>2806</v>
      </c>
      <c r="C319" s="16"/>
      <c r="D319" s="16"/>
      <c r="E319" s="15" t="s">
        <v>872</v>
      </c>
      <c r="F319" s="15" t="s">
        <v>1258</v>
      </c>
      <c r="G319" s="15" t="s">
        <v>363</v>
      </c>
      <c r="H319" s="15"/>
      <c r="I319" s="15" t="s">
        <v>1892</v>
      </c>
      <c r="J319" s="15" t="s">
        <v>1893</v>
      </c>
      <c r="K319" s="16"/>
      <c r="L319" s="14" t="s">
        <v>2835</v>
      </c>
      <c r="M319" s="16"/>
      <c r="N319" s="15" t="s">
        <v>1049</v>
      </c>
      <c r="O319" s="14">
        <v>9.1999999999999993</v>
      </c>
      <c r="P319" s="14" t="s">
        <v>2845</v>
      </c>
      <c r="Q319" s="14" cm="1">
        <f t="array" ref="Q319">_xlfn.IFS(P319="USD",O319,P319="VND",O319/26090,P319="JPY",O319/161)</f>
        <v>9.1999999999999993</v>
      </c>
      <c r="R319" s="14">
        <v>21</v>
      </c>
      <c r="S319" s="14">
        <v>1</v>
      </c>
      <c r="T319" s="14"/>
      <c r="U319" s="14" t="s">
        <v>2849</v>
      </c>
      <c r="V319" s="14" t="s">
        <v>2857</v>
      </c>
      <c r="W319" s="14" t="s">
        <v>2858</v>
      </c>
      <c r="X319" s="17">
        <v>0</v>
      </c>
      <c r="Y319" s="15" t="s">
        <v>2893</v>
      </c>
      <c r="Z319" s="18" t="s">
        <v>2930</v>
      </c>
      <c r="AA319" s="18"/>
      <c r="AB319" s="16"/>
      <c r="AC319" s="16"/>
      <c r="AD319" s="16"/>
      <c r="AE319" s="16" t="s">
        <v>2953</v>
      </c>
      <c r="AF319" s="16"/>
      <c r="AI319" s="3" t="str">
        <f t="shared" ca="1" si="4"/>
        <v>OK</v>
      </c>
    </row>
    <row r="320" spans="1:35" hidden="1" x14ac:dyDescent="0.3">
      <c r="A320" s="13">
        <v>46032</v>
      </c>
      <c r="B320" s="14" t="s">
        <v>2806</v>
      </c>
      <c r="C320" s="16"/>
      <c r="D320" s="16"/>
      <c r="E320" s="15" t="s">
        <v>872</v>
      </c>
      <c r="F320" s="15" t="s">
        <v>1258</v>
      </c>
      <c r="G320" s="15" t="s">
        <v>364</v>
      </c>
      <c r="H320" s="15"/>
      <c r="I320" s="15" t="s">
        <v>1894</v>
      </c>
      <c r="J320" s="15" t="s">
        <v>1895</v>
      </c>
      <c r="K320" s="16"/>
      <c r="L320" s="14" t="s">
        <v>2835</v>
      </c>
      <c r="M320" s="16"/>
      <c r="N320" s="15" t="s">
        <v>1049</v>
      </c>
      <c r="O320" s="14">
        <v>3.48</v>
      </c>
      <c r="P320" s="14" t="s">
        <v>2845</v>
      </c>
      <c r="Q320" s="14" cm="1">
        <f t="array" ref="Q320">_xlfn.IFS(P320="USD",O320,P320="VND",O320/26090,P320="JPY",O320/161)</f>
        <v>3.48</v>
      </c>
      <c r="R320" s="14">
        <v>21</v>
      </c>
      <c r="S320" s="14">
        <v>1</v>
      </c>
      <c r="T320" s="14"/>
      <c r="U320" s="14" t="s">
        <v>2849</v>
      </c>
      <c r="V320" s="14" t="s">
        <v>2857</v>
      </c>
      <c r="W320" s="14" t="s">
        <v>2858</v>
      </c>
      <c r="X320" s="17">
        <v>0</v>
      </c>
      <c r="Y320" s="15" t="s">
        <v>2893</v>
      </c>
      <c r="Z320" s="18" t="s">
        <v>2930</v>
      </c>
      <c r="AA320" s="18"/>
      <c r="AB320" s="16"/>
      <c r="AC320" s="16"/>
      <c r="AD320" s="16"/>
      <c r="AE320" s="16" t="s">
        <v>2953</v>
      </c>
      <c r="AF320" s="16"/>
      <c r="AI320" s="3" t="str">
        <f t="shared" ca="1" si="4"/>
        <v>OK</v>
      </c>
    </row>
    <row r="321" spans="1:35" hidden="1" x14ac:dyDescent="0.3">
      <c r="A321" s="13">
        <v>46032</v>
      </c>
      <c r="B321" s="14" t="s">
        <v>2806</v>
      </c>
      <c r="C321" s="16"/>
      <c r="D321" s="16"/>
      <c r="E321" s="15" t="s">
        <v>888</v>
      </c>
      <c r="F321" s="15" t="s">
        <v>1273</v>
      </c>
      <c r="G321" s="15" t="s">
        <v>365</v>
      </c>
      <c r="H321" s="15"/>
      <c r="I321" s="15" t="s">
        <v>1896</v>
      </c>
      <c r="J321" s="15" t="s">
        <v>1897</v>
      </c>
      <c r="K321" s="16"/>
      <c r="L321" s="14" t="s">
        <v>2817</v>
      </c>
      <c r="M321" s="16"/>
      <c r="N321" s="15" t="s">
        <v>1050</v>
      </c>
      <c r="O321" s="14">
        <v>4319000</v>
      </c>
      <c r="P321" s="14" t="s">
        <v>2846</v>
      </c>
      <c r="Q321" s="14" cm="1">
        <f t="array" ref="Q321">_xlfn.IFS(P321="USD",O321,P321="VND",O321/26090,P321="JPY",O321/161)</f>
        <v>165.54235339210425</v>
      </c>
      <c r="R321" s="14">
        <v>14</v>
      </c>
      <c r="S321" s="14">
        <v>1</v>
      </c>
      <c r="T321" s="14"/>
      <c r="U321" s="14" t="s">
        <v>2848</v>
      </c>
      <c r="V321" s="14" t="s">
        <v>2857</v>
      </c>
      <c r="W321" s="14" t="s">
        <v>2858</v>
      </c>
      <c r="X321" s="17">
        <v>0</v>
      </c>
      <c r="Y321" s="15" t="s">
        <v>2875</v>
      </c>
      <c r="Z321" s="18" t="s">
        <v>2914</v>
      </c>
      <c r="AA321" s="18"/>
      <c r="AB321" s="16"/>
      <c r="AC321" s="16"/>
      <c r="AD321" s="16"/>
      <c r="AE321" s="16" t="s">
        <v>2917</v>
      </c>
      <c r="AF321" s="16"/>
      <c r="AI321" s="3" t="str">
        <f t="shared" ca="1" si="4"/>
        <v>OK</v>
      </c>
    </row>
    <row r="322" spans="1:35" hidden="1" x14ac:dyDescent="0.3">
      <c r="A322" s="13">
        <v>46032</v>
      </c>
      <c r="B322" s="14" t="s">
        <v>2806</v>
      </c>
      <c r="C322" s="16"/>
      <c r="D322" s="16"/>
      <c r="E322" s="15" t="s">
        <v>888</v>
      </c>
      <c r="F322" s="15" t="s">
        <v>1273</v>
      </c>
      <c r="G322" s="15" t="s">
        <v>366</v>
      </c>
      <c r="H322" s="15"/>
      <c r="I322" s="15" t="s">
        <v>1898</v>
      </c>
      <c r="J322" s="15" t="s">
        <v>1897</v>
      </c>
      <c r="K322" s="16"/>
      <c r="L322" s="14" t="s">
        <v>2817</v>
      </c>
      <c r="M322" s="16"/>
      <c r="N322" s="15" t="s">
        <v>1050</v>
      </c>
      <c r="O322" s="14">
        <v>2004000</v>
      </c>
      <c r="P322" s="14" t="s">
        <v>2846</v>
      </c>
      <c r="Q322" s="14" cm="1">
        <f t="array" ref="Q322">_xlfn.IFS(P322="USD",O322,P322="VND",O322/26090,P322="JPY",O322/161)</f>
        <v>76.81103871215025</v>
      </c>
      <c r="R322" s="14">
        <v>14</v>
      </c>
      <c r="S322" s="14">
        <v>1</v>
      </c>
      <c r="T322" s="14"/>
      <c r="U322" s="14" t="s">
        <v>2848</v>
      </c>
      <c r="V322" s="14" t="s">
        <v>2857</v>
      </c>
      <c r="W322" s="14" t="s">
        <v>2858</v>
      </c>
      <c r="X322" s="17">
        <v>0</v>
      </c>
      <c r="Y322" s="15" t="s">
        <v>2875</v>
      </c>
      <c r="Z322" s="18" t="s">
        <v>2914</v>
      </c>
      <c r="AA322" s="18"/>
      <c r="AB322" s="16"/>
      <c r="AC322" s="16"/>
      <c r="AD322" s="16"/>
      <c r="AE322" s="16" t="s">
        <v>2917</v>
      </c>
      <c r="AF322" s="16"/>
      <c r="AI322" s="3" t="str">
        <f t="shared" ca="1" si="4"/>
        <v>OK</v>
      </c>
    </row>
    <row r="323" spans="1:35" x14ac:dyDescent="0.3">
      <c r="A323" s="13">
        <v>46032</v>
      </c>
      <c r="B323" s="14" t="s">
        <v>2806</v>
      </c>
      <c r="C323" s="16"/>
      <c r="D323" s="16"/>
      <c r="E323" s="15" t="s">
        <v>862</v>
      </c>
      <c r="F323" s="15" t="s">
        <v>1251</v>
      </c>
      <c r="G323" s="15" t="s">
        <v>367</v>
      </c>
      <c r="H323" s="15"/>
      <c r="I323" s="15" t="s">
        <v>1899</v>
      </c>
      <c r="J323" s="15" t="s">
        <v>1900</v>
      </c>
      <c r="K323" s="16"/>
      <c r="L323" s="14" t="s">
        <v>2831</v>
      </c>
      <c r="M323" s="16"/>
      <c r="N323" s="15" t="s">
        <v>1051</v>
      </c>
      <c r="O323" s="14">
        <v>420000</v>
      </c>
      <c r="P323" s="14" t="s">
        <v>2846</v>
      </c>
      <c r="Q323" s="14" cm="1">
        <f t="array" ref="Q323">_xlfn.IFS(P323="USD",O323,P323="VND",O323/26090,P323="JPY",O323/161)</f>
        <v>16.098121885779992</v>
      </c>
      <c r="R323" s="14">
        <v>15</v>
      </c>
      <c r="S323" s="14">
        <v>300</v>
      </c>
      <c r="T323" s="14"/>
      <c r="U323" s="14" t="s">
        <v>2848</v>
      </c>
      <c r="V323" s="14" t="s">
        <v>2857</v>
      </c>
      <c r="W323" s="14" t="s">
        <v>2858</v>
      </c>
      <c r="X323" s="17">
        <v>0</v>
      </c>
      <c r="Y323" s="15" t="s">
        <v>2875</v>
      </c>
      <c r="Z323" s="18" t="s">
        <v>2929</v>
      </c>
      <c r="AA323" s="22" t="s">
        <v>2931</v>
      </c>
      <c r="AB323" s="16"/>
      <c r="AC323" s="16"/>
      <c r="AD323" s="16"/>
      <c r="AE323" s="16" t="s">
        <v>2933</v>
      </c>
      <c r="AF323" s="16"/>
      <c r="AI323" s="3" t="str">
        <f t="shared" ref="AI323:AI386" ca="1" si="5">IF(AA323="","OK",IF(AA323&lt;TODAY(),"NG","OK"))</f>
        <v>OK</v>
      </c>
    </row>
    <row r="324" spans="1:35" hidden="1" x14ac:dyDescent="0.3">
      <c r="A324" s="13">
        <v>46032</v>
      </c>
      <c r="B324" s="14" t="s">
        <v>2806</v>
      </c>
      <c r="C324" s="16"/>
      <c r="D324" s="16"/>
      <c r="E324" s="15" t="s">
        <v>857</v>
      </c>
      <c r="F324" s="15" t="s">
        <v>912</v>
      </c>
      <c r="G324" s="15" t="s">
        <v>368</v>
      </c>
      <c r="H324" s="15"/>
      <c r="I324" s="15" t="s">
        <v>1901</v>
      </c>
      <c r="J324" s="15" t="s">
        <v>1902</v>
      </c>
      <c r="K324" s="16"/>
      <c r="L324" s="14" t="s">
        <v>2821</v>
      </c>
      <c r="M324" s="16"/>
      <c r="N324" s="15" t="s">
        <v>1052</v>
      </c>
      <c r="O324" s="14">
        <v>4.8</v>
      </c>
      <c r="P324" s="14" t="s">
        <v>2845</v>
      </c>
      <c r="Q324" s="14" cm="1">
        <f t="array" ref="Q324">_xlfn.IFS(P324="USD",O324,P324="VND",O324/26090,P324="JPY",O324/161)</f>
        <v>4.8</v>
      </c>
      <c r="R324" s="14">
        <v>30</v>
      </c>
      <c r="S324" s="14">
        <v>1</v>
      </c>
      <c r="T324" s="14"/>
      <c r="U324" s="14" t="s">
        <v>2848</v>
      </c>
      <c r="V324" s="14" t="s">
        <v>2857</v>
      </c>
      <c r="W324" s="14" t="s">
        <v>2858</v>
      </c>
      <c r="X324" s="17">
        <v>0</v>
      </c>
      <c r="Y324" s="15" t="s">
        <v>2875</v>
      </c>
      <c r="Z324" s="20">
        <v>46243</v>
      </c>
      <c r="AA324" s="20">
        <v>46608</v>
      </c>
      <c r="AB324" s="16"/>
      <c r="AC324" s="16"/>
      <c r="AD324" s="16"/>
      <c r="AE324" s="16" t="s">
        <v>2957</v>
      </c>
      <c r="AF324" s="16"/>
      <c r="AI324" s="3" t="str">
        <f t="shared" ca="1" si="5"/>
        <v>OK</v>
      </c>
    </row>
    <row r="325" spans="1:35" hidden="1" x14ac:dyDescent="0.3">
      <c r="A325" s="13">
        <v>46032</v>
      </c>
      <c r="B325" s="14" t="s">
        <v>2806</v>
      </c>
      <c r="C325" s="16"/>
      <c r="D325" s="16"/>
      <c r="E325" s="15" t="s">
        <v>857</v>
      </c>
      <c r="F325" s="15" t="s">
        <v>912</v>
      </c>
      <c r="G325" s="15" t="s">
        <v>369</v>
      </c>
      <c r="H325" s="15"/>
      <c r="I325" s="15" t="s">
        <v>1903</v>
      </c>
      <c r="J325" s="15" t="s">
        <v>1904</v>
      </c>
      <c r="K325" s="16"/>
      <c r="L325" s="14" t="s">
        <v>2821</v>
      </c>
      <c r="M325" s="16"/>
      <c r="N325" s="15" t="s">
        <v>1052</v>
      </c>
      <c r="O325" s="14">
        <v>7.05</v>
      </c>
      <c r="P325" s="14" t="s">
        <v>2845</v>
      </c>
      <c r="Q325" s="14" cm="1">
        <f t="array" ref="Q325">_xlfn.IFS(P325="USD",O325,P325="VND",O325/26090,P325="JPY",O325/161)</f>
        <v>7.05</v>
      </c>
      <c r="R325" s="14">
        <v>30</v>
      </c>
      <c r="S325" s="14">
        <v>1</v>
      </c>
      <c r="T325" s="14"/>
      <c r="U325" s="14" t="s">
        <v>2848</v>
      </c>
      <c r="V325" s="14" t="s">
        <v>2857</v>
      </c>
      <c r="W325" s="14" t="s">
        <v>2858</v>
      </c>
      <c r="X325" s="17">
        <v>0</v>
      </c>
      <c r="Y325" s="15" t="s">
        <v>2875</v>
      </c>
      <c r="Z325" s="20">
        <v>46243</v>
      </c>
      <c r="AA325" s="20">
        <v>46608</v>
      </c>
      <c r="AB325" s="16"/>
      <c r="AC325" s="16"/>
      <c r="AD325" s="16"/>
      <c r="AE325" s="16" t="s">
        <v>2957</v>
      </c>
      <c r="AF325" s="16"/>
      <c r="AI325" s="3" t="str">
        <f t="shared" ca="1" si="5"/>
        <v>OK</v>
      </c>
    </row>
    <row r="326" spans="1:35" hidden="1" x14ac:dyDescent="0.3">
      <c r="A326" s="13">
        <v>46032</v>
      </c>
      <c r="B326" s="14" t="s">
        <v>2806</v>
      </c>
      <c r="C326" s="16"/>
      <c r="D326" s="16"/>
      <c r="E326" s="15" t="s">
        <v>859</v>
      </c>
      <c r="F326" s="15" t="s">
        <v>908</v>
      </c>
      <c r="G326" s="15" t="s">
        <v>370</v>
      </c>
      <c r="H326" s="15"/>
      <c r="I326" s="15" t="s">
        <v>1905</v>
      </c>
      <c r="J326" s="15" t="s">
        <v>1906</v>
      </c>
      <c r="K326" s="16"/>
      <c r="L326" s="14" t="s">
        <v>2833</v>
      </c>
      <c r="M326" s="16"/>
      <c r="N326" s="15" t="s">
        <v>1011</v>
      </c>
      <c r="O326" s="14">
        <v>1.74</v>
      </c>
      <c r="P326" s="14" t="s">
        <v>2845</v>
      </c>
      <c r="Q326" s="14" cm="1">
        <f t="array" ref="Q326">_xlfn.IFS(P326="USD",O326,P326="VND",O326/26090,P326="JPY",O326/161)</f>
        <v>1.74</v>
      </c>
      <c r="R326" s="14">
        <v>10</v>
      </c>
      <c r="S326" s="14">
        <v>1</v>
      </c>
      <c r="T326" s="14"/>
      <c r="U326" s="14" t="s">
        <v>2848</v>
      </c>
      <c r="V326" s="14" t="s">
        <v>2857</v>
      </c>
      <c r="W326" s="14" t="s">
        <v>2858</v>
      </c>
      <c r="X326" s="17">
        <v>0</v>
      </c>
      <c r="Y326" s="15" t="s">
        <v>2875</v>
      </c>
      <c r="Z326" s="20">
        <v>45664</v>
      </c>
      <c r="AA326" s="18"/>
      <c r="AB326" s="16"/>
      <c r="AC326" s="16"/>
      <c r="AD326" s="16"/>
      <c r="AE326" s="16" t="s">
        <v>3033</v>
      </c>
      <c r="AF326" s="16"/>
      <c r="AI326" s="3" t="str">
        <f t="shared" ca="1" si="5"/>
        <v>OK</v>
      </c>
    </row>
    <row r="327" spans="1:35" hidden="1" x14ac:dyDescent="0.3">
      <c r="A327" s="13">
        <v>46032</v>
      </c>
      <c r="B327" s="14" t="s">
        <v>2806</v>
      </c>
      <c r="C327" s="16"/>
      <c r="D327" s="16"/>
      <c r="E327" s="15" t="s">
        <v>859</v>
      </c>
      <c r="F327" s="15" t="s">
        <v>908</v>
      </c>
      <c r="G327" s="15" t="s">
        <v>371</v>
      </c>
      <c r="H327" s="15"/>
      <c r="I327" s="15" t="s">
        <v>1907</v>
      </c>
      <c r="J327" s="15" t="s">
        <v>1908</v>
      </c>
      <c r="K327" s="16"/>
      <c r="L327" s="14" t="s">
        <v>2836</v>
      </c>
      <c r="M327" s="16"/>
      <c r="N327" s="15" t="s">
        <v>1011</v>
      </c>
      <c r="O327" s="14">
        <v>0.18</v>
      </c>
      <c r="P327" s="14" t="s">
        <v>2845</v>
      </c>
      <c r="Q327" s="14" cm="1">
        <f t="array" ref="Q327">_xlfn.IFS(P327="USD",O327,P327="VND",O327/26090,P327="JPY",O327/161)</f>
        <v>0.18</v>
      </c>
      <c r="R327" s="14">
        <v>10</v>
      </c>
      <c r="S327" s="14">
        <v>1</v>
      </c>
      <c r="T327" s="14"/>
      <c r="U327" s="14" t="s">
        <v>2848</v>
      </c>
      <c r="V327" s="14" t="s">
        <v>2857</v>
      </c>
      <c r="W327" s="14" t="s">
        <v>2858</v>
      </c>
      <c r="X327" s="17">
        <v>0</v>
      </c>
      <c r="Y327" s="15" t="s">
        <v>2875</v>
      </c>
      <c r="Z327" s="20">
        <v>45664</v>
      </c>
      <c r="AA327" s="18"/>
      <c r="AB327" s="16"/>
      <c r="AC327" s="16"/>
      <c r="AD327" s="16"/>
      <c r="AE327" s="16" t="s">
        <v>3033</v>
      </c>
      <c r="AF327" s="16"/>
      <c r="AI327" s="3" t="str">
        <f t="shared" ca="1" si="5"/>
        <v>OK</v>
      </c>
    </row>
    <row r="328" spans="1:35" hidden="1" x14ac:dyDescent="0.3">
      <c r="A328" s="13">
        <v>46032</v>
      </c>
      <c r="B328" s="14" t="s">
        <v>2806</v>
      </c>
      <c r="C328" s="16"/>
      <c r="D328" s="16"/>
      <c r="E328" s="15" t="s">
        <v>859</v>
      </c>
      <c r="F328" s="15" t="s">
        <v>908</v>
      </c>
      <c r="G328" s="15" t="s">
        <v>372</v>
      </c>
      <c r="H328" s="15"/>
      <c r="I328" s="15" t="s">
        <v>1909</v>
      </c>
      <c r="J328" s="15" t="s">
        <v>1910</v>
      </c>
      <c r="K328" s="16"/>
      <c r="L328" s="14" t="s">
        <v>2836</v>
      </c>
      <c r="M328" s="16"/>
      <c r="N328" s="15" t="s">
        <v>1011</v>
      </c>
      <c r="O328" s="14">
        <v>0.27</v>
      </c>
      <c r="P328" s="14" t="s">
        <v>2845</v>
      </c>
      <c r="Q328" s="14" cm="1">
        <f t="array" ref="Q328">_xlfn.IFS(P328="USD",O328,P328="VND",O328/26090,P328="JPY",O328/161)</f>
        <v>0.27</v>
      </c>
      <c r="R328" s="14">
        <v>10</v>
      </c>
      <c r="S328" s="14">
        <v>1</v>
      </c>
      <c r="T328" s="14"/>
      <c r="U328" s="14" t="s">
        <v>2848</v>
      </c>
      <c r="V328" s="14" t="s">
        <v>2857</v>
      </c>
      <c r="W328" s="14" t="s">
        <v>2858</v>
      </c>
      <c r="X328" s="17">
        <v>0</v>
      </c>
      <c r="Y328" s="15" t="s">
        <v>2875</v>
      </c>
      <c r="Z328" s="20">
        <v>45664</v>
      </c>
      <c r="AA328" s="18"/>
      <c r="AB328" s="16"/>
      <c r="AC328" s="16"/>
      <c r="AD328" s="16"/>
      <c r="AE328" s="16" t="s">
        <v>3033</v>
      </c>
      <c r="AF328" s="16"/>
      <c r="AI328" s="3" t="str">
        <f t="shared" ca="1" si="5"/>
        <v>OK</v>
      </c>
    </row>
    <row r="329" spans="1:35" hidden="1" x14ac:dyDescent="0.3">
      <c r="A329" s="13">
        <v>46032</v>
      </c>
      <c r="B329" s="14" t="s">
        <v>2806</v>
      </c>
      <c r="C329" s="16"/>
      <c r="D329" s="16"/>
      <c r="E329" s="15" t="s">
        <v>889</v>
      </c>
      <c r="F329" s="15" t="s">
        <v>1274</v>
      </c>
      <c r="G329" s="15" t="s">
        <v>373</v>
      </c>
      <c r="H329" s="15"/>
      <c r="I329" s="15" t="s">
        <v>1911</v>
      </c>
      <c r="J329" s="15" t="s">
        <v>1912</v>
      </c>
      <c r="K329" s="16"/>
      <c r="L329" s="14" t="s">
        <v>2837</v>
      </c>
      <c r="M329" s="16"/>
      <c r="N329" s="15" t="s">
        <v>1053</v>
      </c>
      <c r="O329" s="14">
        <v>205000</v>
      </c>
      <c r="P329" s="14" t="s">
        <v>2846</v>
      </c>
      <c r="Q329" s="14" cm="1">
        <f t="array" ref="Q329">_xlfn.IFS(P329="USD",O329,P329="VND",O329/26090,P329="JPY",O329/161)</f>
        <v>7.8574166347259489</v>
      </c>
      <c r="R329" s="14">
        <v>7</v>
      </c>
      <c r="S329" s="14">
        <v>1</v>
      </c>
      <c r="T329" s="14"/>
      <c r="U329" s="14" t="s">
        <v>2848</v>
      </c>
      <c r="V329" s="14" t="s">
        <v>2857</v>
      </c>
      <c r="W329" s="14" t="s">
        <v>2858</v>
      </c>
      <c r="X329" s="17">
        <v>0</v>
      </c>
      <c r="Y329" s="15" t="s">
        <v>2875</v>
      </c>
      <c r="Z329" s="18" t="s">
        <v>3023</v>
      </c>
      <c r="AA329" s="18"/>
      <c r="AB329" s="16"/>
      <c r="AC329" s="16"/>
      <c r="AD329" s="16"/>
      <c r="AE329" s="16" t="s">
        <v>3022</v>
      </c>
      <c r="AF329" s="16"/>
      <c r="AI329" s="3" t="str">
        <f t="shared" ca="1" si="5"/>
        <v>OK</v>
      </c>
    </row>
    <row r="330" spans="1:35" hidden="1" x14ac:dyDescent="0.3">
      <c r="A330" s="13">
        <v>46032</v>
      </c>
      <c r="B330" s="14" t="s">
        <v>2806</v>
      </c>
      <c r="C330" s="16"/>
      <c r="D330" s="16"/>
      <c r="E330" s="15" t="s">
        <v>857</v>
      </c>
      <c r="F330" s="15" t="s">
        <v>912</v>
      </c>
      <c r="G330" s="15" t="s">
        <v>374</v>
      </c>
      <c r="H330" s="15"/>
      <c r="I330" s="15" t="s">
        <v>1913</v>
      </c>
      <c r="J330" s="15" t="s">
        <v>1914</v>
      </c>
      <c r="K330" s="16"/>
      <c r="L330" s="14" t="s">
        <v>2821</v>
      </c>
      <c r="M330" s="16"/>
      <c r="N330" s="15" t="s">
        <v>1052</v>
      </c>
      <c r="O330" s="14">
        <v>3.67</v>
      </c>
      <c r="P330" s="14" t="s">
        <v>2845</v>
      </c>
      <c r="Q330" s="14" cm="1">
        <f t="array" ref="Q330">_xlfn.IFS(P330="USD",O330,P330="VND",O330/26090,P330="JPY",O330/161)</f>
        <v>3.67</v>
      </c>
      <c r="R330" s="14">
        <v>30</v>
      </c>
      <c r="S330" s="14">
        <v>1</v>
      </c>
      <c r="T330" s="14"/>
      <c r="U330" s="14" t="s">
        <v>2848</v>
      </c>
      <c r="V330" s="14" t="s">
        <v>2857</v>
      </c>
      <c r="W330" s="14" t="s">
        <v>2858</v>
      </c>
      <c r="X330" s="17">
        <v>0</v>
      </c>
      <c r="Y330" s="15" t="s">
        <v>2875</v>
      </c>
      <c r="Z330" s="20">
        <v>46243</v>
      </c>
      <c r="AA330" s="20">
        <v>46608</v>
      </c>
      <c r="AB330" s="16"/>
      <c r="AC330" s="16"/>
      <c r="AD330" s="16"/>
      <c r="AE330" s="16" t="s">
        <v>2957</v>
      </c>
      <c r="AF330" s="16"/>
      <c r="AI330" s="3" t="str">
        <f t="shared" ca="1" si="5"/>
        <v>OK</v>
      </c>
    </row>
    <row r="331" spans="1:35" hidden="1" x14ac:dyDescent="0.3">
      <c r="A331" s="13">
        <v>46032</v>
      </c>
      <c r="B331" s="14" t="s">
        <v>2806</v>
      </c>
      <c r="C331" s="16"/>
      <c r="D331" s="16"/>
      <c r="E331" s="15" t="s">
        <v>857</v>
      </c>
      <c r="F331" s="15" t="s">
        <v>912</v>
      </c>
      <c r="G331" s="15" t="s">
        <v>375</v>
      </c>
      <c r="H331" s="15"/>
      <c r="I331" s="15" t="s">
        <v>1915</v>
      </c>
      <c r="J331" s="15" t="s">
        <v>1916</v>
      </c>
      <c r="K331" s="16"/>
      <c r="L331" s="14" t="s">
        <v>2821</v>
      </c>
      <c r="M331" s="16"/>
      <c r="N331" s="15" t="s">
        <v>1052</v>
      </c>
      <c r="O331" s="14">
        <v>3.78</v>
      </c>
      <c r="P331" s="14" t="s">
        <v>2845</v>
      </c>
      <c r="Q331" s="14" cm="1">
        <f t="array" ref="Q331">_xlfn.IFS(P331="USD",O331,P331="VND",O331/26090,P331="JPY",O331/161)</f>
        <v>3.78</v>
      </c>
      <c r="R331" s="14">
        <v>30</v>
      </c>
      <c r="S331" s="14">
        <v>1</v>
      </c>
      <c r="T331" s="14"/>
      <c r="U331" s="14" t="s">
        <v>2848</v>
      </c>
      <c r="V331" s="14" t="s">
        <v>2857</v>
      </c>
      <c r="W331" s="14" t="s">
        <v>2858</v>
      </c>
      <c r="X331" s="17">
        <v>0</v>
      </c>
      <c r="Y331" s="15" t="s">
        <v>2875</v>
      </c>
      <c r="Z331" s="20">
        <v>46243</v>
      </c>
      <c r="AA331" s="20">
        <v>46608</v>
      </c>
      <c r="AB331" s="16"/>
      <c r="AC331" s="16"/>
      <c r="AD331" s="16"/>
      <c r="AE331" s="16" t="s">
        <v>2957</v>
      </c>
      <c r="AF331" s="16"/>
      <c r="AI331" s="3" t="str">
        <f t="shared" ca="1" si="5"/>
        <v>OK</v>
      </c>
    </row>
    <row r="332" spans="1:35" hidden="1" x14ac:dyDescent="0.3">
      <c r="A332" s="13">
        <v>46032</v>
      </c>
      <c r="B332" s="14" t="s">
        <v>2806</v>
      </c>
      <c r="C332" s="16"/>
      <c r="D332" s="16"/>
      <c r="E332" s="15" t="s">
        <v>849</v>
      </c>
      <c r="F332" s="15" t="s">
        <v>1243</v>
      </c>
      <c r="G332" s="15" t="s">
        <v>376</v>
      </c>
      <c r="H332" s="15"/>
      <c r="I332" s="15" t="s">
        <v>1917</v>
      </c>
      <c r="J332" s="15" t="s">
        <v>1918</v>
      </c>
      <c r="K332" s="16"/>
      <c r="L332" s="14" t="s">
        <v>2823</v>
      </c>
      <c r="M332" s="16"/>
      <c r="N332" s="15" t="s">
        <v>1034</v>
      </c>
      <c r="O332" s="14">
        <v>0.27</v>
      </c>
      <c r="P332" s="14" t="s">
        <v>2845</v>
      </c>
      <c r="Q332" s="14" cm="1">
        <f t="array" ref="Q332">_xlfn.IFS(P332="USD",O332,P332="VND",O332/26090,P332="JPY",O332/161)</f>
        <v>0.27</v>
      </c>
      <c r="R332" s="14">
        <v>25</v>
      </c>
      <c r="S332" s="14">
        <v>1</v>
      </c>
      <c r="T332" s="14"/>
      <c r="U332" s="14" t="s">
        <v>2849</v>
      </c>
      <c r="V332" s="14" t="s">
        <v>2857</v>
      </c>
      <c r="W332" s="14" t="s">
        <v>2858</v>
      </c>
      <c r="X332" s="17">
        <v>0</v>
      </c>
      <c r="Y332" s="15" t="s">
        <v>2875</v>
      </c>
      <c r="Z332" s="20">
        <v>46028</v>
      </c>
      <c r="AA332" s="20">
        <v>46393</v>
      </c>
      <c r="AB332" s="16"/>
      <c r="AC332" s="16"/>
      <c r="AD332" s="16"/>
      <c r="AE332" s="16" t="s">
        <v>2959</v>
      </c>
      <c r="AF332" s="16"/>
      <c r="AI332" s="3" t="str">
        <f t="shared" ca="1" si="5"/>
        <v>OK</v>
      </c>
    </row>
    <row r="333" spans="1:35" hidden="1" x14ac:dyDescent="0.3">
      <c r="A333" s="13">
        <v>46032</v>
      </c>
      <c r="B333" s="14" t="s">
        <v>2806</v>
      </c>
      <c r="C333" s="16"/>
      <c r="D333" s="16"/>
      <c r="E333" s="15" t="s">
        <v>849</v>
      </c>
      <c r="F333" s="15" t="s">
        <v>1243</v>
      </c>
      <c r="G333" s="15" t="s">
        <v>377</v>
      </c>
      <c r="H333" s="15"/>
      <c r="I333" s="15" t="s">
        <v>1919</v>
      </c>
      <c r="J333" s="15" t="s">
        <v>1920</v>
      </c>
      <c r="K333" s="16"/>
      <c r="L333" s="14" t="s">
        <v>2823</v>
      </c>
      <c r="M333" s="16"/>
      <c r="N333" s="15" t="s">
        <v>1034</v>
      </c>
      <c r="O333" s="14">
        <v>0.23</v>
      </c>
      <c r="P333" s="14" t="s">
        <v>2845</v>
      </c>
      <c r="Q333" s="14" cm="1">
        <f t="array" ref="Q333">_xlfn.IFS(P333="USD",O333,P333="VND",O333/26090,P333="JPY",O333/161)</f>
        <v>0.23</v>
      </c>
      <c r="R333" s="14">
        <v>25</v>
      </c>
      <c r="S333" s="14">
        <v>1</v>
      </c>
      <c r="T333" s="14"/>
      <c r="U333" s="14" t="s">
        <v>2849</v>
      </c>
      <c r="V333" s="14" t="s">
        <v>2857</v>
      </c>
      <c r="W333" s="14" t="s">
        <v>2858</v>
      </c>
      <c r="X333" s="17">
        <v>0</v>
      </c>
      <c r="Y333" s="15" t="s">
        <v>2875</v>
      </c>
      <c r="Z333" s="20">
        <v>46028</v>
      </c>
      <c r="AA333" s="20">
        <v>46393</v>
      </c>
      <c r="AB333" s="16"/>
      <c r="AC333" s="16"/>
      <c r="AD333" s="16"/>
      <c r="AE333" s="16" t="s">
        <v>2959</v>
      </c>
      <c r="AF333" s="16"/>
      <c r="AI333" s="3" t="str">
        <f t="shared" ca="1" si="5"/>
        <v>OK</v>
      </c>
    </row>
    <row r="334" spans="1:35" hidden="1" x14ac:dyDescent="0.3">
      <c r="A334" s="13">
        <v>46032</v>
      </c>
      <c r="B334" s="14" t="s">
        <v>2806</v>
      </c>
      <c r="C334" s="16"/>
      <c r="D334" s="16"/>
      <c r="E334" s="15" t="s">
        <v>887</v>
      </c>
      <c r="F334" s="15" t="s">
        <v>1272</v>
      </c>
      <c r="G334" s="15" t="s">
        <v>378</v>
      </c>
      <c r="H334" s="15"/>
      <c r="I334" s="15" t="s">
        <v>1921</v>
      </c>
      <c r="J334" s="15" t="s">
        <v>1922</v>
      </c>
      <c r="K334" s="16"/>
      <c r="L334" s="14" t="s">
        <v>2823</v>
      </c>
      <c r="M334" s="16"/>
      <c r="N334" s="15" t="s">
        <v>1054</v>
      </c>
      <c r="O334" s="14">
        <v>75000</v>
      </c>
      <c r="P334" s="14" t="s">
        <v>2846</v>
      </c>
      <c r="Q334" s="14" cm="1">
        <f t="array" ref="Q334">_xlfn.IFS(P334="USD",O334,P334="VND",O334/26090,P334="JPY",O334/161)</f>
        <v>2.8746646224607129</v>
      </c>
      <c r="R334" s="14">
        <v>15</v>
      </c>
      <c r="S334" s="14">
        <v>1</v>
      </c>
      <c r="T334" s="14"/>
      <c r="U334" s="14" t="s">
        <v>2848</v>
      </c>
      <c r="V334" s="14" t="s">
        <v>2857</v>
      </c>
      <c r="W334" s="14" t="s">
        <v>2858</v>
      </c>
      <c r="X334" s="17">
        <v>0</v>
      </c>
      <c r="Y334" s="15" t="s">
        <v>2875</v>
      </c>
      <c r="Z334" s="20">
        <v>46089</v>
      </c>
      <c r="AA334" s="18"/>
      <c r="AB334" s="16"/>
      <c r="AC334" s="16"/>
      <c r="AD334" s="16"/>
      <c r="AE334" s="16" t="s">
        <v>2983</v>
      </c>
      <c r="AF334" s="16"/>
      <c r="AI334" s="3" t="str">
        <f t="shared" ca="1" si="5"/>
        <v>OK</v>
      </c>
    </row>
    <row r="335" spans="1:35" hidden="1" x14ac:dyDescent="0.3">
      <c r="A335" s="13">
        <v>46032</v>
      </c>
      <c r="B335" s="14" t="s">
        <v>2806</v>
      </c>
      <c r="C335" s="16"/>
      <c r="D335" s="16"/>
      <c r="E335" s="15" t="s">
        <v>875</v>
      </c>
      <c r="F335" s="15" t="s">
        <v>1261</v>
      </c>
      <c r="G335" s="15" t="s">
        <v>379</v>
      </c>
      <c r="H335" s="15"/>
      <c r="I335" s="15" t="s">
        <v>1923</v>
      </c>
      <c r="J335" s="15" t="s">
        <v>1924</v>
      </c>
      <c r="K335" s="16"/>
      <c r="L335" s="14" t="s">
        <v>2823</v>
      </c>
      <c r="M335" s="16"/>
      <c r="N335" s="15" t="s">
        <v>1033</v>
      </c>
      <c r="O335" s="14">
        <v>1.31</v>
      </c>
      <c r="P335" s="14" t="s">
        <v>2845</v>
      </c>
      <c r="Q335" s="14" cm="1">
        <f t="array" ref="Q335">_xlfn.IFS(P335="USD",O335,P335="VND",O335/26090,P335="JPY",O335/161)</f>
        <v>1.31</v>
      </c>
      <c r="R335" s="14">
        <v>42</v>
      </c>
      <c r="S335" s="14">
        <v>1</v>
      </c>
      <c r="T335" s="14"/>
      <c r="U335" s="14" t="s">
        <v>2848</v>
      </c>
      <c r="V335" s="14" t="s">
        <v>2857</v>
      </c>
      <c r="W335" s="14" t="s">
        <v>2858</v>
      </c>
      <c r="X335" s="17">
        <v>0</v>
      </c>
      <c r="Y335" s="15" t="s">
        <v>2875</v>
      </c>
      <c r="Z335" s="18" t="s">
        <v>2935</v>
      </c>
      <c r="AA335" s="18"/>
      <c r="AB335" s="16"/>
      <c r="AC335" s="16"/>
      <c r="AD335" s="16"/>
      <c r="AE335" s="16" t="s">
        <v>2999</v>
      </c>
      <c r="AF335" s="16"/>
      <c r="AI335" s="3" t="str">
        <f t="shared" ca="1" si="5"/>
        <v>OK</v>
      </c>
    </row>
    <row r="336" spans="1:35" x14ac:dyDescent="0.3">
      <c r="A336" s="13">
        <v>46032</v>
      </c>
      <c r="B336" s="14" t="s">
        <v>2806</v>
      </c>
      <c r="C336" s="16"/>
      <c r="D336" s="16"/>
      <c r="E336" s="15" t="s">
        <v>876</v>
      </c>
      <c r="F336" s="15" t="s">
        <v>1262</v>
      </c>
      <c r="G336" s="15" t="s">
        <v>380</v>
      </c>
      <c r="H336" s="15"/>
      <c r="I336" s="15" t="s">
        <v>1925</v>
      </c>
      <c r="J336" s="15" t="s">
        <v>1926</v>
      </c>
      <c r="K336" s="16"/>
      <c r="L336" s="14" t="s">
        <v>2823</v>
      </c>
      <c r="M336" s="16"/>
      <c r="N336" s="15" t="s">
        <v>1055</v>
      </c>
      <c r="O336" s="14">
        <v>61985</v>
      </c>
      <c r="P336" s="14" t="s">
        <v>2846</v>
      </c>
      <c r="Q336" s="14" cm="1">
        <f t="array" ref="Q336">_xlfn.IFS(P336="USD",O336,P336="VND",O336/26090,P336="JPY",O336/161)</f>
        <v>2.3758144883096972</v>
      </c>
      <c r="R336" s="14">
        <v>45</v>
      </c>
      <c r="S336" s="14">
        <v>1</v>
      </c>
      <c r="T336" s="14"/>
      <c r="U336" s="14" t="s">
        <v>2848</v>
      </c>
      <c r="V336" s="14" t="s">
        <v>2857</v>
      </c>
      <c r="W336" s="14" t="s">
        <v>2858</v>
      </c>
      <c r="X336" s="17">
        <v>0</v>
      </c>
      <c r="Y336" s="15" t="s">
        <v>2875</v>
      </c>
      <c r="Z336" s="18" t="s">
        <v>2944</v>
      </c>
      <c r="AA336" s="22" t="s">
        <v>2949</v>
      </c>
      <c r="AB336" s="16"/>
      <c r="AC336" s="16"/>
      <c r="AD336" s="16"/>
      <c r="AE336" s="16" t="s">
        <v>2950</v>
      </c>
      <c r="AF336" s="16"/>
      <c r="AI336" s="3" t="str">
        <f t="shared" ca="1" si="5"/>
        <v>OK</v>
      </c>
    </row>
    <row r="337" spans="1:35" x14ac:dyDescent="0.3">
      <c r="A337" s="13">
        <v>46032</v>
      </c>
      <c r="B337" s="14" t="s">
        <v>2806</v>
      </c>
      <c r="C337" s="16"/>
      <c r="D337" s="16"/>
      <c r="E337" s="15" t="s">
        <v>876</v>
      </c>
      <c r="F337" s="15" t="s">
        <v>1262</v>
      </c>
      <c r="G337" s="15" t="s">
        <v>381</v>
      </c>
      <c r="H337" s="15"/>
      <c r="I337" s="15" t="s">
        <v>1927</v>
      </c>
      <c r="J337" s="15" t="s">
        <v>1928</v>
      </c>
      <c r="K337" s="16"/>
      <c r="L337" s="14" t="s">
        <v>2823</v>
      </c>
      <c r="M337" s="16"/>
      <c r="N337" s="15" t="s">
        <v>1055</v>
      </c>
      <c r="O337" s="14">
        <v>80001</v>
      </c>
      <c r="P337" s="14" t="s">
        <v>2846</v>
      </c>
      <c r="Q337" s="14" cm="1">
        <f t="array" ref="Q337">_xlfn.IFS(P337="USD",O337,P337="VND",O337/26090,P337="JPY",O337/161)</f>
        <v>3.0663472594863932</v>
      </c>
      <c r="R337" s="14">
        <v>45</v>
      </c>
      <c r="S337" s="14">
        <v>1</v>
      </c>
      <c r="T337" s="14"/>
      <c r="U337" s="14" t="s">
        <v>2848</v>
      </c>
      <c r="V337" s="14" t="s">
        <v>2857</v>
      </c>
      <c r="W337" s="14" t="s">
        <v>2858</v>
      </c>
      <c r="X337" s="17">
        <v>0</v>
      </c>
      <c r="Y337" s="15" t="s">
        <v>2875</v>
      </c>
      <c r="Z337" s="18" t="s">
        <v>2944</v>
      </c>
      <c r="AA337" s="22" t="s">
        <v>2949</v>
      </c>
      <c r="AB337" s="16"/>
      <c r="AC337" s="16"/>
      <c r="AD337" s="16"/>
      <c r="AE337" s="16" t="s">
        <v>2950</v>
      </c>
      <c r="AF337" s="16"/>
      <c r="AI337" s="3" t="str">
        <f t="shared" ca="1" si="5"/>
        <v>OK</v>
      </c>
    </row>
    <row r="338" spans="1:35" x14ac:dyDescent="0.3">
      <c r="A338" s="13">
        <v>46032</v>
      </c>
      <c r="B338" s="14" t="s">
        <v>2806</v>
      </c>
      <c r="C338" s="16"/>
      <c r="D338" s="16"/>
      <c r="E338" s="15" t="s">
        <v>876</v>
      </c>
      <c r="F338" s="15" t="s">
        <v>1262</v>
      </c>
      <c r="G338" s="15" t="s">
        <v>382</v>
      </c>
      <c r="H338" s="15"/>
      <c r="I338" s="15" t="s">
        <v>1929</v>
      </c>
      <c r="J338" s="15" t="s">
        <v>1930</v>
      </c>
      <c r="K338" s="16"/>
      <c r="L338" s="14" t="s">
        <v>2823</v>
      </c>
      <c r="M338" s="16"/>
      <c r="N338" s="15" t="s">
        <v>1055</v>
      </c>
      <c r="O338" s="14">
        <v>121226</v>
      </c>
      <c r="P338" s="14" t="s">
        <v>2846</v>
      </c>
      <c r="Q338" s="14" cm="1">
        <f t="array" ref="Q338">_xlfn.IFS(P338="USD",O338,P338="VND",O338/26090,P338="JPY",O338/161)</f>
        <v>4.6464545802989647</v>
      </c>
      <c r="R338" s="14">
        <v>45</v>
      </c>
      <c r="S338" s="14">
        <v>1</v>
      </c>
      <c r="T338" s="14"/>
      <c r="U338" s="14" t="s">
        <v>2848</v>
      </c>
      <c r="V338" s="14" t="s">
        <v>2857</v>
      </c>
      <c r="W338" s="14" t="s">
        <v>2858</v>
      </c>
      <c r="X338" s="17">
        <v>0</v>
      </c>
      <c r="Y338" s="15" t="s">
        <v>2875</v>
      </c>
      <c r="Z338" s="18" t="s">
        <v>2944</v>
      </c>
      <c r="AA338" s="22" t="s">
        <v>2949</v>
      </c>
      <c r="AB338" s="16"/>
      <c r="AC338" s="16"/>
      <c r="AD338" s="16"/>
      <c r="AE338" s="16" t="s">
        <v>2950</v>
      </c>
      <c r="AF338" s="16"/>
      <c r="AI338" s="3" t="str">
        <f t="shared" ca="1" si="5"/>
        <v>OK</v>
      </c>
    </row>
    <row r="339" spans="1:35" hidden="1" x14ac:dyDescent="0.3">
      <c r="A339" s="13">
        <v>46032</v>
      </c>
      <c r="B339" s="14" t="s">
        <v>2806</v>
      </c>
      <c r="C339" s="16"/>
      <c r="D339" s="16"/>
      <c r="E339" s="15" t="s">
        <v>859</v>
      </c>
      <c r="F339" s="15" t="s">
        <v>908</v>
      </c>
      <c r="G339" s="15" t="s">
        <v>383</v>
      </c>
      <c r="H339" s="15"/>
      <c r="I339" s="15" t="s">
        <v>1931</v>
      </c>
      <c r="J339" s="15" t="s">
        <v>1932</v>
      </c>
      <c r="K339" s="16"/>
      <c r="L339" s="14" t="s">
        <v>2824</v>
      </c>
      <c r="M339" s="16"/>
      <c r="N339" s="15" t="s">
        <v>1056</v>
      </c>
      <c r="O339" s="14">
        <v>0.52</v>
      </c>
      <c r="P339" s="14" t="s">
        <v>2845</v>
      </c>
      <c r="Q339" s="14" cm="1">
        <f t="array" ref="Q339">_xlfn.IFS(P339="USD",O339,P339="VND",O339/26090,P339="JPY",O339/161)</f>
        <v>0.52</v>
      </c>
      <c r="R339" s="14">
        <v>10</v>
      </c>
      <c r="S339" s="14">
        <v>1</v>
      </c>
      <c r="T339" s="14"/>
      <c r="U339" s="14" t="s">
        <v>2848</v>
      </c>
      <c r="V339" s="14" t="s">
        <v>2857</v>
      </c>
      <c r="W339" s="14" t="s">
        <v>2858</v>
      </c>
      <c r="X339" s="17">
        <v>0</v>
      </c>
      <c r="Y339" s="15" t="s">
        <v>2875</v>
      </c>
      <c r="Z339" s="20">
        <v>45664</v>
      </c>
      <c r="AA339" s="18"/>
      <c r="AB339" s="16"/>
      <c r="AC339" s="16"/>
      <c r="AD339" s="16"/>
      <c r="AE339" s="16" t="s">
        <v>3033</v>
      </c>
      <c r="AF339" s="16"/>
      <c r="AI339" s="3" t="str">
        <f t="shared" ca="1" si="5"/>
        <v>OK</v>
      </c>
    </row>
    <row r="340" spans="1:35" x14ac:dyDescent="0.3">
      <c r="A340" s="13">
        <v>46032</v>
      </c>
      <c r="B340" s="14" t="s">
        <v>2806</v>
      </c>
      <c r="C340" s="16"/>
      <c r="D340" s="16"/>
      <c r="E340" s="15" t="s">
        <v>862</v>
      </c>
      <c r="F340" s="15" t="s">
        <v>1251</v>
      </c>
      <c r="G340" s="15" t="s">
        <v>384</v>
      </c>
      <c r="H340" s="15"/>
      <c r="I340" s="15" t="s">
        <v>1933</v>
      </c>
      <c r="J340" s="15" t="s">
        <v>1934</v>
      </c>
      <c r="K340" s="16"/>
      <c r="L340" s="14" t="s">
        <v>2838</v>
      </c>
      <c r="M340" s="16"/>
      <c r="N340" s="15" t="s">
        <v>1057</v>
      </c>
      <c r="O340" s="14">
        <v>34000</v>
      </c>
      <c r="P340" s="14" t="s">
        <v>2846</v>
      </c>
      <c r="Q340" s="14" cm="1">
        <f t="array" ref="Q340">_xlfn.IFS(P340="USD",O340,P340="VND",O340/26090,P340="JPY",O340/161)</f>
        <v>1.3031812955155231</v>
      </c>
      <c r="R340" s="14">
        <v>10</v>
      </c>
      <c r="S340" s="14">
        <v>200</v>
      </c>
      <c r="T340" s="14"/>
      <c r="U340" s="14" t="s">
        <v>2848</v>
      </c>
      <c r="V340" s="14" t="s">
        <v>2857</v>
      </c>
      <c r="W340" s="14" t="s">
        <v>2858</v>
      </c>
      <c r="X340" s="17">
        <v>0</v>
      </c>
      <c r="Y340" s="15" t="s">
        <v>2875</v>
      </c>
      <c r="Z340" s="18" t="s">
        <v>2929</v>
      </c>
      <c r="AA340" s="22" t="s">
        <v>2931</v>
      </c>
      <c r="AB340" s="16"/>
      <c r="AC340" s="16"/>
      <c r="AD340" s="16"/>
      <c r="AE340" s="16" t="s">
        <v>2933</v>
      </c>
      <c r="AF340" s="16"/>
      <c r="AI340" s="3" t="str">
        <f t="shared" ca="1" si="5"/>
        <v>OK</v>
      </c>
    </row>
    <row r="341" spans="1:35" x14ac:dyDescent="0.3">
      <c r="A341" s="13">
        <v>46032</v>
      </c>
      <c r="B341" s="14" t="s">
        <v>2806</v>
      </c>
      <c r="C341" s="16"/>
      <c r="D341" s="16"/>
      <c r="E341" s="15" t="s">
        <v>862</v>
      </c>
      <c r="F341" s="15" t="s">
        <v>1251</v>
      </c>
      <c r="G341" s="15" t="s">
        <v>385</v>
      </c>
      <c r="H341" s="15"/>
      <c r="I341" s="15" t="s">
        <v>1935</v>
      </c>
      <c r="J341" s="15" t="s">
        <v>1934</v>
      </c>
      <c r="K341" s="16"/>
      <c r="L341" s="14" t="s">
        <v>2838</v>
      </c>
      <c r="M341" s="16"/>
      <c r="N341" s="15" t="s">
        <v>1058</v>
      </c>
      <c r="O341" s="14">
        <v>34000</v>
      </c>
      <c r="P341" s="14" t="s">
        <v>2846</v>
      </c>
      <c r="Q341" s="14" cm="1">
        <f t="array" ref="Q341">_xlfn.IFS(P341="USD",O341,P341="VND",O341/26090,P341="JPY",O341/161)</f>
        <v>1.3031812955155231</v>
      </c>
      <c r="R341" s="14">
        <v>10</v>
      </c>
      <c r="S341" s="14">
        <v>200</v>
      </c>
      <c r="T341" s="14"/>
      <c r="U341" s="14" t="s">
        <v>2848</v>
      </c>
      <c r="V341" s="14" t="s">
        <v>2857</v>
      </c>
      <c r="W341" s="14" t="s">
        <v>2858</v>
      </c>
      <c r="X341" s="17">
        <v>0</v>
      </c>
      <c r="Y341" s="15" t="s">
        <v>2875</v>
      </c>
      <c r="Z341" s="18" t="s">
        <v>2929</v>
      </c>
      <c r="AA341" s="22" t="s">
        <v>2931</v>
      </c>
      <c r="AB341" s="16"/>
      <c r="AC341" s="16"/>
      <c r="AD341" s="16"/>
      <c r="AE341" s="16" t="s">
        <v>2933</v>
      </c>
      <c r="AF341" s="16"/>
      <c r="AI341" s="3" t="str">
        <f t="shared" ca="1" si="5"/>
        <v>OK</v>
      </c>
    </row>
    <row r="342" spans="1:35" hidden="1" x14ac:dyDescent="0.3">
      <c r="A342" s="13">
        <v>46032</v>
      </c>
      <c r="B342" s="14" t="s">
        <v>2806</v>
      </c>
      <c r="C342" s="16"/>
      <c r="D342" s="16"/>
      <c r="E342" s="15" t="s">
        <v>875</v>
      </c>
      <c r="F342" s="15" t="s">
        <v>1261</v>
      </c>
      <c r="G342" s="15" t="s">
        <v>386</v>
      </c>
      <c r="H342" s="15"/>
      <c r="I342" s="15" t="s">
        <v>1936</v>
      </c>
      <c r="J342" s="15" t="s">
        <v>1937</v>
      </c>
      <c r="K342" s="16"/>
      <c r="L342" s="14" t="s">
        <v>2823</v>
      </c>
      <c r="M342" s="16"/>
      <c r="N342" s="15" t="s">
        <v>1033</v>
      </c>
      <c r="O342" s="14">
        <v>26.9</v>
      </c>
      <c r="P342" s="14" t="s">
        <v>2845</v>
      </c>
      <c r="Q342" s="14" cm="1">
        <f t="array" ref="Q342">_xlfn.IFS(P342="USD",O342,P342="VND",O342/26090,P342="JPY",O342/161)</f>
        <v>26.9</v>
      </c>
      <c r="R342" s="14">
        <v>42</v>
      </c>
      <c r="S342" s="14">
        <v>1</v>
      </c>
      <c r="T342" s="14"/>
      <c r="U342" s="14" t="s">
        <v>2848</v>
      </c>
      <c r="V342" s="14" t="s">
        <v>2857</v>
      </c>
      <c r="W342" s="14" t="s">
        <v>2858</v>
      </c>
      <c r="X342" s="17">
        <v>0</v>
      </c>
      <c r="Y342" s="15" t="s">
        <v>2875</v>
      </c>
      <c r="Z342" s="18" t="s">
        <v>2935</v>
      </c>
      <c r="AA342" s="18"/>
      <c r="AB342" s="16"/>
      <c r="AC342" s="16"/>
      <c r="AD342" s="16"/>
      <c r="AE342" s="16" t="s">
        <v>2999</v>
      </c>
      <c r="AF342" s="16"/>
      <c r="AI342" s="3" t="str">
        <f t="shared" ca="1" si="5"/>
        <v>OK</v>
      </c>
    </row>
    <row r="343" spans="1:35" x14ac:dyDescent="0.3">
      <c r="A343" s="13">
        <v>46032</v>
      </c>
      <c r="B343" s="14" t="s">
        <v>2806</v>
      </c>
      <c r="C343" s="16"/>
      <c r="D343" s="16"/>
      <c r="E343" s="15" t="s">
        <v>862</v>
      </c>
      <c r="F343" s="15" t="s">
        <v>1251</v>
      </c>
      <c r="G343" s="15" t="s">
        <v>387</v>
      </c>
      <c r="H343" s="15"/>
      <c r="I343" s="15" t="s">
        <v>1938</v>
      </c>
      <c r="J343" s="15" t="s">
        <v>1939</v>
      </c>
      <c r="K343" s="16"/>
      <c r="L343" s="14" t="s">
        <v>2807</v>
      </c>
      <c r="M343" s="16"/>
      <c r="N343" s="15" t="s">
        <v>1059</v>
      </c>
      <c r="O343" s="14">
        <v>73500</v>
      </c>
      <c r="P343" s="14" t="s">
        <v>2846</v>
      </c>
      <c r="Q343" s="14" cm="1">
        <f t="array" ref="Q343">_xlfn.IFS(P343="USD",O343,P343="VND",O343/26090,P343="JPY",O343/161)</f>
        <v>2.8171713300114987</v>
      </c>
      <c r="R343" s="14">
        <v>7</v>
      </c>
      <c r="S343" s="14">
        <v>100</v>
      </c>
      <c r="T343" s="14"/>
      <c r="U343" s="14" t="s">
        <v>2848</v>
      </c>
      <c r="V343" s="14" t="s">
        <v>2857</v>
      </c>
      <c r="W343" s="14" t="s">
        <v>2858</v>
      </c>
      <c r="X343" s="17">
        <v>0</v>
      </c>
      <c r="Y343" s="15" t="s">
        <v>2875</v>
      </c>
      <c r="Z343" s="18" t="s">
        <v>2929</v>
      </c>
      <c r="AA343" s="22" t="s">
        <v>2931</v>
      </c>
      <c r="AB343" s="16"/>
      <c r="AC343" s="16"/>
      <c r="AD343" s="16"/>
      <c r="AE343" s="16" t="s">
        <v>2933</v>
      </c>
      <c r="AF343" s="16"/>
      <c r="AI343" s="3" t="str">
        <f t="shared" ca="1" si="5"/>
        <v>OK</v>
      </c>
    </row>
    <row r="344" spans="1:35" x14ac:dyDescent="0.3">
      <c r="A344" s="13">
        <v>46032</v>
      </c>
      <c r="B344" s="14" t="s">
        <v>2806</v>
      </c>
      <c r="C344" s="16"/>
      <c r="D344" s="16"/>
      <c r="E344" s="15" t="s">
        <v>876</v>
      </c>
      <c r="F344" s="15" t="s">
        <v>1262</v>
      </c>
      <c r="G344" s="15" t="s">
        <v>388</v>
      </c>
      <c r="H344" s="15"/>
      <c r="I344" s="15" t="s">
        <v>1925</v>
      </c>
      <c r="J344" s="15" t="s">
        <v>1940</v>
      </c>
      <c r="K344" s="16"/>
      <c r="L344" s="14" t="s">
        <v>2823</v>
      </c>
      <c r="M344" s="16"/>
      <c r="N344" s="15" t="s">
        <v>1060</v>
      </c>
      <c r="O344" s="14">
        <v>65867</v>
      </c>
      <c r="P344" s="14" t="s">
        <v>2846</v>
      </c>
      <c r="Q344" s="14" cm="1">
        <f t="array" ref="Q344">_xlfn.IFS(P344="USD",O344,P344="VND",O344/26090,P344="JPY",O344/161)</f>
        <v>2.5246071291682637</v>
      </c>
      <c r="R344" s="14">
        <v>45</v>
      </c>
      <c r="S344" s="14">
        <v>1</v>
      </c>
      <c r="T344" s="14"/>
      <c r="U344" s="14" t="s">
        <v>2848</v>
      </c>
      <c r="V344" s="14" t="s">
        <v>2857</v>
      </c>
      <c r="W344" s="14" t="s">
        <v>2858</v>
      </c>
      <c r="X344" s="17">
        <v>0</v>
      </c>
      <c r="Y344" s="15" t="s">
        <v>2875</v>
      </c>
      <c r="Z344" s="18" t="s">
        <v>2944</v>
      </c>
      <c r="AA344" s="22" t="s">
        <v>2949</v>
      </c>
      <c r="AB344" s="16"/>
      <c r="AC344" s="16"/>
      <c r="AD344" s="16"/>
      <c r="AE344" s="16" t="s">
        <v>2950</v>
      </c>
      <c r="AF344" s="16"/>
      <c r="AI344" s="3" t="str">
        <f t="shared" ca="1" si="5"/>
        <v>OK</v>
      </c>
    </row>
    <row r="345" spans="1:35" hidden="1" x14ac:dyDescent="0.3">
      <c r="A345" s="13">
        <v>46032</v>
      </c>
      <c r="B345" s="14" t="s">
        <v>2806</v>
      </c>
      <c r="C345" s="16"/>
      <c r="D345" s="16"/>
      <c r="E345" s="15" t="s">
        <v>859</v>
      </c>
      <c r="F345" s="15" t="s">
        <v>908</v>
      </c>
      <c r="G345" s="15" t="s">
        <v>389</v>
      </c>
      <c r="H345" s="15"/>
      <c r="I345" s="15" t="s">
        <v>1941</v>
      </c>
      <c r="J345" s="15" t="s">
        <v>1942</v>
      </c>
      <c r="K345" s="16"/>
      <c r="L345" s="14" t="s">
        <v>2839</v>
      </c>
      <c r="M345" s="16"/>
      <c r="N345" s="15" t="s">
        <v>1061</v>
      </c>
      <c r="O345" s="14">
        <v>0.15</v>
      </c>
      <c r="P345" s="14" t="s">
        <v>2845</v>
      </c>
      <c r="Q345" s="14" cm="1">
        <f t="array" ref="Q345">_xlfn.IFS(P345="USD",O345,P345="VND",O345/26090,P345="JPY",O345/161)</f>
        <v>0.15</v>
      </c>
      <c r="R345" s="14">
        <v>10</v>
      </c>
      <c r="S345" s="14">
        <v>1</v>
      </c>
      <c r="T345" s="14"/>
      <c r="U345" s="14" t="s">
        <v>2848</v>
      </c>
      <c r="V345" s="14" t="s">
        <v>2857</v>
      </c>
      <c r="W345" s="14" t="s">
        <v>2858</v>
      </c>
      <c r="X345" s="17">
        <v>0</v>
      </c>
      <c r="Y345" s="15" t="s">
        <v>2875</v>
      </c>
      <c r="Z345" s="20">
        <v>45664</v>
      </c>
      <c r="AA345" s="18"/>
      <c r="AB345" s="16"/>
      <c r="AC345" s="16"/>
      <c r="AD345" s="16"/>
      <c r="AE345" s="16" t="s">
        <v>3033</v>
      </c>
      <c r="AF345" s="16"/>
      <c r="AI345" s="3" t="str">
        <f t="shared" ca="1" si="5"/>
        <v>OK</v>
      </c>
    </row>
    <row r="346" spans="1:35" hidden="1" x14ac:dyDescent="0.3">
      <c r="A346" s="13">
        <v>46032</v>
      </c>
      <c r="B346" s="14" t="s">
        <v>2806</v>
      </c>
      <c r="C346" s="16"/>
      <c r="D346" s="16"/>
      <c r="E346" s="15" t="s">
        <v>859</v>
      </c>
      <c r="F346" s="15" t="s">
        <v>908</v>
      </c>
      <c r="G346" s="15" t="s">
        <v>390</v>
      </c>
      <c r="H346" s="15"/>
      <c r="I346" s="15" t="s">
        <v>1943</v>
      </c>
      <c r="J346" s="15" t="s">
        <v>1944</v>
      </c>
      <c r="K346" s="16"/>
      <c r="L346" s="14" t="s">
        <v>2833</v>
      </c>
      <c r="M346" s="16"/>
      <c r="N346" s="15" t="s">
        <v>1011</v>
      </c>
      <c r="O346" s="14">
        <v>1.77</v>
      </c>
      <c r="P346" s="14" t="s">
        <v>2845</v>
      </c>
      <c r="Q346" s="14" cm="1">
        <f t="array" ref="Q346">_xlfn.IFS(P346="USD",O346,P346="VND",O346/26090,P346="JPY",O346/161)</f>
        <v>1.77</v>
      </c>
      <c r="R346" s="14">
        <v>10</v>
      </c>
      <c r="S346" s="14">
        <v>1</v>
      </c>
      <c r="T346" s="14"/>
      <c r="U346" s="14" t="s">
        <v>2848</v>
      </c>
      <c r="V346" s="14" t="s">
        <v>2857</v>
      </c>
      <c r="W346" s="14" t="s">
        <v>2858</v>
      </c>
      <c r="X346" s="17">
        <v>0</v>
      </c>
      <c r="Y346" s="15" t="s">
        <v>2875</v>
      </c>
      <c r="Z346" s="20">
        <v>45664</v>
      </c>
      <c r="AA346" s="18"/>
      <c r="AB346" s="16"/>
      <c r="AC346" s="16"/>
      <c r="AD346" s="16"/>
      <c r="AE346" s="16" t="s">
        <v>3033</v>
      </c>
      <c r="AF346" s="16"/>
      <c r="AI346" s="3" t="str">
        <f t="shared" ca="1" si="5"/>
        <v>OK</v>
      </c>
    </row>
    <row r="347" spans="1:35" hidden="1" x14ac:dyDescent="0.3">
      <c r="A347" s="13">
        <v>46032</v>
      </c>
      <c r="B347" s="14" t="s">
        <v>2806</v>
      </c>
      <c r="C347" s="16"/>
      <c r="D347" s="16"/>
      <c r="E347" s="15" t="s">
        <v>872</v>
      </c>
      <c r="F347" s="15" t="s">
        <v>1258</v>
      </c>
      <c r="G347" s="15" t="s">
        <v>391</v>
      </c>
      <c r="H347" s="15"/>
      <c r="I347" s="15" t="s">
        <v>1945</v>
      </c>
      <c r="J347" s="15" t="s">
        <v>1946</v>
      </c>
      <c r="K347" s="16"/>
      <c r="L347" s="14" t="s">
        <v>2823</v>
      </c>
      <c r="M347" s="16"/>
      <c r="N347" s="15" t="s">
        <v>1062</v>
      </c>
      <c r="O347" s="14">
        <v>54.2</v>
      </c>
      <c r="P347" s="14" t="s">
        <v>2845</v>
      </c>
      <c r="Q347" s="14" cm="1">
        <f t="array" ref="Q347">_xlfn.IFS(P347="USD",O347,P347="VND",O347/26090,P347="JPY",O347/161)</f>
        <v>54.2</v>
      </c>
      <c r="R347" s="14">
        <v>14</v>
      </c>
      <c r="S347" s="14">
        <v>1</v>
      </c>
      <c r="T347" s="14"/>
      <c r="U347" s="14" t="s">
        <v>2849</v>
      </c>
      <c r="V347" s="14" t="s">
        <v>2857</v>
      </c>
      <c r="W347" s="14" t="s">
        <v>2858</v>
      </c>
      <c r="X347" s="17">
        <v>0</v>
      </c>
      <c r="Y347" s="15" t="s">
        <v>2893</v>
      </c>
      <c r="Z347" s="18" t="s">
        <v>2930</v>
      </c>
      <c r="AA347" s="18"/>
      <c r="AB347" s="16"/>
      <c r="AC347" s="16"/>
      <c r="AD347" s="16"/>
      <c r="AE347" s="16" t="s">
        <v>2953</v>
      </c>
      <c r="AF347" s="16"/>
      <c r="AI347" s="3" t="str">
        <f t="shared" ca="1" si="5"/>
        <v>OK</v>
      </c>
    </row>
    <row r="348" spans="1:35" hidden="1" x14ac:dyDescent="0.3">
      <c r="A348" s="13">
        <v>46032</v>
      </c>
      <c r="B348" s="14" t="s">
        <v>2806</v>
      </c>
      <c r="C348" s="16"/>
      <c r="D348" s="16"/>
      <c r="E348" s="15" t="s">
        <v>875</v>
      </c>
      <c r="F348" s="15" t="s">
        <v>1261</v>
      </c>
      <c r="G348" s="15" t="s">
        <v>392</v>
      </c>
      <c r="H348" s="15"/>
      <c r="I348" s="15" t="s">
        <v>1947</v>
      </c>
      <c r="J348" s="15" t="s">
        <v>1948</v>
      </c>
      <c r="K348" s="16"/>
      <c r="L348" s="14" t="s">
        <v>2823</v>
      </c>
      <c r="M348" s="16"/>
      <c r="N348" s="15" t="s">
        <v>1063</v>
      </c>
      <c r="O348" s="14">
        <v>1.18</v>
      </c>
      <c r="P348" s="14" t="s">
        <v>2845</v>
      </c>
      <c r="Q348" s="14" cm="1">
        <f t="array" ref="Q348">_xlfn.IFS(P348="USD",O348,P348="VND",O348/26090,P348="JPY",O348/161)</f>
        <v>1.18</v>
      </c>
      <c r="R348" s="14">
        <v>42</v>
      </c>
      <c r="S348" s="14">
        <v>1</v>
      </c>
      <c r="T348" s="14"/>
      <c r="U348" s="14" t="s">
        <v>2848</v>
      </c>
      <c r="V348" s="14" t="s">
        <v>2857</v>
      </c>
      <c r="W348" s="14" t="s">
        <v>2858</v>
      </c>
      <c r="X348" s="17">
        <v>0</v>
      </c>
      <c r="Y348" s="15" t="s">
        <v>2875</v>
      </c>
      <c r="Z348" s="18" t="s">
        <v>2935</v>
      </c>
      <c r="AA348" s="18"/>
      <c r="AB348" s="16"/>
      <c r="AC348" s="16"/>
      <c r="AD348" s="16"/>
      <c r="AE348" s="16" t="s">
        <v>2999</v>
      </c>
      <c r="AF348" s="16"/>
      <c r="AI348" s="3" t="str">
        <f t="shared" ca="1" si="5"/>
        <v>OK</v>
      </c>
    </row>
    <row r="349" spans="1:35" hidden="1" x14ac:dyDescent="0.3">
      <c r="A349" s="13">
        <v>46032</v>
      </c>
      <c r="B349" s="14" t="s">
        <v>2806</v>
      </c>
      <c r="C349" s="16"/>
      <c r="D349" s="16"/>
      <c r="E349" s="15" t="s">
        <v>872</v>
      </c>
      <c r="F349" s="15" t="s">
        <v>1258</v>
      </c>
      <c r="G349" s="15" t="s">
        <v>393</v>
      </c>
      <c r="H349" s="15"/>
      <c r="I349" s="15" t="s">
        <v>1949</v>
      </c>
      <c r="J349" s="15" t="s">
        <v>1950</v>
      </c>
      <c r="K349" s="16"/>
      <c r="L349" s="14" t="s">
        <v>2823</v>
      </c>
      <c r="M349" s="16"/>
      <c r="N349" s="15" t="s">
        <v>1064</v>
      </c>
      <c r="O349" s="14">
        <v>33.799999999999997</v>
      </c>
      <c r="P349" s="14" t="s">
        <v>2845</v>
      </c>
      <c r="Q349" s="14" cm="1">
        <f t="array" ref="Q349">_xlfn.IFS(P349="USD",O349,P349="VND",O349/26090,P349="JPY",O349/161)</f>
        <v>33.799999999999997</v>
      </c>
      <c r="R349" s="14">
        <v>14</v>
      </c>
      <c r="S349" s="14">
        <v>1</v>
      </c>
      <c r="T349" s="14"/>
      <c r="U349" s="14" t="s">
        <v>2849</v>
      </c>
      <c r="V349" s="14" t="s">
        <v>2857</v>
      </c>
      <c r="W349" s="14" t="s">
        <v>2858</v>
      </c>
      <c r="X349" s="17">
        <v>0</v>
      </c>
      <c r="Y349" s="15" t="s">
        <v>2893</v>
      </c>
      <c r="Z349" s="18" t="s">
        <v>2930</v>
      </c>
      <c r="AA349" s="18"/>
      <c r="AB349" s="16"/>
      <c r="AC349" s="16"/>
      <c r="AD349" s="16"/>
      <c r="AE349" s="16" t="s">
        <v>2953</v>
      </c>
      <c r="AF349" s="16"/>
      <c r="AI349" s="3" t="str">
        <f t="shared" ca="1" si="5"/>
        <v>OK</v>
      </c>
    </row>
    <row r="350" spans="1:35" hidden="1" x14ac:dyDescent="0.3">
      <c r="A350" s="13">
        <v>46032</v>
      </c>
      <c r="B350" s="14" t="s">
        <v>2806</v>
      </c>
      <c r="C350" s="16"/>
      <c r="D350" s="16"/>
      <c r="E350" s="15" t="s">
        <v>872</v>
      </c>
      <c r="F350" s="15" t="s">
        <v>1258</v>
      </c>
      <c r="G350" s="15" t="s">
        <v>394</v>
      </c>
      <c r="H350" s="15"/>
      <c r="I350" s="15" t="s">
        <v>1951</v>
      </c>
      <c r="J350" s="15" t="s">
        <v>1952</v>
      </c>
      <c r="K350" s="16"/>
      <c r="L350" s="14" t="s">
        <v>2823</v>
      </c>
      <c r="M350" s="16"/>
      <c r="N350" s="15" t="s">
        <v>1065</v>
      </c>
      <c r="O350" s="14">
        <v>38.299999999999997</v>
      </c>
      <c r="P350" s="14" t="s">
        <v>2845</v>
      </c>
      <c r="Q350" s="14" cm="1">
        <f t="array" ref="Q350">_xlfn.IFS(P350="USD",O350,P350="VND",O350/26090,P350="JPY",O350/161)</f>
        <v>38.299999999999997</v>
      </c>
      <c r="R350" s="14">
        <v>21</v>
      </c>
      <c r="S350" s="14">
        <v>1</v>
      </c>
      <c r="T350" s="14"/>
      <c r="U350" s="14" t="s">
        <v>2849</v>
      </c>
      <c r="V350" s="14" t="s">
        <v>2857</v>
      </c>
      <c r="W350" s="14" t="s">
        <v>2858</v>
      </c>
      <c r="X350" s="17">
        <v>0</v>
      </c>
      <c r="Y350" s="15" t="s">
        <v>2893</v>
      </c>
      <c r="Z350" s="18" t="s">
        <v>2930</v>
      </c>
      <c r="AA350" s="18"/>
      <c r="AB350" s="16"/>
      <c r="AC350" s="16"/>
      <c r="AD350" s="16"/>
      <c r="AE350" s="16" t="s">
        <v>2953</v>
      </c>
      <c r="AF350" s="16"/>
      <c r="AI350" s="3" t="str">
        <f t="shared" ca="1" si="5"/>
        <v>OK</v>
      </c>
    </row>
    <row r="351" spans="1:35" hidden="1" x14ac:dyDescent="0.3">
      <c r="A351" s="13">
        <v>46032</v>
      </c>
      <c r="B351" s="14" t="s">
        <v>2806</v>
      </c>
      <c r="C351" s="16"/>
      <c r="D351" s="16"/>
      <c r="E351" s="15" t="s">
        <v>872</v>
      </c>
      <c r="F351" s="15" t="s">
        <v>1258</v>
      </c>
      <c r="G351" s="15" t="s">
        <v>395</v>
      </c>
      <c r="H351" s="15"/>
      <c r="I351" s="15" t="s">
        <v>1953</v>
      </c>
      <c r="J351" s="15" t="s">
        <v>1954</v>
      </c>
      <c r="K351" s="16"/>
      <c r="L351" s="14" t="s">
        <v>2823</v>
      </c>
      <c r="M351" s="16"/>
      <c r="N351" s="15" t="s">
        <v>1066</v>
      </c>
      <c r="O351" s="14">
        <v>1.71</v>
      </c>
      <c r="P351" s="14" t="s">
        <v>2845</v>
      </c>
      <c r="Q351" s="14" cm="1">
        <f t="array" ref="Q351">_xlfn.IFS(P351="USD",O351,P351="VND",O351/26090,P351="JPY",O351/161)</f>
        <v>1.71</v>
      </c>
      <c r="R351" s="14">
        <v>30</v>
      </c>
      <c r="S351" s="14">
        <v>1</v>
      </c>
      <c r="T351" s="14"/>
      <c r="U351" s="14" t="s">
        <v>2849</v>
      </c>
      <c r="V351" s="14" t="s">
        <v>2857</v>
      </c>
      <c r="W351" s="14" t="s">
        <v>2858</v>
      </c>
      <c r="X351" s="17">
        <v>0</v>
      </c>
      <c r="Y351" s="15" t="s">
        <v>2893</v>
      </c>
      <c r="Z351" s="18" t="s">
        <v>2930</v>
      </c>
      <c r="AA351" s="18"/>
      <c r="AB351" s="16"/>
      <c r="AC351" s="16"/>
      <c r="AD351" s="16"/>
      <c r="AE351" s="16" t="s">
        <v>2953</v>
      </c>
      <c r="AF351" s="16"/>
      <c r="AI351" s="3" t="str">
        <f t="shared" ca="1" si="5"/>
        <v>OK</v>
      </c>
    </row>
    <row r="352" spans="1:35" hidden="1" x14ac:dyDescent="0.3">
      <c r="A352" s="13">
        <v>46032</v>
      </c>
      <c r="B352" s="14" t="s">
        <v>2806</v>
      </c>
      <c r="C352" s="16"/>
      <c r="D352" s="16"/>
      <c r="E352" s="15" t="s">
        <v>872</v>
      </c>
      <c r="F352" s="15" t="s">
        <v>1258</v>
      </c>
      <c r="G352" s="15" t="s">
        <v>396</v>
      </c>
      <c r="H352" s="15"/>
      <c r="I352" s="15" t="s">
        <v>1955</v>
      </c>
      <c r="J352" s="15" t="s">
        <v>1956</v>
      </c>
      <c r="K352" s="16"/>
      <c r="L352" s="14" t="s">
        <v>2823</v>
      </c>
      <c r="M352" s="16"/>
      <c r="N352" s="15" t="s">
        <v>1066</v>
      </c>
      <c r="O352" s="14">
        <v>1.71</v>
      </c>
      <c r="P352" s="14" t="s">
        <v>2845</v>
      </c>
      <c r="Q352" s="14" cm="1">
        <f t="array" ref="Q352">_xlfn.IFS(P352="USD",O352,P352="VND",O352/26090,P352="JPY",O352/161)</f>
        <v>1.71</v>
      </c>
      <c r="R352" s="14">
        <v>14</v>
      </c>
      <c r="S352" s="14">
        <v>1</v>
      </c>
      <c r="T352" s="14"/>
      <c r="U352" s="14" t="s">
        <v>2849</v>
      </c>
      <c r="V352" s="14" t="s">
        <v>2857</v>
      </c>
      <c r="W352" s="14" t="s">
        <v>2858</v>
      </c>
      <c r="X352" s="17">
        <v>0</v>
      </c>
      <c r="Y352" s="15" t="s">
        <v>2893</v>
      </c>
      <c r="Z352" s="18" t="s">
        <v>2930</v>
      </c>
      <c r="AA352" s="18"/>
      <c r="AB352" s="16"/>
      <c r="AC352" s="16"/>
      <c r="AD352" s="16"/>
      <c r="AE352" s="16" t="s">
        <v>2953</v>
      </c>
      <c r="AF352" s="16"/>
      <c r="AI352" s="3" t="str">
        <f t="shared" ca="1" si="5"/>
        <v>OK</v>
      </c>
    </row>
    <row r="353" spans="1:35" x14ac:dyDescent="0.3">
      <c r="A353" s="13">
        <v>46032</v>
      </c>
      <c r="B353" s="14" t="s">
        <v>2806</v>
      </c>
      <c r="C353" s="16"/>
      <c r="D353" s="16"/>
      <c r="E353" s="15" t="s">
        <v>862</v>
      </c>
      <c r="F353" s="15" t="s">
        <v>1251</v>
      </c>
      <c r="G353" s="15" t="s">
        <v>397</v>
      </c>
      <c r="H353" s="15"/>
      <c r="I353" s="15" t="s">
        <v>1957</v>
      </c>
      <c r="J353" s="15" t="s">
        <v>1958</v>
      </c>
      <c r="K353" s="16"/>
      <c r="L353" s="14" t="s">
        <v>2823</v>
      </c>
      <c r="M353" s="16"/>
      <c r="N353" s="15" t="s">
        <v>1067</v>
      </c>
      <c r="O353" s="14">
        <v>12850000</v>
      </c>
      <c r="P353" s="14" t="s">
        <v>2846</v>
      </c>
      <c r="Q353" s="14" cm="1">
        <f t="array" ref="Q353">_xlfn.IFS(P353="USD",O353,P353="VND",O353/26090,P353="JPY",O353/161)</f>
        <v>492.52587198160217</v>
      </c>
      <c r="R353" s="14">
        <v>30</v>
      </c>
      <c r="S353" s="14">
        <v>1</v>
      </c>
      <c r="T353" s="14"/>
      <c r="U353" s="14" t="s">
        <v>2848</v>
      </c>
      <c r="V353" s="14" t="s">
        <v>2857</v>
      </c>
      <c r="W353" s="14" t="s">
        <v>2858</v>
      </c>
      <c r="X353" s="17">
        <v>0</v>
      </c>
      <c r="Y353" s="15" t="s">
        <v>2875</v>
      </c>
      <c r="Z353" s="18" t="s">
        <v>2929</v>
      </c>
      <c r="AA353" s="22" t="s">
        <v>2931</v>
      </c>
      <c r="AB353" s="16"/>
      <c r="AC353" s="16"/>
      <c r="AD353" s="16"/>
      <c r="AE353" s="16" t="s">
        <v>2933</v>
      </c>
      <c r="AF353" s="16"/>
      <c r="AI353" s="3" t="str">
        <f t="shared" ca="1" si="5"/>
        <v>OK</v>
      </c>
    </row>
    <row r="354" spans="1:35" hidden="1" x14ac:dyDescent="0.3">
      <c r="A354" s="13">
        <v>46032</v>
      </c>
      <c r="B354" s="14" t="s">
        <v>2806</v>
      </c>
      <c r="C354" s="16"/>
      <c r="D354" s="16"/>
      <c r="E354" s="15" t="s">
        <v>875</v>
      </c>
      <c r="F354" s="15" t="s">
        <v>1261</v>
      </c>
      <c r="G354" s="15" t="s">
        <v>398</v>
      </c>
      <c r="H354" s="15"/>
      <c r="I354" s="15" t="s">
        <v>1959</v>
      </c>
      <c r="J354" s="15" t="s">
        <v>1960</v>
      </c>
      <c r="K354" s="16"/>
      <c r="L354" s="14" t="s">
        <v>2823</v>
      </c>
      <c r="M354" s="16"/>
      <c r="N354" s="15" t="s">
        <v>1063</v>
      </c>
      <c r="O354" s="14">
        <v>3.04</v>
      </c>
      <c r="P354" s="14" t="s">
        <v>2845</v>
      </c>
      <c r="Q354" s="14" cm="1">
        <f t="array" ref="Q354">_xlfn.IFS(P354="USD",O354,P354="VND",O354/26090,P354="JPY",O354/161)</f>
        <v>3.04</v>
      </c>
      <c r="R354" s="14">
        <v>42</v>
      </c>
      <c r="S354" s="14">
        <v>1</v>
      </c>
      <c r="T354" s="14"/>
      <c r="U354" s="14" t="s">
        <v>2848</v>
      </c>
      <c r="V354" s="14" t="s">
        <v>2857</v>
      </c>
      <c r="W354" s="14" t="s">
        <v>2858</v>
      </c>
      <c r="X354" s="17">
        <v>0</v>
      </c>
      <c r="Y354" s="15" t="s">
        <v>2875</v>
      </c>
      <c r="Z354" s="18" t="s">
        <v>2935</v>
      </c>
      <c r="AA354" s="18"/>
      <c r="AB354" s="16"/>
      <c r="AC354" s="16"/>
      <c r="AD354" s="16"/>
      <c r="AE354" s="16" t="s">
        <v>2999</v>
      </c>
      <c r="AF354" s="16"/>
      <c r="AI354" s="3" t="str">
        <f t="shared" ca="1" si="5"/>
        <v>OK</v>
      </c>
    </row>
    <row r="355" spans="1:35" hidden="1" x14ac:dyDescent="0.3">
      <c r="A355" s="13">
        <v>46032</v>
      </c>
      <c r="B355" s="14" t="s">
        <v>2806</v>
      </c>
      <c r="C355" s="16"/>
      <c r="D355" s="16"/>
      <c r="E355" s="15" t="s">
        <v>872</v>
      </c>
      <c r="F355" s="15" t="s">
        <v>1258</v>
      </c>
      <c r="G355" s="15" t="s">
        <v>399</v>
      </c>
      <c r="H355" s="15"/>
      <c r="I355" s="15" t="s">
        <v>1961</v>
      </c>
      <c r="J355" s="15" t="s">
        <v>1962</v>
      </c>
      <c r="K355" s="16"/>
      <c r="L355" s="14" t="s">
        <v>2823</v>
      </c>
      <c r="M355" s="16"/>
      <c r="N355" s="15" t="s">
        <v>1068</v>
      </c>
      <c r="O355" s="14">
        <v>3.18</v>
      </c>
      <c r="P355" s="14" t="s">
        <v>2845</v>
      </c>
      <c r="Q355" s="14" cm="1">
        <f t="array" ref="Q355">_xlfn.IFS(P355="USD",O355,P355="VND",O355/26090,P355="JPY",O355/161)</f>
        <v>3.18</v>
      </c>
      <c r="R355" s="14">
        <v>30</v>
      </c>
      <c r="S355" s="14">
        <v>1</v>
      </c>
      <c r="T355" s="14"/>
      <c r="U355" s="14" t="s">
        <v>2849</v>
      </c>
      <c r="V355" s="14" t="s">
        <v>2857</v>
      </c>
      <c r="W355" s="14" t="s">
        <v>2858</v>
      </c>
      <c r="X355" s="17">
        <v>0</v>
      </c>
      <c r="Y355" s="15" t="s">
        <v>2893</v>
      </c>
      <c r="Z355" s="18" t="s">
        <v>2930</v>
      </c>
      <c r="AA355" s="18"/>
      <c r="AB355" s="16"/>
      <c r="AC355" s="16"/>
      <c r="AD355" s="16"/>
      <c r="AE355" s="16" t="s">
        <v>2953</v>
      </c>
      <c r="AF355" s="16"/>
      <c r="AI355" s="3" t="str">
        <f t="shared" ca="1" si="5"/>
        <v>OK</v>
      </c>
    </row>
    <row r="356" spans="1:35" hidden="1" x14ac:dyDescent="0.3">
      <c r="A356" s="13">
        <v>46032</v>
      </c>
      <c r="B356" s="14" t="s">
        <v>2806</v>
      </c>
      <c r="C356" s="16"/>
      <c r="D356" s="16"/>
      <c r="E356" s="15" t="s">
        <v>872</v>
      </c>
      <c r="F356" s="15" t="s">
        <v>1258</v>
      </c>
      <c r="G356" s="15" t="s">
        <v>400</v>
      </c>
      <c r="H356" s="15"/>
      <c r="I356" s="15" t="s">
        <v>1963</v>
      </c>
      <c r="J356" s="15" t="s">
        <v>1964</v>
      </c>
      <c r="K356" s="16"/>
      <c r="L356" s="14" t="s">
        <v>2823</v>
      </c>
      <c r="M356" s="16"/>
      <c r="N356" s="15" t="s">
        <v>1069</v>
      </c>
      <c r="O356" s="14">
        <v>1.5</v>
      </c>
      <c r="P356" s="14" t="s">
        <v>2845</v>
      </c>
      <c r="Q356" s="14" cm="1">
        <f t="array" ref="Q356">_xlfn.IFS(P356="USD",O356,P356="VND",O356/26090,P356="JPY",O356/161)</f>
        <v>1.5</v>
      </c>
      <c r="R356" s="14">
        <v>30</v>
      </c>
      <c r="S356" s="14">
        <v>1</v>
      </c>
      <c r="T356" s="14"/>
      <c r="U356" s="14" t="s">
        <v>2849</v>
      </c>
      <c r="V356" s="14" t="s">
        <v>2857</v>
      </c>
      <c r="W356" s="14" t="s">
        <v>2858</v>
      </c>
      <c r="X356" s="17">
        <v>0</v>
      </c>
      <c r="Y356" s="15" t="s">
        <v>2893</v>
      </c>
      <c r="Z356" s="18" t="s">
        <v>2930</v>
      </c>
      <c r="AA356" s="18"/>
      <c r="AB356" s="16"/>
      <c r="AC356" s="16"/>
      <c r="AD356" s="16"/>
      <c r="AE356" s="16" t="s">
        <v>2953</v>
      </c>
      <c r="AF356" s="16"/>
      <c r="AI356" s="3" t="str">
        <f t="shared" ca="1" si="5"/>
        <v>OK</v>
      </c>
    </row>
    <row r="357" spans="1:35" hidden="1" x14ac:dyDescent="0.3">
      <c r="A357" s="13">
        <v>46032</v>
      </c>
      <c r="B357" s="14" t="s">
        <v>2806</v>
      </c>
      <c r="C357" s="16"/>
      <c r="D357" s="16"/>
      <c r="E357" s="15" t="s">
        <v>857</v>
      </c>
      <c r="F357" s="15" t="s">
        <v>912</v>
      </c>
      <c r="G357" s="15" t="s">
        <v>401</v>
      </c>
      <c r="H357" s="15"/>
      <c r="I357" s="15" t="s">
        <v>1965</v>
      </c>
      <c r="J357" s="15" t="s">
        <v>1966</v>
      </c>
      <c r="K357" s="16"/>
      <c r="L357" s="14" t="s">
        <v>2821</v>
      </c>
      <c r="M357" s="16"/>
      <c r="N357" s="15" t="s">
        <v>1052</v>
      </c>
      <c r="O357" s="14">
        <v>6.42</v>
      </c>
      <c r="P357" s="14" t="s">
        <v>2845</v>
      </c>
      <c r="Q357" s="14" cm="1">
        <f t="array" ref="Q357">_xlfn.IFS(P357="USD",O357,P357="VND",O357/26090,P357="JPY",O357/161)</f>
        <v>6.42</v>
      </c>
      <c r="R357" s="14">
        <v>30</v>
      </c>
      <c r="S357" s="14">
        <v>1</v>
      </c>
      <c r="T357" s="14"/>
      <c r="U357" s="14" t="s">
        <v>2848</v>
      </c>
      <c r="V357" s="14" t="s">
        <v>2857</v>
      </c>
      <c r="W357" s="14" t="s">
        <v>2858</v>
      </c>
      <c r="X357" s="17">
        <v>0</v>
      </c>
      <c r="Y357" s="15" t="s">
        <v>2875</v>
      </c>
      <c r="Z357" s="20">
        <v>46243</v>
      </c>
      <c r="AA357" s="20">
        <v>46608</v>
      </c>
      <c r="AB357" s="16"/>
      <c r="AC357" s="16"/>
      <c r="AD357" s="16"/>
      <c r="AE357" s="16" t="s">
        <v>2957</v>
      </c>
      <c r="AF357" s="16"/>
      <c r="AI357" s="3" t="str">
        <f t="shared" ca="1" si="5"/>
        <v>OK</v>
      </c>
    </row>
    <row r="358" spans="1:35" hidden="1" x14ac:dyDescent="0.3">
      <c r="A358" s="13">
        <v>46032</v>
      </c>
      <c r="B358" s="14" t="s">
        <v>2806</v>
      </c>
      <c r="C358" s="16"/>
      <c r="D358" s="16"/>
      <c r="E358" s="15" t="s">
        <v>857</v>
      </c>
      <c r="F358" s="15" t="s">
        <v>912</v>
      </c>
      <c r="G358" s="15" t="s">
        <v>402</v>
      </c>
      <c r="H358" s="15"/>
      <c r="I358" s="15" t="s">
        <v>1967</v>
      </c>
      <c r="J358" s="15" t="s">
        <v>1966</v>
      </c>
      <c r="K358" s="16"/>
      <c r="L358" s="14" t="s">
        <v>2821</v>
      </c>
      <c r="M358" s="16"/>
      <c r="N358" s="15" t="s">
        <v>1052</v>
      </c>
      <c r="O358" s="14">
        <v>3.6</v>
      </c>
      <c r="P358" s="14" t="s">
        <v>2845</v>
      </c>
      <c r="Q358" s="14" cm="1">
        <f t="array" ref="Q358">_xlfn.IFS(P358="USD",O358,P358="VND",O358/26090,P358="JPY",O358/161)</f>
        <v>3.6</v>
      </c>
      <c r="R358" s="14">
        <v>30</v>
      </c>
      <c r="S358" s="14">
        <v>1</v>
      </c>
      <c r="T358" s="14"/>
      <c r="U358" s="14" t="s">
        <v>2848</v>
      </c>
      <c r="V358" s="14" t="s">
        <v>2857</v>
      </c>
      <c r="W358" s="14" t="s">
        <v>2858</v>
      </c>
      <c r="X358" s="17">
        <v>0</v>
      </c>
      <c r="Y358" s="15" t="s">
        <v>2875</v>
      </c>
      <c r="Z358" s="20">
        <v>46243</v>
      </c>
      <c r="AA358" s="20">
        <v>46608</v>
      </c>
      <c r="AB358" s="16"/>
      <c r="AC358" s="16"/>
      <c r="AD358" s="16"/>
      <c r="AE358" s="16" t="s">
        <v>2957</v>
      </c>
      <c r="AF358" s="16"/>
      <c r="AI358" s="3" t="str">
        <f t="shared" ca="1" si="5"/>
        <v>OK</v>
      </c>
    </row>
    <row r="359" spans="1:35" hidden="1" x14ac:dyDescent="0.3">
      <c r="A359" s="13">
        <v>46032</v>
      </c>
      <c r="B359" s="14" t="s">
        <v>2806</v>
      </c>
      <c r="C359" s="16"/>
      <c r="D359" s="16"/>
      <c r="E359" s="15" t="s">
        <v>857</v>
      </c>
      <c r="F359" s="15" t="s">
        <v>912</v>
      </c>
      <c r="G359" s="15" t="s">
        <v>403</v>
      </c>
      <c r="H359" s="15"/>
      <c r="I359" s="15" t="s">
        <v>1968</v>
      </c>
      <c r="J359" s="15" t="s">
        <v>1969</v>
      </c>
      <c r="K359" s="16"/>
      <c r="L359" s="14" t="s">
        <v>2823</v>
      </c>
      <c r="M359" s="16"/>
      <c r="N359" s="15" t="s">
        <v>1048</v>
      </c>
      <c r="O359" s="14">
        <v>0.33</v>
      </c>
      <c r="P359" s="14" t="s">
        <v>2845</v>
      </c>
      <c r="Q359" s="14" cm="1">
        <f t="array" ref="Q359">_xlfn.IFS(P359="USD",O359,P359="VND",O359/26090,P359="JPY",O359/161)</f>
        <v>0.33</v>
      </c>
      <c r="R359" s="14">
        <v>35</v>
      </c>
      <c r="S359" s="14">
        <v>1</v>
      </c>
      <c r="T359" s="14"/>
      <c r="U359" s="14" t="s">
        <v>2848</v>
      </c>
      <c r="V359" s="14" t="s">
        <v>2857</v>
      </c>
      <c r="W359" s="14" t="s">
        <v>2858</v>
      </c>
      <c r="X359" s="17">
        <v>0</v>
      </c>
      <c r="Y359" s="15" t="s">
        <v>2875</v>
      </c>
      <c r="Z359" s="20">
        <v>46243</v>
      </c>
      <c r="AA359" s="20">
        <v>46608</v>
      </c>
      <c r="AB359" s="16"/>
      <c r="AC359" s="16"/>
      <c r="AD359" s="16"/>
      <c r="AE359" s="16" t="s">
        <v>2957</v>
      </c>
      <c r="AF359" s="16"/>
      <c r="AI359" s="3" t="str">
        <f t="shared" ca="1" si="5"/>
        <v>OK</v>
      </c>
    </row>
    <row r="360" spans="1:35" hidden="1" x14ac:dyDescent="0.3">
      <c r="A360" s="13">
        <v>46032</v>
      </c>
      <c r="B360" s="14" t="s">
        <v>2806</v>
      </c>
      <c r="C360" s="16"/>
      <c r="D360" s="16"/>
      <c r="E360" s="15" t="s">
        <v>849</v>
      </c>
      <c r="F360" s="15" t="s">
        <v>1243</v>
      </c>
      <c r="G360" s="15" t="s">
        <v>404</v>
      </c>
      <c r="H360" s="15"/>
      <c r="I360" s="15" t="s">
        <v>1970</v>
      </c>
      <c r="J360" s="15" t="s">
        <v>1971</v>
      </c>
      <c r="K360" s="16"/>
      <c r="L360" s="14" t="s">
        <v>2823</v>
      </c>
      <c r="M360" s="16"/>
      <c r="N360" s="15" t="s">
        <v>1041</v>
      </c>
      <c r="O360" s="14">
        <v>1.72</v>
      </c>
      <c r="P360" s="14" t="s">
        <v>2845</v>
      </c>
      <c r="Q360" s="14" cm="1">
        <f t="array" ref="Q360">_xlfn.IFS(P360="USD",O360,P360="VND",O360/26090,P360="JPY",O360/161)</f>
        <v>1.72</v>
      </c>
      <c r="R360" s="14">
        <v>25</v>
      </c>
      <c r="S360" s="14">
        <v>1</v>
      </c>
      <c r="T360" s="14"/>
      <c r="U360" s="14" t="s">
        <v>2849</v>
      </c>
      <c r="V360" s="14" t="s">
        <v>2857</v>
      </c>
      <c r="W360" s="14" t="s">
        <v>2858</v>
      </c>
      <c r="X360" s="17">
        <v>0</v>
      </c>
      <c r="Y360" s="15" t="s">
        <v>2875</v>
      </c>
      <c r="Z360" s="20">
        <v>46028</v>
      </c>
      <c r="AA360" s="20">
        <v>46393</v>
      </c>
      <c r="AB360" s="16"/>
      <c r="AC360" s="16"/>
      <c r="AD360" s="16"/>
      <c r="AE360" s="16" t="s">
        <v>2959</v>
      </c>
      <c r="AF360" s="16"/>
      <c r="AI360" s="3" t="str">
        <f t="shared" ca="1" si="5"/>
        <v>OK</v>
      </c>
    </row>
    <row r="361" spans="1:35" hidden="1" x14ac:dyDescent="0.3">
      <c r="A361" s="13">
        <v>46032</v>
      </c>
      <c r="B361" s="14" t="s">
        <v>2806</v>
      </c>
      <c r="C361" s="16"/>
      <c r="D361" s="16"/>
      <c r="E361" s="15" t="s">
        <v>857</v>
      </c>
      <c r="F361" s="15" t="s">
        <v>912</v>
      </c>
      <c r="G361" s="15" t="s">
        <v>405</v>
      </c>
      <c r="H361" s="15"/>
      <c r="I361" s="15" t="s">
        <v>1972</v>
      </c>
      <c r="J361" s="15" t="s">
        <v>1973</v>
      </c>
      <c r="K361" s="16"/>
      <c r="L361" s="14" t="s">
        <v>2832</v>
      </c>
      <c r="M361" s="16"/>
      <c r="N361" s="15" t="s">
        <v>1070</v>
      </c>
      <c r="O361" s="14">
        <v>0.52</v>
      </c>
      <c r="P361" s="14" t="s">
        <v>2845</v>
      </c>
      <c r="Q361" s="14" cm="1">
        <f t="array" ref="Q361">_xlfn.IFS(P361="USD",O361,P361="VND",O361/26090,P361="JPY",O361/161)</f>
        <v>0.52</v>
      </c>
      <c r="R361" s="14">
        <v>30</v>
      </c>
      <c r="S361" s="14">
        <v>1</v>
      </c>
      <c r="T361" s="14"/>
      <c r="U361" s="14" t="s">
        <v>2848</v>
      </c>
      <c r="V361" s="14" t="s">
        <v>2857</v>
      </c>
      <c r="W361" s="14" t="s">
        <v>2858</v>
      </c>
      <c r="X361" s="17">
        <v>0</v>
      </c>
      <c r="Y361" s="15" t="s">
        <v>2875</v>
      </c>
      <c r="Z361" s="20">
        <v>46243</v>
      </c>
      <c r="AA361" s="20">
        <v>46608</v>
      </c>
      <c r="AB361" s="16"/>
      <c r="AC361" s="16"/>
      <c r="AD361" s="16"/>
      <c r="AE361" s="16" t="s">
        <v>2957</v>
      </c>
      <c r="AF361" s="16"/>
      <c r="AI361" s="3" t="str">
        <f t="shared" ca="1" si="5"/>
        <v>OK</v>
      </c>
    </row>
    <row r="362" spans="1:35" hidden="1" x14ac:dyDescent="0.3">
      <c r="A362" s="13">
        <v>46032</v>
      </c>
      <c r="B362" s="14" t="s">
        <v>2806</v>
      </c>
      <c r="C362" s="16"/>
      <c r="D362" s="16"/>
      <c r="E362" s="15" t="s">
        <v>857</v>
      </c>
      <c r="F362" s="15" t="s">
        <v>912</v>
      </c>
      <c r="G362" s="15" t="s">
        <v>406</v>
      </c>
      <c r="H362" s="15"/>
      <c r="I362" s="15" t="s">
        <v>1974</v>
      </c>
      <c r="J362" s="15" t="s">
        <v>1975</v>
      </c>
      <c r="K362" s="16"/>
      <c r="L362" s="14" t="s">
        <v>2823</v>
      </c>
      <c r="M362" s="16"/>
      <c r="N362" s="15" t="s">
        <v>1070</v>
      </c>
      <c r="O362" s="14">
        <v>0.5</v>
      </c>
      <c r="P362" s="14" t="s">
        <v>2845</v>
      </c>
      <c r="Q362" s="14" cm="1">
        <f t="array" ref="Q362">_xlfn.IFS(P362="USD",O362,P362="VND",O362/26090,P362="JPY",O362/161)</f>
        <v>0.5</v>
      </c>
      <c r="R362" s="14">
        <v>30</v>
      </c>
      <c r="S362" s="14">
        <v>1</v>
      </c>
      <c r="T362" s="14"/>
      <c r="U362" s="14" t="s">
        <v>2848</v>
      </c>
      <c r="V362" s="14" t="s">
        <v>2857</v>
      </c>
      <c r="W362" s="14" t="s">
        <v>2858</v>
      </c>
      <c r="X362" s="17">
        <v>0</v>
      </c>
      <c r="Y362" s="15" t="s">
        <v>2875</v>
      </c>
      <c r="Z362" s="20">
        <v>46243</v>
      </c>
      <c r="AA362" s="20">
        <v>46608</v>
      </c>
      <c r="AB362" s="16"/>
      <c r="AC362" s="16"/>
      <c r="AD362" s="16"/>
      <c r="AE362" s="16" t="s">
        <v>2957</v>
      </c>
      <c r="AF362" s="16"/>
      <c r="AI362" s="3" t="str">
        <f t="shared" ca="1" si="5"/>
        <v>OK</v>
      </c>
    </row>
    <row r="363" spans="1:35" hidden="1" x14ac:dyDescent="0.3">
      <c r="A363" s="13">
        <v>46032</v>
      </c>
      <c r="B363" s="14" t="s">
        <v>2806</v>
      </c>
      <c r="C363" s="16"/>
      <c r="D363" s="16"/>
      <c r="E363" s="15" t="s">
        <v>872</v>
      </c>
      <c r="F363" s="15" t="s">
        <v>1258</v>
      </c>
      <c r="G363" s="15" t="s">
        <v>407</v>
      </c>
      <c r="H363" s="15"/>
      <c r="I363" s="15" t="s">
        <v>1976</v>
      </c>
      <c r="J363" s="15" t="s">
        <v>1977</v>
      </c>
      <c r="K363" s="16"/>
      <c r="L363" s="14" t="s">
        <v>2823</v>
      </c>
      <c r="M363" s="16"/>
      <c r="N363" s="15" t="s">
        <v>1071</v>
      </c>
      <c r="O363" s="14">
        <v>3.87</v>
      </c>
      <c r="P363" s="14" t="s">
        <v>2845</v>
      </c>
      <c r="Q363" s="14" cm="1">
        <f t="array" ref="Q363">_xlfn.IFS(P363="USD",O363,P363="VND",O363/26090,P363="JPY",O363/161)</f>
        <v>3.87</v>
      </c>
      <c r="R363" s="14">
        <v>14</v>
      </c>
      <c r="S363" s="14">
        <v>1</v>
      </c>
      <c r="T363" s="14"/>
      <c r="U363" s="14" t="s">
        <v>2849</v>
      </c>
      <c r="V363" s="14" t="s">
        <v>2857</v>
      </c>
      <c r="W363" s="14" t="s">
        <v>2858</v>
      </c>
      <c r="X363" s="17">
        <v>0</v>
      </c>
      <c r="Y363" s="15" t="s">
        <v>2893</v>
      </c>
      <c r="Z363" s="18" t="s">
        <v>2930</v>
      </c>
      <c r="AA363" s="18"/>
      <c r="AB363" s="16"/>
      <c r="AC363" s="16"/>
      <c r="AD363" s="16"/>
      <c r="AE363" s="16" t="s">
        <v>2953</v>
      </c>
      <c r="AF363" s="16"/>
      <c r="AI363" s="3" t="str">
        <f t="shared" ca="1" si="5"/>
        <v>OK</v>
      </c>
    </row>
    <row r="364" spans="1:35" hidden="1" x14ac:dyDescent="0.3">
      <c r="A364" s="13">
        <v>46032</v>
      </c>
      <c r="B364" s="14" t="s">
        <v>2806</v>
      </c>
      <c r="C364" s="16"/>
      <c r="D364" s="16"/>
      <c r="E364" s="15" t="s">
        <v>857</v>
      </c>
      <c r="F364" s="15" t="s">
        <v>912</v>
      </c>
      <c r="G364" s="15" t="s">
        <v>408</v>
      </c>
      <c r="H364" s="15"/>
      <c r="I364" s="15" t="s">
        <v>1978</v>
      </c>
      <c r="J364" s="15" t="s">
        <v>1979</v>
      </c>
      <c r="K364" s="16"/>
      <c r="L364" s="14" t="s">
        <v>2832</v>
      </c>
      <c r="M364" s="16"/>
      <c r="N364" s="15" t="s">
        <v>1072</v>
      </c>
      <c r="O364" s="14">
        <v>2.64</v>
      </c>
      <c r="P364" s="14" t="s">
        <v>2845</v>
      </c>
      <c r="Q364" s="14" cm="1">
        <f t="array" ref="Q364">_xlfn.IFS(P364="USD",O364,P364="VND",O364/26090,P364="JPY",O364/161)</f>
        <v>2.64</v>
      </c>
      <c r="R364" s="14">
        <v>35</v>
      </c>
      <c r="S364" s="14">
        <v>1</v>
      </c>
      <c r="T364" s="14"/>
      <c r="U364" s="14" t="s">
        <v>2848</v>
      </c>
      <c r="V364" s="14" t="s">
        <v>2857</v>
      </c>
      <c r="W364" s="14" t="s">
        <v>2858</v>
      </c>
      <c r="X364" s="17">
        <v>0</v>
      </c>
      <c r="Y364" s="15" t="s">
        <v>2875</v>
      </c>
      <c r="Z364" s="20">
        <v>46243</v>
      </c>
      <c r="AA364" s="20">
        <v>46608</v>
      </c>
      <c r="AB364" s="16"/>
      <c r="AC364" s="16"/>
      <c r="AD364" s="16"/>
      <c r="AE364" s="16" t="s">
        <v>2957</v>
      </c>
      <c r="AF364" s="16"/>
      <c r="AI364" s="3" t="str">
        <f t="shared" ca="1" si="5"/>
        <v>OK</v>
      </c>
    </row>
    <row r="365" spans="1:35" hidden="1" x14ac:dyDescent="0.3">
      <c r="A365" s="13">
        <v>46032</v>
      </c>
      <c r="B365" s="14" t="s">
        <v>2806</v>
      </c>
      <c r="C365" s="16"/>
      <c r="D365" s="16"/>
      <c r="E365" s="15" t="s">
        <v>857</v>
      </c>
      <c r="F365" s="15" t="s">
        <v>912</v>
      </c>
      <c r="G365" s="15" t="s">
        <v>409</v>
      </c>
      <c r="H365" s="15"/>
      <c r="I365" s="15" t="s">
        <v>1980</v>
      </c>
      <c r="J365" s="15" t="s">
        <v>1981</v>
      </c>
      <c r="K365" s="16"/>
      <c r="L365" s="14" t="s">
        <v>2823</v>
      </c>
      <c r="M365" s="16"/>
      <c r="N365" s="15" t="s">
        <v>1073</v>
      </c>
      <c r="O365" s="14">
        <v>51.38</v>
      </c>
      <c r="P365" s="14" t="s">
        <v>2845</v>
      </c>
      <c r="Q365" s="14" cm="1">
        <f t="array" ref="Q365">_xlfn.IFS(P365="USD",O365,P365="VND",O365/26090,P365="JPY",O365/161)</f>
        <v>51.38</v>
      </c>
      <c r="R365" s="14">
        <v>35</v>
      </c>
      <c r="S365" s="14">
        <v>1</v>
      </c>
      <c r="T365" s="14"/>
      <c r="U365" s="14" t="s">
        <v>2848</v>
      </c>
      <c r="V365" s="14" t="s">
        <v>2857</v>
      </c>
      <c r="W365" s="14" t="s">
        <v>2858</v>
      </c>
      <c r="X365" s="17">
        <v>0</v>
      </c>
      <c r="Y365" s="15" t="s">
        <v>2875</v>
      </c>
      <c r="Z365" s="20">
        <v>46243</v>
      </c>
      <c r="AA365" s="20">
        <v>46608</v>
      </c>
      <c r="AB365" s="16"/>
      <c r="AC365" s="16"/>
      <c r="AD365" s="16"/>
      <c r="AE365" s="16" t="s">
        <v>2957</v>
      </c>
      <c r="AF365" s="16"/>
      <c r="AI365" s="3" t="str">
        <f t="shared" ca="1" si="5"/>
        <v>OK</v>
      </c>
    </row>
    <row r="366" spans="1:35" hidden="1" x14ac:dyDescent="0.3">
      <c r="A366" s="13">
        <v>46032</v>
      </c>
      <c r="B366" s="14" t="s">
        <v>2806</v>
      </c>
      <c r="C366" s="16"/>
      <c r="D366" s="16"/>
      <c r="E366" s="15" t="s">
        <v>857</v>
      </c>
      <c r="F366" s="15" t="s">
        <v>912</v>
      </c>
      <c r="G366" s="15" t="s">
        <v>410</v>
      </c>
      <c r="H366" s="15"/>
      <c r="I366" s="15" t="s">
        <v>1982</v>
      </c>
      <c r="J366" s="15" t="s">
        <v>1983</v>
      </c>
      <c r="K366" s="16"/>
      <c r="L366" s="14" t="s">
        <v>2832</v>
      </c>
      <c r="M366" s="16"/>
      <c r="N366" s="15" t="s">
        <v>1072</v>
      </c>
      <c r="O366" s="14">
        <v>1.4</v>
      </c>
      <c r="P366" s="14" t="s">
        <v>2845</v>
      </c>
      <c r="Q366" s="14" cm="1">
        <f t="array" ref="Q366">_xlfn.IFS(P366="USD",O366,P366="VND",O366/26090,P366="JPY",O366/161)</f>
        <v>1.4</v>
      </c>
      <c r="R366" s="14">
        <v>35</v>
      </c>
      <c r="S366" s="14">
        <v>1</v>
      </c>
      <c r="T366" s="14"/>
      <c r="U366" s="14" t="s">
        <v>2848</v>
      </c>
      <c r="V366" s="14" t="s">
        <v>2857</v>
      </c>
      <c r="W366" s="14" t="s">
        <v>2858</v>
      </c>
      <c r="X366" s="17">
        <v>0</v>
      </c>
      <c r="Y366" s="15" t="s">
        <v>2875</v>
      </c>
      <c r="Z366" s="20">
        <v>46243</v>
      </c>
      <c r="AA366" s="20">
        <v>46608</v>
      </c>
      <c r="AB366" s="16"/>
      <c r="AC366" s="16"/>
      <c r="AD366" s="16"/>
      <c r="AE366" s="16" t="s">
        <v>2957</v>
      </c>
      <c r="AF366" s="16"/>
      <c r="AI366" s="3" t="str">
        <f t="shared" ca="1" si="5"/>
        <v>OK</v>
      </c>
    </row>
    <row r="367" spans="1:35" hidden="1" x14ac:dyDescent="0.3">
      <c r="A367" s="13">
        <v>46032</v>
      </c>
      <c r="B367" s="14" t="s">
        <v>2806</v>
      </c>
      <c r="C367" s="16"/>
      <c r="D367" s="16"/>
      <c r="E367" s="15" t="s">
        <v>857</v>
      </c>
      <c r="F367" s="15" t="s">
        <v>912</v>
      </c>
      <c r="G367" s="15" t="s">
        <v>411</v>
      </c>
      <c r="H367" s="15"/>
      <c r="I367" s="15" t="s">
        <v>1984</v>
      </c>
      <c r="J367" s="15" t="s">
        <v>1985</v>
      </c>
      <c r="K367" s="16"/>
      <c r="L367" s="14" t="s">
        <v>2823</v>
      </c>
      <c r="M367" s="16"/>
      <c r="N367" s="15" t="s">
        <v>1074</v>
      </c>
      <c r="O367" s="14">
        <v>2.17</v>
      </c>
      <c r="P367" s="14" t="s">
        <v>2845</v>
      </c>
      <c r="Q367" s="14" cm="1">
        <f t="array" ref="Q367">_xlfn.IFS(P367="USD",O367,P367="VND",O367/26090,P367="JPY",O367/161)</f>
        <v>2.17</v>
      </c>
      <c r="R367" s="14">
        <v>35</v>
      </c>
      <c r="S367" s="14">
        <v>1</v>
      </c>
      <c r="T367" s="14"/>
      <c r="U367" s="14" t="s">
        <v>2848</v>
      </c>
      <c r="V367" s="14" t="s">
        <v>2857</v>
      </c>
      <c r="W367" s="14" t="s">
        <v>2858</v>
      </c>
      <c r="X367" s="17">
        <v>0</v>
      </c>
      <c r="Y367" s="15" t="s">
        <v>2875</v>
      </c>
      <c r="Z367" s="20">
        <v>46243</v>
      </c>
      <c r="AA367" s="20">
        <v>46608</v>
      </c>
      <c r="AB367" s="16"/>
      <c r="AC367" s="16"/>
      <c r="AD367" s="16"/>
      <c r="AE367" s="16" t="s">
        <v>2957</v>
      </c>
      <c r="AF367" s="16"/>
      <c r="AI367" s="3" t="str">
        <f t="shared" ca="1" si="5"/>
        <v>OK</v>
      </c>
    </row>
    <row r="368" spans="1:35" x14ac:dyDescent="0.3">
      <c r="A368" s="13">
        <v>46032</v>
      </c>
      <c r="B368" s="14" t="s">
        <v>2806</v>
      </c>
      <c r="C368" s="16"/>
      <c r="D368" s="16"/>
      <c r="E368" s="15" t="s">
        <v>886</v>
      </c>
      <c r="F368" s="15" t="s">
        <v>1271</v>
      </c>
      <c r="G368" s="15" t="s">
        <v>412</v>
      </c>
      <c r="H368" s="15"/>
      <c r="I368" s="15" t="s">
        <v>1986</v>
      </c>
      <c r="J368" s="15" t="s">
        <v>1987</v>
      </c>
      <c r="K368" s="16"/>
      <c r="L368" s="14" t="s">
        <v>2823</v>
      </c>
      <c r="M368" s="16"/>
      <c r="N368" s="15" t="s">
        <v>1075</v>
      </c>
      <c r="O368" s="14">
        <v>10</v>
      </c>
      <c r="P368" s="14" t="s">
        <v>2845</v>
      </c>
      <c r="Q368" s="14" cm="1">
        <f t="array" ref="Q368">_xlfn.IFS(P368="USD",O368,P368="VND",O368/26090,P368="JPY",O368/161)</f>
        <v>10</v>
      </c>
      <c r="R368" s="14">
        <v>20</v>
      </c>
      <c r="S368" s="14">
        <v>1</v>
      </c>
      <c r="T368" s="14"/>
      <c r="U368" s="14" t="s">
        <v>2850</v>
      </c>
      <c r="V368" s="14" t="s">
        <v>2859</v>
      </c>
      <c r="W368" s="14" t="s">
        <v>2860</v>
      </c>
      <c r="X368" s="17">
        <v>0</v>
      </c>
      <c r="Y368" s="15" t="s">
        <v>2900</v>
      </c>
      <c r="Z368" s="18" t="s">
        <v>3044</v>
      </c>
      <c r="AA368" s="22" t="s">
        <v>3045</v>
      </c>
      <c r="AB368" s="16"/>
      <c r="AC368" s="16"/>
      <c r="AD368" s="16"/>
      <c r="AE368" s="16" t="s">
        <v>3046</v>
      </c>
      <c r="AF368" s="16"/>
      <c r="AI368" s="3" t="str">
        <f t="shared" ca="1" si="5"/>
        <v>OK</v>
      </c>
    </row>
    <row r="369" spans="1:35" hidden="1" x14ac:dyDescent="0.3">
      <c r="A369" s="13">
        <v>46032</v>
      </c>
      <c r="B369" s="14" t="s">
        <v>2806</v>
      </c>
      <c r="C369" s="16"/>
      <c r="D369" s="16"/>
      <c r="E369" s="15" t="s">
        <v>849</v>
      </c>
      <c r="F369" s="15" t="s">
        <v>1243</v>
      </c>
      <c r="G369" s="15" t="s">
        <v>413</v>
      </c>
      <c r="H369" s="15"/>
      <c r="I369" s="15" t="s">
        <v>1988</v>
      </c>
      <c r="J369" s="15" t="s">
        <v>1989</v>
      </c>
      <c r="K369" s="16"/>
      <c r="L369" s="14" t="s">
        <v>2823</v>
      </c>
      <c r="M369" s="16"/>
      <c r="N369" s="15" t="s">
        <v>1076</v>
      </c>
      <c r="O369" s="14">
        <v>158</v>
      </c>
      <c r="P369" s="14" t="s">
        <v>2845</v>
      </c>
      <c r="Q369" s="14" cm="1">
        <f t="array" ref="Q369">_xlfn.IFS(P369="USD",O369,P369="VND",O369/26090,P369="JPY",O369/161)</f>
        <v>158</v>
      </c>
      <c r="R369" s="14">
        <v>90</v>
      </c>
      <c r="S369" s="14">
        <v>1</v>
      </c>
      <c r="T369" s="14"/>
      <c r="U369" s="14" t="s">
        <v>2849</v>
      </c>
      <c r="V369" s="14" t="s">
        <v>2857</v>
      </c>
      <c r="W369" s="14" t="s">
        <v>2858</v>
      </c>
      <c r="X369" s="17">
        <v>0</v>
      </c>
      <c r="Y369" s="15" t="s">
        <v>2875</v>
      </c>
      <c r="Z369" s="20">
        <v>46028</v>
      </c>
      <c r="AA369" s="20">
        <v>46393</v>
      </c>
      <c r="AB369" s="16"/>
      <c r="AC369" s="16"/>
      <c r="AD369" s="16"/>
      <c r="AE369" s="16" t="s">
        <v>2959</v>
      </c>
      <c r="AF369" s="16"/>
      <c r="AI369" s="3" t="str">
        <f t="shared" ca="1" si="5"/>
        <v>OK</v>
      </c>
    </row>
    <row r="370" spans="1:35" x14ac:dyDescent="0.3">
      <c r="A370" s="13">
        <v>46032</v>
      </c>
      <c r="B370" s="14" t="s">
        <v>2806</v>
      </c>
      <c r="C370" s="16"/>
      <c r="D370" s="16"/>
      <c r="E370" s="15" t="s">
        <v>862</v>
      </c>
      <c r="F370" s="15" t="s">
        <v>1251</v>
      </c>
      <c r="G370" s="15" t="s">
        <v>414</v>
      </c>
      <c r="H370" s="15"/>
      <c r="I370" s="15" t="s">
        <v>1990</v>
      </c>
      <c r="J370" s="15" t="s">
        <v>1883</v>
      </c>
      <c r="K370" s="16"/>
      <c r="L370" s="14" t="s">
        <v>2823</v>
      </c>
      <c r="M370" s="16"/>
      <c r="N370" s="15" t="s">
        <v>1046</v>
      </c>
      <c r="O370" s="14">
        <v>175000</v>
      </c>
      <c r="P370" s="14" t="s">
        <v>2846</v>
      </c>
      <c r="Q370" s="14" cm="1">
        <f t="array" ref="Q370">_xlfn.IFS(P370="USD",O370,P370="VND",O370/26090,P370="JPY",O370/161)</f>
        <v>6.7075507857416632</v>
      </c>
      <c r="R370" s="14">
        <v>25</v>
      </c>
      <c r="S370" s="14">
        <v>20</v>
      </c>
      <c r="T370" s="14"/>
      <c r="U370" s="14" t="s">
        <v>2848</v>
      </c>
      <c r="V370" s="14" t="s">
        <v>2857</v>
      </c>
      <c r="W370" s="14" t="s">
        <v>2858</v>
      </c>
      <c r="X370" s="17">
        <v>0</v>
      </c>
      <c r="Y370" s="15" t="s">
        <v>2875</v>
      </c>
      <c r="Z370" s="18" t="s">
        <v>2929</v>
      </c>
      <c r="AA370" s="22" t="s">
        <v>2931</v>
      </c>
      <c r="AB370" s="16"/>
      <c r="AC370" s="16"/>
      <c r="AD370" s="16"/>
      <c r="AE370" s="16" t="s">
        <v>2933</v>
      </c>
      <c r="AF370" s="16"/>
      <c r="AI370" s="3" t="str">
        <f t="shared" ca="1" si="5"/>
        <v>OK</v>
      </c>
    </row>
    <row r="371" spans="1:35" x14ac:dyDescent="0.3">
      <c r="A371" s="13">
        <v>46032</v>
      </c>
      <c r="B371" s="14" t="s">
        <v>2806</v>
      </c>
      <c r="C371" s="16"/>
      <c r="D371" s="16"/>
      <c r="E371" s="15" t="s">
        <v>862</v>
      </c>
      <c r="F371" s="15" t="s">
        <v>1251</v>
      </c>
      <c r="G371" s="15" t="s">
        <v>415</v>
      </c>
      <c r="H371" s="15"/>
      <c r="I371" s="15" t="s">
        <v>1991</v>
      </c>
      <c r="J371" s="15" t="s">
        <v>1883</v>
      </c>
      <c r="K371" s="16"/>
      <c r="L371" s="14" t="s">
        <v>2823</v>
      </c>
      <c r="M371" s="16"/>
      <c r="N371" s="15" t="s">
        <v>1046</v>
      </c>
      <c r="O371" s="14">
        <v>175000</v>
      </c>
      <c r="P371" s="14" t="s">
        <v>2846</v>
      </c>
      <c r="Q371" s="14" cm="1">
        <f t="array" ref="Q371">_xlfn.IFS(P371="USD",O371,P371="VND",O371/26090,P371="JPY",O371/161)</f>
        <v>6.7075507857416632</v>
      </c>
      <c r="R371" s="14">
        <v>25</v>
      </c>
      <c r="S371" s="14">
        <v>20</v>
      </c>
      <c r="T371" s="14"/>
      <c r="U371" s="14" t="s">
        <v>2848</v>
      </c>
      <c r="V371" s="14" t="s">
        <v>2857</v>
      </c>
      <c r="W371" s="14" t="s">
        <v>2858</v>
      </c>
      <c r="X371" s="17">
        <v>0</v>
      </c>
      <c r="Y371" s="15" t="s">
        <v>2875</v>
      </c>
      <c r="Z371" s="18" t="s">
        <v>2929</v>
      </c>
      <c r="AA371" s="22" t="s">
        <v>2931</v>
      </c>
      <c r="AB371" s="16"/>
      <c r="AC371" s="16"/>
      <c r="AD371" s="16"/>
      <c r="AE371" s="16" t="s">
        <v>2933</v>
      </c>
      <c r="AF371" s="16"/>
      <c r="AI371" s="3" t="str">
        <f t="shared" ca="1" si="5"/>
        <v>OK</v>
      </c>
    </row>
    <row r="372" spans="1:35" hidden="1" x14ac:dyDescent="0.3">
      <c r="A372" s="13">
        <v>46032</v>
      </c>
      <c r="B372" s="14" t="s">
        <v>2806</v>
      </c>
      <c r="C372" s="16"/>
      <c r="D372" s="16"/>
      <c r="E372" s="15" t="s">
        <v>849</v>
      </c>
      <c r="F372" s="15" t="s">
        <v>1243</v>
      </c>
      <c r="G372" s="15" t="s">
        <v>416</v>
      </c>
      <c r="H372" s="15"/>
      <c r="I372" s="15" t="s">
        <v>1992</v>
      </c>
      <c r="J372" s="15" t="s">
        <v>1993</v>
      </c>
      <c r="K372" s="16"/>
      <c r="L372" s="14" t="s">
        <v>2823</v>
      </c>
      <c r="M372" s="16"/>
      <c r="N372" s="15" t="s">
        <v>1077</v>
      </c>
      <c r="O372" s="14">
        <v>7.63</v>
      </c>
      <c r="P372" s="14" t="s">
        <v>2845</v>
      </c>
      <c r="Q372" s="14" cm="1">
        <f t="array" ref="Q372">_xlfn.IFS(P372="USD",O372,P372="VND",O372/26090,P372="JPY",O372/161)</f>
        <v>7.63</v>
      </c>
      <c r="R372" s="14">
        <v>25</v>
      </c>
      <c r="S372" s="14">
        <v>1</v>
      </c>
      <c r="T372" s="14"/>
      <c r="U372" s="14" t="s">
        <v>2849</v>
      </c>
      <c r="V372" s="14" t="s">
        <v>2857</v>
      </c>
      <c r="W372" s="14" t="s">
        <v>2858</v>
      </c>
      <c r="X372" s="17">
        <v>0</v>
      </c>
      <c r="Y372" s="15" t="s">
        <v>2875</v>
      </c>
      <c r="Z372" s="20">
        <v>46028</v>
      </c>
      <c r="AA372" s="20">
        <v>46393</v>
      </c>
      <c r="AB372" s="16"/>
      <c r="AC372" s="16"/>
      <c r="AD372" s="16"/>
      <c r="AE372" s="16" t="s">
        <v>2959</v>
      </c>
      <c r="AF372" s="16"/>
      <c r="AI372" s="3" t="str">
        <f t="shared" ca="1" si="5"/>
        <v>OK</v>
      </c>
    </row>
    <row r="373" spans="1:35" hidden="1" x14ac:dyDescent="0.3">
      <c r="A373" s="13">
        <v>46032</v>
      </c>
      <c r="B373" s="14" t="s">
        <v>2806</v>
      </c>
      <c r="C373" s="16"/>
      <c r="D373" s="16"/>
      <c r="E373" s="15" t="s">
        <v>849</v>
      </c>
      <c r="F373" s="15" t="s">
        <v>1243</v>
      </c>
      <c r="G373" s="15" t="s">
        <v>417</v>
      </c>
      <c r="H373" s="15"/>
      <c r="I373" s="15" t="s">
        <v>1994</v>
      </c>
      <c r="J373" s="15" t="s">
        <v>1995</v>
      </c>
      <c r="K373" s="16"/>
      <c r="L373" s="14" t="s">
        <v>2823</v>
      </c>
      <c r="M373" s="16"/>
      <c r="N373" s="15" t="s">
        <v>1078</v>
      </c>
      <c r="O373" s="14">
        <v>1.66</v>
      </c>
      <c r="P373" s="14" t="s">
        <v>2845</v>
      </c>
      <c r="Q373" s="14" cm="1">
        <f t="array" ref="Q373">_xlfn.IFS(P373="USD",O373,P373="VND",O373/26090,P373="JPY",O373/161)</f>
        <v>1.66</v>
      </c>
      <c r="R373" s="14">
        <v>25</v>
      </c>
      <c r="S373" s="14">
        <v>1</v>
      </c>
      <c r="T373" s="14"/>
      <c r="U373" s="14" t="s">
        <v>2849</v>
      </c>
      <c r="V373" s="14" t="s">
        <v>2857</v>
      </c>
      <c r="W373" s="14" t="s">
        <v>2858</v>
      </c>
      <c r="X373" s="17">
        <v>0</v>
      </c>
      <c r="Y373" s="15" t="s">
        <v>2875</v>
      </c>
      <c r="Z373" s="20">
        <v>46028</v>
      </c>
      <c r="AA373" s="20">
        <v>46393</v>
      </c>
      <c r="AB373" s="16"/>
      <c r="AC373" s="16"/>
      <c r="AD373" s="16"/>
      <c r="AE373" s="16" t="s">
        <v>2959</v>
      </c>
      <c r="AF373" s="16"/>
      <c r="AI373" s="3" t="str">
        <f t="shared" ca="1" si="5"/>
        <v>OK</v>
      </c>
    </row>
    <row r="374" spans="1:35" hidden="1" x14ac:dyDescent="0.3">
      <c r="A374" s="13">
        <v>46032</v>
      </c>
      <c r="B374" s="14" t="s">
        <v>2806</v>
      </c>
      <c r="C374" s="16"/>
      <c r="D374" s="16"/>
      <c r="E374" s="15" t="s">
        <v>855</v>
      </c>
      <c r="F374" s="15" t="s">
        <v>907</v>
      </c>
      <c r="G374" s="15" t="s">
        <v>418</v>
      </c>
      <c r="H374" s="15"/>
      <c r="I374" s="15" t="s">
        <v>1996</v>
      </c>
      <c r="J374" s="15" t="s">
        <v>1997</v>
      </c>
      <c r="K374" s="16"/>
      <c r="L374" s="14" t="s">
        <v>2823</v>
      </c>
      <c r="M374" s="16"/>
      <c r="N374" s="15" t="s">
        <v>1027</v>
      </c>
      <c r="O374" s="14">
        <v>573.24</v>
      </c>
      <c r="P374" s="14" t="s">
        <v>2845</v>
      </c>
      <c r="Q374" s="14" cm="1">
        <f t="array" ref="Q374">_xlfn.IFS(P374="USD",O374,P374="VND",O374/26090,P374="JPY",O374/161)</f>
        <v>573.24</v>
      </c>
      <c r="R374" s="14">
        <v>30</v>
      </c>
      <c r="S374" s="14">
        <v>1</v>
      </c>
      <c r="T374" s="14"/>
      <c r="U374" s="14" t="s">
        <v>2849</v>
      </c>
      <c r="V374" s="14" t="s">
        <v>2857</v>
      </c>
      <c r="W374" s="14" t="s">
        <v>2858</v>
      </c>
      <c r="X374" s="17">
        <v>0</v>
      </c>
      <c r="Y374" s="15" t="s">
        <v>2875</v>
      </c>
      <c r="Z374" s="20">
        <v>46029</v>
      </c>
      <c r="AA374" s="18"/>
      <c r="AB374" s="16"/>
      <c r="AC374" s="16"/>
      <c r="AD374" s="16"/>
      <c r="AE374" s="16" t="s">
        <v>3025</v>
      </c>
      <c r="AF374" s="16"/>
      <c r="AI374" s="3" t="str">
        <f t="shared" ca="1" si="5"/>
        <v>OK</v>
      </c>
    </row>
    <row r="375" spans="1:35" hidden="1" x14ac:dyDescent="0.3">
      <c r="A375" s="13">
        <v>46032</v>
      </c>
      <c r="B375" s="14" t="s">
        <v>2806</v>
      </c>
      <c r="C375" s="16"/>
      <c r="D375" s="16"/>
      <c r="E375" s="15" t="s">
        <v>855</v>
      </c>
      <c r="F375" s="15" t="s">
        <v>907</v>
      </c>
      <c r="G375" s="15" t="s">
        <v>419</v>
      </c>
      <c r="H375" s="15"/>
      <c r="I375" s="15" t="s">
        <v>1998</v>
      </c>
      <c r="J375" s="15" t="s">
        <v>1999</v>
      </c>
      <c r="K375" s="16"/>
      <c r="L375" s="14" t="s">
        <v>2823</v>
      </c>
      <c r="M375" s="16"/>
      <c r="N375" s="15" t="s">
        <v>1027</v>
      </c>
      <c r="O375" s="14">
        <v>722.16</v>
      </c>
      <c r="P375" s="14" t="s">
        <v>2845</v>
      </c>
      <c r="Q375" s="14" cm="1">
        <f t="array" ref="Q375">_xlfn.IFS(P375="USD",O375,P375="VND",O375/26090,P375="JPY",O375/161)</f>
        <v>722.16</v>
      </c>
      <c r="R375" s="14">
        <v>30</v>
      </c>
      <c r="S375" s="14">
        <v>1</v>
      </c>
      <c r="T375" s="14"/>
      <c r="U375" s="14" t="s">
        <v>2849</v>
      </c>
      <c r="V375" s="14" t="s">
        <v>2857</v>
      </c>
      <c r="W375" s="14" t="s">
        <v>2858</v>
      </c>
      <c r="X375" s="17">
        <v>0</v>
      </c>
      <c r="Y375" s="15" t="s">
        <v>2875</v>
      </c>
      <c r="Z375" s="20">
        <v>46029</v>
      </c>
      <c r="AA375" s="18"/>
      <c r="AB375" s="16"/>
      <c r="AC375" s="16"/>
      <c r="AD375" s="16"/>
      <c r="AE375" s="16" t="s">
        <v>3025</v>
      </c>
      <c r="AF375" s="16"/>
      <c r="AI375" s="3" t="str">
        <f t="shared" ca="1" si="5"/>
        <v>OK</v>
      </c>
    </row>
    <row r="376" spans="1:35" hidden="1" x14ac:dyDescent="0.3">
      <c r="A376" s="13">
        <v>46032</v>
      </c>
      <c r="B376" s="14" t="s">
        <v>2806</v>
      </c>
      <c r="C376" s="16"/>
      <c r="D376" s="16"/>
      <c r="E376" s="15" t="s">
        <v>857</v>
      </c>
      <c r="F376" s="15" t="s">
        <v>912</v>
      </c>
      <c r="G376" s="15" t="s">
        <v>420</v>
      </c>
      <c r="H376" s="15"/>
      <c r="I376" s="15" t="s">
        <v>2000</v>
      </c>
      <c r="J376" s="15" t="s">
        <v>2001</v>
      </c>
      <c r="K376" s="16"/>
      <c r="L376" s="14" t="s">
        <v>2817</v>
      </c>
      <c r="M376" s="16"/>
      <c r="N376" s="15" t="s">
        <v>1079</v>
      </c>
      <c r="O376" s="14">
        <v>79.7</v>
      </c>
      <c r="P376" s="14" t="s">
        <v>2845</v>
      </c>
      <c r="Q376" s="14" cm="1">
        <f t="array" ref="Q376">_xlfn.IFS(P376="USD",O376,P376="VND",O376/26090,P376="JPY",O376/161)</f>
        <v>79.7</v>
      </c>
      <c r="R376" s="14">
        <v>35</v>
      </c>
      <c r="S376" s="14">
        <v>1</v>
      </c>
      <c r="T376" s="14"/>
      <c r="U376" s="14" t="s">
        <v>2848</v>
      </c>
      <c r="V376" s="14" t="s">
        <v>2857</v>
      </c>
      <c r="W376" s="14" t="s">
        <v>2858</v>
      </c>
      <c r="X376" s="17">
        <v>0</v>
      </c>
      <c r="Y376" s="15" t="s">
        <v>2875</v>
      </c>
      <c r="Z376" s="20">
        <v>46243</v>
      </c>
      <c r="AA376" s="20">
        <v>46608</v>
      </c>
      <c r="AB376" s="16"/>
      <c r="AC376" s="16"/>
      <c r="AD376" s="16"/>
      <c r="AE376" s="16" t="s">
        <v>2957</v>
      </c>
      <c r="AF376" s="16"/>
      <c r="AI376" s="3" t="str">
        <f t="shared" ca="1" si="5"/>
        <v>OK</v>
      </c>
    </row>
    <row r="377" spans="1:35" hidden="1" x14ac:dyDescent="0.3">
      <c r="A377" s="13">
        <v>46032</v>
      </c>
      <c r="B377" s="14" t="s">
        <v>2806</v>
      </c>
      <c r="C377" s="16"/>
      <c r="D377" s="16"/>
      <c r="E377" s="15" t="s">
        <v>857</v>
      </c>
      <c r="F377" s="15" t="s">
        <v>912</v>
      </c>
      <c r="G377" s="15" t="s">
        <v>421</v>
      </c>
      <c r="H377" s="15"/>
      <c r="I377" s="15" t="s">
        <v>2002</v>
      </c>
      <c r="J377" s="15" t="s">
        <v>2003</v>
      </c>
      <c r="K377" s="16"/>
      <c r="L377" s="14" t="s">
        <v>2815</v>
      </c>
      <c r="M377" s="16"/>
      <c r="N377" s="15" t="s">
        <v>1080</v>
      </c>
      <c r="O377" s="14">
        <v>73.099999999999994</v>
      </c>
      <c r="P377" s="14" t="s">
        <v>2845</v>
      </c>
      <c r="Q377" s="14" cm="1">
        <f t="array" ref="Q377">_xlfn.IFS(P377="USD",O377,P377="VND",O377/26090,P377="JPY",O377/161)</f>
        <v>73.099999999999994</v>
      </c>
      <c r="R377" s="14">
        <v>35</v>
      </c>
      <c r="S377" s="14">
        <v>1</v>
      </c>
      <c r="T377" s="14"/>
      <c r="U377" s="14" t="s">
        <v>2848</v>
      </c>
      <c r="V377" s="14" t="s">
        <v>2857</v>
      </c>
      <c r="W377" s="14" t="s">
        <v>2858</v>
      </c>
      <c r="X377" s="17">
        <v>0</v>
      </c>
      <c r="Y377" s="15" t="s">
        <v>2875</v>
      </c>
      <c r="Z377" s="20">
        <v>46243</v>
      </c>
      <c r="AA377" s="20">
        <v>46608</v>
      </c>
      <c r="AB377" s="16"/>
      <c r="AC377" s="16"/>
      <c r="AD377" s="16"/>
      <c r="AE377" s="16" t="s">
        <v>2957</v>
      </c>
      <c r="AF377" s="16"/>
      <c r="AI377" s="3" t="str">
        <f t="shared" ca="1" si="5"/>
        <v>OK</v>
      </c>
    </row>
    <row r="378" spans="1:35" hidden="1" x14ac:dyDescent="0.3">
      <c r="A378" s="13">
        <v>46032</v>
      </c>
      <c r="B378" s="14" t="s">
        <v>2806</v>
      </c>
      <c r="C378" s="16"/>
      <c r="D378" s="16"/>
      <c r="E378" s="15" t="s">
        <v>849</v>
      </c>
      <c r="F378" s="15" t="s">
        <v>1243</v>
      </c>
      <c r="G378" s="15" t="s">
        <v>422</v>
      </c>
      <c r="H378" s="15"/>
      <c r="I378" s="15" t="s">
        <v>2004</v>
      </c>
      <c r="J378" s="15" t="s">
        <v>2005</v>
      </c>
      <c r="K378" s="16"/>
      <c r="L378" s="14" t="s">
        <v>2815</v>
      </c>
      <c r="M378" s="16"/>
      <c r="N378" s="15" t="s">
        <v>1081</v>
      </c>
      <c r="O378" s="14">
        <v>16</v>
      </c>
      <c r="P378" s="14" t="s">
        <v>2845</v>
      </c>
      <c r="Q378" s="14" cm="1">
        <f t="array" ref="Q378">_xlfn.IFS(P378="USD",O378,P378="VND",O378/26090,P378="JPY",O378/161)</f>
        <v>16</v>
      </c>
      <c r="R378" s="14">
        <v>25</v>
      </c>
      <c r="S378" s="14">
        <v>1</v>
      </c>
      <c r="T378" s="14"/>
      <c r="U378" s="14" t="s">
        <v>2849</v>
      </c>
      <c r="V378" s="14" t="s">
        <v>2857</v>
      </c>
      <c r="W378" s="14" t="s">
        <v>2858</v>
      </c>
      <c r="X378" s="17">
        <v>0</v>
      </c>
      <c r="Y378" s="15" t="s">
        <v>2875</v>
      </c>
      <c r="Z378" s="20">
        <v>46028</v>
      </c>
      <c r="AA378" s="20">
        <v>46393</v>
      </c>
      <c r="AB378" s="16"/>
      <c r="AC378" s="16"/>
      <c r="AD378" s="16"/>
      <c r="AE378" s="16" t="s">
        <v>2959</v>
      </c>
      <c r="AF378" s="16"/>
      <c r="AI378" s="3" t="str">
        <f t="shared" ca="1" si="5"/>
        <v>OK</v>
      </c>
    </row>
    <row r="379" spans="1:35" hidden="1" x14ac:dyDescent="0.3">
      <c r="A379" s="13">
        <v>46032</v>
      </c>
      <c r="B379" s="14" t="s">
        <v>2806</v>
      </c>
      <c r="C379" s="16"/>
      <c r="D379" s="16"/>
      <c r="E379" s="15" t="s">
        <v>859</v>
      </c>
      <c r="F379" s="15" t="s">
        <v>908</v>
      </c>
      <c r="G379" s="15" t="s">
        <v>423</v>
      </c>
      <c r="H379" s="15"/>
      <c r="I379" s="15" t="s">
        <v>2006</v>
      </c>
      <c r="J379" s="15" t="s">
        <v>2007</v>
      </c>
      <c r="K379" s="16"/>
      <c r="L379" s="14" t="s">
        <v>2840</v>
      </c>
      <c r="M379" s="16"/>
      <c r="N379" s="15" t="s">
        <v>1082</v>
      </c>
      <c r="O379" s="14">
        <v>0.25</v>
      </c>
      <c r="P379" s="14" t="s">
        <v>2845</v>
      </c>
      <c r="Q379" s="14" cm="1">
        <f t="array" ref="Q379">_xlfn.IFS(P379="USD",O379,P379="VND",O379/26090,P379="JPY",O379/161)</f>
        <v>0.25</v>
      </c>
      <c r="R379" s="14">
        <v>10</v>
      </c>
      <c r="S379" s="14">
        <v>1</v>
      </c>
      <c r="T379" s="14"/>
      <c r="U379" s="14" t="s">
        <v>2848</v>
      </c>
      <c r="V379" s="14" t="s">
        <v>2857</v>
      </c>
      <c r="W379" s="14" t="s">
        <v>2858</v>
      </c>
      <c r="X379" s="17">
        <v>0</v>
      </c>
      <c r="Y379" s="15" t="s">
        <v>2875</v>
      </c>
      <c r="Z379" s="20">
        <v>45664</v>
      </c>
      <c r="AA379" s="18"/>
      <c r="AB379" s="16"/>
      <c r="AC379" s="16"/>
      <c r="AD379" s="16"/>
      <c r="AE379" s="16" t="s">
        <v>3033</v>
      </c>
      <c r="AF379" s="16"/>
      <c r="AI379" s="3" t="str">
        <f t="shared" ca="1" si="5"/>
        <v>OK</v>
      </c>
    </row>
    <row r="380" spans="1:35" hidden="1" x14ac:dyDescent="0.3">
      <c r="A380" s="13">
        <v>46032</v>
      </c>
      <c r="B380" s="14" t="s">
        <v>2806</v>
      </c>
      <c r="C380" s="16"/>
      <c r="D380" s="16"/>
      <c r="E380" s="15" t="s">
        <v>859</v>
      </c>
      <c r="F380" s="15" t="s">
        <v>908</v>
      </c>
      <c r="G380" s="15" t="s">
        <v>424</v>
      </c>
      <c r="H380" s="15"/>
      <c r="I380" s="15" t="s">
        <v>2008</v>
      </c>
      <c r="J380" s="15" t="s">
        <v>2009</v>
      </c>
      <c r="K380" s="16"/>
      <c r="L380" s="14" t="s">
        <v>2833</v>
      </c>
      <c r="M380" s="16"/>
      <c r="N380" s="15" t="s">
        <v>1083</v>
      </c>
      <c r="O380" s="14">
        <v>2.68</v>
      </c>
      <c r="P380" s="14" t="s">
        <v>2845</v>
      </c>
      <c r="Q380" s="14" cm="1">
        <f t="array" ref="Q380">_xlfn.IFS(P380="USD",O380,P380="VND",O380/26090,P380="JPY",O380/161)</f>
        <v>2.68</v>
      </c>
      <c r="R380" s="14">
        <v>10</v>
      </c>
      <c r="S380" s="14">
        <v>1</v>
      </c>
      <c r="T380" s="14"/>
      <c r="U380" s="14" t="s">
        <v>2848</v>
      </c>
      <c r="V380" s="14" t="s">
        <v>2857</v>
      </c>
      <c r="W380" s="14" t="s">
        <v>2858</v>
      </c>
      <c r="X380" s="17">
        <v>0</v>
      </c>
      <c r="Y380" s="15" t="s">
        <v>2875</v>
      </c>
      <c r="Z380" s="20">
        <v>45664</v>
      </c>
      <c r="AA380" s="18"/>
      <c r="AB380" s="16"/>
      <c r="AC380" s="16"/>
      <c r="AD380" s="16"/>
      <c r="AE380" s="16" t="s">
        <v>3033</v>
      </c>
      <c r="AF380" s="16"/>
      <c r="AI380" s="3" t="str">
        <f t="shared" ca="1" si="5"/>
        <v>OK</v>
      </c>
    </row>
    <row r="381" spans="1:35" hidden="1" x14ac:dyDescent="0.3">
      <c r="A381" s="13">
        <v>46032</v>
      </c>
      <c r="B381" s="14" t="s">
        <v>2806</v>
      </c>
      <c r="C381" s="16"/>
      <c r="D381" s="16"/>
      <c r="E381" s="15" t="s">
        <v>857</v>
      </c>
      <c r="F381" s="15" t="s">
        <v>912</v>
      </c>
      <c r="G381" s="15" t="s">
        <v>425</v>
      </c>
      <c r="H381" s="15"/>
      <c r="I381" s="15" t="s">
        <v>2010</v>
      </c>
      <c r="J381" s="15" t="s">
        <v>2011</v>
      </c>
      <c r="K381" s="16"/>
      <c r="L381" s="14" t="s">
        <v>2823</v>
      </c>
      <c r="M381" s="16"/>
      <c r="N381" s="15" t="s">
        <v>1070</v>
      </c>
      <c r="O381" s="14">
        <v>2.2000000000000002</v>
      </c>
      <c r="P381" s="14" t="s">
        <v>2845</v>
      </c>
      <c r="Q381" s="14" cm="1">
        <f t="array" ref="Q381">_xlfn.IFS(P381="USD",O381,P381="VND",O381/26090,P381="JPY",O381/161)</f>
        <v>2.2000000000000002</v>
      </c>
      <c r="R381" s="14">
        <v>30</v>
      </c>
      <c r="S381" s="14">
        <v>1</v>
      </c>
      <c r="T381" s="14"/>
      <c r="U381" s="14" t="s">
        <v>2848</v>
      </c>
      <c r="V381" s="14" t="s">
        <v>2857</v>
      </c>
      <c r="W381" s="14" t="s">
        <v>2858</v>
      </c>
      <c r="X381" s="17">
        <v>0</v>
      </c>
      <c r="Y381" s="15" t="s">
        <v>2875</v>
      </c>
      <c r="Z381" s="20">
        <v>46243</v>
      </c>
      <c r="AA381" s="20">
        <v>46608</v>
      </c>
      <c r="AB381" s="16"/>
      <c r="AC381" s="16"/>
      <c r="AD381" s="16"/>
      <c r="AE381" s="16" t="s">
        <v>2957</v>
      </c>
      <c r="AF381" s="16"/>
      <c r="AI381" s="3" t="str">
        <f t="shared" ca="1" si="5"/>
        <v>OK</v>
      </c>
    </row>
    <row r="382" spans="1:35" hidden="1" x14ac:dyDescent="0.3">
      <c r="A382" s="13">
        <v>46032</v>
      </c>
      <c r="B382" s="14" t="s">
        <v>2806</v>
      </c>
      <c r="C382" s="16"/>
      <c r="D382" s="16"/>
      <c r="E382" s="15" t="s">
        <v>849</v>
      </c>
      <c r="F382" s="15" t="s">
        <v>1243</v>
      </c>
      <c r="G382" s="15" t="s">
        <v>426</v>
      </c>
      <c r="H382" s="15"/>
      <c r="I382" s="15" t="s">
        <v>2012</v>
      </c>
      <c r="J382" s="15" t="s">
        <v>2013</v>
      </c>
      <c r="K382" s="16"/>
      <c r="L382" s="14" t="s">
        <v>2823</v>
      </c>
      <c r="M382" s="16"/>
      <c r="N382" s="15" t="s">
        <v>1084</v>
      </c>
      <c r="O382" s="14">
        <v>103</v>
      </c>
      <c r="P382" s="14" t="s">
        <v>2845</v>
      </c>
      <c r="Q382" s="14" cm="1">
        <f t="array" ref="Q382">_xlfn.IFS(P382="USD",O382,P382="VND",O382/26090,P382="JPY",O382/161)</f>
        <v>103</v>
      </c>
      <c r="R382" s="14">
        <v>45</v>
      </c>
      <c r="S382" s="14">
        <v>1</v>
      </c>
      <c r="T382" s="14"/>
      <c r="U382" s="14" t="s">
        <v>2849</v>
      </c>
      <c r="V382" s="14" t="s">
        <v>2857</v>
      </c>
      <c r="W382" s="14" t="s">
        <v>2858</v>
      </c>
      <c r="X382" s="17">
        <v>0</v>
      </c>
      <c r="Y382" s="15" t="s">
        <v>2875</v>
      </c>
      <c r="Z382" s="20">
        <v>46028</v>
      </c>
      <c r="AA382" s="20">
        <v>46393</v>
      </c>
      <c r="AB382" s="16"/>
      <c r="AC382" s="16"/>
      <c r="AD382" s="16"/>
      <c r="AE382" s="16" t="s">
        <v>2959</v>
      </c>
      <c r="AF382" s="16"/>
      <c r="AI382" s="3" t="str">
        <f t="shared" ca="1" si="5"/>
        <v>OK</v>
      </c>
    </row>
    <row r="383" spans="1:35" hidden="1" x14ac:dyDescent="0.3">
      <c r="A383" s="13">
        <v>46032</v>
      </c>
      <c r="B383" s="14" t="s">
        <v>2806</v>
      </c>
      <c r="C383" s="16"/>
      <c r="D383" s="16"/>
      <c r="E383" s="15" t="s">
        <v>857</v>
      </c>
      <c r="F383" s="15" t="s">
        <v>912</v>
      </c>
      <c r="G383" s="15" t="s">
        <v>427</v>
      </c>
      <c r="H383" s="15"/>
      <c r="I383" s="15" t="s">
        <v>2014</v>
      </c>
      <c r="J383" s="15" t="s">
        <v>2015</v>
      </c>
      <c r="K383" s="16"/>
      <c r="L383" s="14" t="s">
        <v>2823</v>
      </c>
      <c r="M383" s="16"/>
      <c r="N383" s="15" t="s">
        <v>1072</v>
      </c>
      <c r="O383" s="14">
        <v>2.6</v>
      </c>
      <c r="P383" s="14" t="s">
        <v>2845</v>
      </c>
      <c r="Q383" s="14" cm="1">
        <f t="array" ref="Q383">_xlfn.IFS(P383="USD",O383,P383="VND",O383/26090,P383="JPY",O383/161)</f>
        <v>2.6</v>
      </c>
      <c r="R383" s="14">
        <v>35</v>
      </c>
      <c r="S383" s="14">
        <v>1</v>
      </c>
      <c r="T383" s="14"/>
      <c r="U383" s="14" t="s">
        <v>2848</v>
      </c>
      <c r="V383" s="14" t="s">
        <v>2857</v>
      </c>
      <c r="W383" s="14" t="s">
        <v>2858</v>
      </c>
      <c r="X383" s="17">
        <v>0</v>
      </c>
      <c r="Y383" s="15" t="s">
        <v>2875</v>
      </c>
      <c r="Z383" s="20">
        <v>46243</v>
      </c>
      <c r="AA383" s="20">
        <v>46608</v>
      </c>
      <c r="AB383" s="16"/>
      <c r="AC383" s="16"/>
      <c r="AD383" s="16"/>
      <c r="AE383" s="16" t="s">
        <v>2957</v>
      </c>
      <c r="AF383" s="16"/>
      <c r="AI383" s="3" t="str">
        <f t="shared" ca="1" si="5"/>
        <v>OK</v>
      </c>
    </row>
    <row r="384" spans="1:35" hidden="1" x14ac:dyDescent="0.3">
      <c r="A384" s="13">
        <v>46032</v>
      </c>
      <c r="B384" s="14" t="s">
        <v>2806</v>
      </c>
      <c r="C384" s="16"/>
      <c r="D384" s="16"/>
      <c r="E384" s="15" t="s">
        <v>855</v>
      </c>
      <c r="F384" s="15" t="s">
        <v>907</v>
      </c>
      <c r="G384" s="15" t="s">
        <v>428</v>
      </c>
      <c r="H384" s="15"/>
      <c r="I384" s="15" t="s">
        <v>2016</v>
      </c>
      <c r="J384" s="15" t="s">
        <v>2017</v>
      </c>
      <c r="K384" s="16"/>
      <c r="L384" s="14" t="s">
        <v>2823</v>
      </c>
      <c r="M384" s="16"/>
      <c r="N384" s="15" t="s">
        <v>1014</v>
      </c>
      <c r="O384" s="14">
        <v>0.435</v>
      </c>
      <c r="P384" s="14" t="s">
        <v>2845</v>
      </c>
      <c r="Q384" s="14" cm="1">
        <f t="array" ref="Q384">_xlfn.IFS(P384="USD",O384,P384="VND",O384/26090,P384="JPY",O384/161)</f>
        <v>0.435</v>
      </c>
      <c r="R384" s="14">
        <v>30</v>
      </c>
      <c r="S384" s="14">
        <v>1</v>
      </c>
      <c r="T384" s="14"/>
      <c r="U384" s="14" t="s">
        <v>2849</v>
      </c>
      <c r="V384" s="14" t="s">
        <v>2857</v>
      </c>
      <c r="W384" s="14" t="s">
        <v>2858</v>
      </c>
      <c r="X384" s="17">
        <v>0</v>
      </c>
      <c r="Y384" s="15" t="s">
        <v>2875</v>
      </c>
      <c r="Z384" s="20">
        <v>46029</v>
      </c>
      <c r="AA384" s="18"/>
      <c r="AB384" s="16"/>
      <c r="AC384" s="16"/>
      <c r="AD384" s="16"/>
      <c r="AE384" s="16" t="s">
        <v>3025</v>
      </c>
      <c r="AF384" s="16"/>
      <c r="AI384" s="3" t="str">
        <f t="shared" ca="1" si="5"/>
        <v>OK</v>
      </c>
    </row>
    <row r="385" spans="1:35" hidden="1" x14ac:dyDescent="0.3">
      <c r="A385" s="13">
        <v>46032</v>
      </c>
      <c r="B385" s="14" t="s">
        <v>2806</v>
      </c>
      <c r="C385" s="16"/>
      <c r="D385" s="16"/>
      <c r="E385" s="15" t="s">
        <v>855</v>
      </c>
      <c r="F385" s="15" t="s">
        <v>907</v>
      </c>
      <c r="G385" s="15" t="s">
        <v>429</v>
      </c>
      <c r="H385" s="15"/>
      <c r="I385" s="15" t="s">
        <v>2018</v>
      </c>
      <c r="J385" s="15" t="s">
        <v>2019</v>
      </c>
      <c r="K385" s="16"/>
      <c r="L385" s="14" t="s">
        <v>2823</v>
      </c>
      <c r="M385" s="16"/>
      <c r="N385" s="15" t="s">
        <v>1014</v>
      </c>
      <c r="O385" s="14">
        <v>0.45800000000000002</v>
      </c>
      <c r="P385" s="14" t="s">
        <v>2845</v>
      </c>
      <c r="Q385" s="14" cm="1">
        <f t="array" ref="Q385">_xlfn.IFS(P385="USD",O385,P385="VND",O385/26090,P385="JPY",O385/161)</f>
        <v>0.45800000000000002</v>
      </c>
      <c r="R385" s="14">
        <v>30</v>
      </c>
      <c r="S385" s="14">
        <v>1</v>
      </c>
      <c r="T385" s="14"/>
      <c r="U385" s="14" t="s">
        <v>2849</v>
      </c>
      <c r="V385" s="14" t="s">
        <v>2857</v>
      </c>
      <c r="W385" s="14" t="s">
        <v>2858</v>
      </c>
      <c r="X385" s="17">
        <v>0</v>
      </c>
      <c r="Y385" s="15" t="s">
        <v>2875</v>
      </c>
      <c r="Z385" s="20">
        <v>46029</v>
      </c>
      <c r="AA385" s="18"/>
      <c r="AB385" s="16"/>
      <c r="AC385" s="16"/>
      <c r="AD385" s="16"/>
      <c r="AE385" s="16" t="s">
        <v>3025</v>
      </c>
      <c r="AF385" s="16"/>
      <c r="AI385" s="3" t="str">
        <f t="shared" ca="1" si="5"/>
        <v>OK</v>
      </c>
    </row>
    <row r="386" spans="1:35" hidden="1" x14ac:dyDescent="0.3">
      <c r="A386" s="13">
        <v>46032</v>
      </c>
      <c r="B386" s="14" t="s">
        <v>2806</v>
      </c>
      <c r="C386" s="16"/>
      <c r="D386" s="16"/>
      <c r="E386" s="15" t="s">
        <v>855</v>
      </c>
      <c r="F386" s="15" t="s">
        <v>907</v>
      </c>
      <c r="G386" s="15" t="s">
        <v>430</v>
      </c>
      <c r="H386" s="15"/>
      <c r="I386" s="15" t="s">
        <v>2020</v>
      </c>
      <c r="J386" s="15" t="s">
        <v>2021</v>
      </c>
      <c r="K386" s="16"/>
      <c r="L386" s="14" t="s">
        <v>2833</v>
      </c>
      <c r="M386" s="16"/>
      <c r="N386" s="15" t="s">
        <v>1013</v>
      </c>
      <c r="O386" s="14">
        <v>9.1669999999999998</v>
      </c>
      <c r="P386" s="14" t="s">
        <v>2845</v>
      </c>
      <c r="Q386" s="14" cm="1">
        <f t="array" ref="Q386">_xlfn.IFS(P386="USD",O386,P386="VND",O386/26090,P386="JPY",O386/161)</f>
        <v>9.1669999999999998</v>
      </c>
      <c r="R386" s="14">
        <v>30</v>
      </c>
      <c r="S386" s="14">
        <v>1</v>
      </c>
      <c r="T386" s="14"/>
      <c r="U386" s="14" t="s">
        <v>2849</v>
      </c>
      <c r="V386" s="14" t="s">
        <v>2857</v>
      </c>
      <c r="W386" s="14" t="s">
        <v>2858</v>
      </c>
      <c r="X386" s="17">
        <v>0</v>
      </c>
      <c r="Y386" s="15" t="s">
        <v>2875</v>
      </c>
      <c r="Z386" s="20">
        <v>46029</v>
      </c>
      <c r="AA386" s="18"/>
      <c r="AB386" s="16"/>
      <c r="AC386" s="16"/>
      <c r="AD386" s="16"/>
      <c r="AE386" s="16" t="s">
        <v>3025</v>
      </c>
      <c r="AF386" s="16"/>
      <c r="AI386" s="3" t="str">
        <f t="shared" ca="1" si="5"/>
        <v>OK</v>
      </c>
    </row>
    <row r="387" spans="1:35" hidden="1" x14ac:dyDescent="0.3">
      <c r="A387" s="13">
        <v>46032</v>
      </c>
      <c r="B387" s="14" t="s">
        <v>2806</v>
      </c>
      <c r="C387" s="16"/>
      <c r="D387" s="16"/>
      <c r="E387" s="15" t="s">
        <v>855</v>
      </c>
      <c r="F387" s="15" t="s">
        <v>907</v>
      </c>
      <c r="G387" s="15" t="s">
        <v>431</v>
      </c>
      <c r="H387" s="15"/>
      <c r="I387" s="15" t="s">
        <v>2022</v>
      </c>
      <c r="J387" s="15" t="s">
        <v>2023</v>
      </c>
      <c r="K387" s="16"/>
      <c r="L387" s="14" t="s">
        <v>2833</v>
      </c>
      <c r="M387" s="16"/>
      <c r="N387" s="15" t="s">
        <v>1014</v>
      </c>
      <c r="O387" s="14">
        <v>20.48</v>
      </c>
      <c r="P387" s="14" t="s">
        <v>2845</v>
      </c>
      <c r="Q387" s="14" cm="1">
        <f t="array" ref="Q387">_xlfn.IFS(P387="USD",O387,P387="VND",O387/26090,P387="JPY",O387/161)</f>
        <v>20.48</v>
      </c>
      <c r="R387" s="14">
        <v>30</v>
      </c>
      <c r="S387" s="14">
        <v>1</v>
      </c>
      <c r="T387" s="14"/>
      <c r="U387" s="14" t="s">
        <v>2849</v>
      </c>
      <c r="V387" s="14" t="s">
        <v>2857</v>
      </c>
      <c r="W387" s="14" t="s">
        <v>2858</v>
      </c>
      <c r="X387" s="17">
        <v>0</v>
      </c>
      <c r="Y387" s="15" t="s">
        <v>2875</v>
      </c>
      <c r="Z387" s="20">
        <v>46029</v>
      </c>
      <c r="AA387" s="18"/>
      <c r="AB387" s="16"/>
      <c r="AC387" s="16"/>
      <c r="AD387" s="16"/>
      <c r="AE387" s="16" t="s">
        <v>3025</v>
      </c>
      <c r="AF387" s="16"/>
      <c r="AI387" s="3" t="str">
        <f t="shared" ref="AI387:AI450" ca="1" si="6">IF(AA387="","OK",IF(AA387&lt;TODAY(),"NG","OK"))</f>
        <v>OK</v>
      </c>
    </row>
    <row r="388" spans="1:35" hidden="1" x14ac:dyDescent="0.3">
      <c r="A388" s="13">
        <v>46032</v>
      </c>
      <c r="B388" s="14" t="s">
        <v>2806</v>
      </c>
      <c r="C388" s="16"/>
      <c r="D388" s="16"/>
      <c r="E388" s="15" t="s">
        <v>855</v>
      </c>
      <c r="F388" s="15" t="s">
        <v>907</v>
      </c>
      <c r="G388" s="15" t="s">
        <v>432</v>
      </c>
      <c r="H388" s="15"/>
      <c r="I388" s="15" t="s">
        <v>2024</v>
      </c>
      <c r="J388" s="15" t="s">
        <v>2025</v>
      </c>
      <c r="K388" s="16"/>
      <c r="L388" s="14" t="s">
        <v>2823</v>
      </c>
      <c r="M388" s="16"/>
      <c r="N388" s="15" t="s">
        <v>1014</v>
      </c>
      <c r="O388" s="14">
        <v>0.11</v>
      </c>
      <c r="P388" s="14" t="s">
        <v>2845</v>
      </c>
      <c r="Q388" s="14" cm="1">
        <f t="array" ref="Q388">_xlfn.IFS(P388="USD",O388,P388="VND",O388/26090,P388="JPY",O388/161)</f>
        <v>0.11</v>
      </c>
      <c r="R388" s="14">
        <v>30</v>
      </c>
      <c r="S388" s="14">
        <v>1</v>
      </c>
      <c r="T388" s="14"/>
      <c r="U388" s="14" t="s">
        <v>2849</v>
      </c>
      <c r="V388" s="14" t="s">
        <v>2857</v>
      </c>
      <c r="W388" s="14" t="s">
        <v>2858</v>
      </c>
      <c r="X388" s="17">
        <v>0</v>
      </c>
      <c r="Y388" s="15" t="s">
        <v>2875</v>
      </c>
      <c r="Z388" s="20">
        <v>46029</v>
      </c>
      <c r="AA388" s="18"/>
      <c r="AB388" s="16"/>
      <c r="AC388" s="16"/>
      <c r="AD388" s="16"/>
      <c r="AE388" s="16" t="s">
        <v>3025</v>
      </c>
      <c r="AF388" s="16"/>
      <c r="AI388" s="3" t="str">
        <f t="shared" ca="1" si="6"/>
        <v>OK</v>
      </c>
    </row>
    <row r="389" spans="1:35" hidden="1" x14ac:dyDescent="0.3">
      <c r="A389" s="13">
        <v>46032</v>
      </c>
      <c r="B389" s="14" t="s">
        <v>2806</v>
      </c>
      <c r="C389" s="16"/>
      <c r="D389" s="16"/>
      <c r="E389" s="15" t="s">
        <v>855</v>
      </c>
      <c r="F389" s="15" t="s">
        <v>907</v>
      </c>
      <c r="G389" s="15" t="s">
        <v>433</v>
      </c>
      <c r="H389" s="15"/>
      <c r="I389" s="15" t="s">
        <v>2026</v>
      </c>
      <c r="J389" s="15" t="s">
        <v>2027</v>
      </c>
      <c r="K389" s="16"/>
      <c r="L389" s="14" t="s">
        <v>2823</v>
      </c>
      <c r="M389" s="16"/>
      <c r="N389" s="15" t="s">
        <v>1013</v>
      </c>
      <c r="O389" s="14">
        <v>0.34</v>
      </c>
      <c r="P389" s="14" t="s">
        <v>2845</v>
      </c>
      <c r="Q389" s="14" cm="1">
        <f t="array" ref="Q389">_xlfn.IFS(P389="USD",O389,P389="VND",O389/26090,P389="JPY",O389/161)</f>
        <v>0.34</v>
      </c>
      <c r="R389" s="14">
        <v>30</v>
      </c>
      <c r="S389" s="14">
        <v>1</v>
      </c>
      <c r="T389" s="14"/>
      <c r="U389" s="14" t="s">
        <v>2849</v>
      </c>
      <c r="V389" s="14" t="s">
        <v>2857</v>
      </c>
      <c r="W389" s="14" t="s">
        <v>2858</v>
      </c>
      <c r="X389" s="17">
        <v>0</v>
      </c>
      <c r="Y389" s="15" t="s">
        <v>2875</v>
      </c>
      <c r="Z389" s="20">
        <v>46029</v>
      </c>
      <c r="AA389" s="18"/>
      <c r="AB389" s="16"/>
      <c r="AC389" s="16"/>
      <c r="AD389" s="16"/>
      <c r="AE389" s="16" t="s">
        <v>3025</v>
      </c>
      <c r="AF389" s="16"/>
      <c r="AI389" s="3" t="str">
        <f t="shared" ca="1" si="6"/>
        <v>OK</v>
      </c>
    </row>
    <row r="390" spans="1:35" hidden="1" x14ac:dyDescent="0.3">
      <c r="A390" s="13">
        <v>46032</v>
      </c>
      <c r="B390" s="14" t="s">
        <v>2806</v>
      </c>
      <c r="C390" s="16"/>
      <c r="D390" s="16"/>
      <c r="E390" s="15" t="s">
        <v>855</v>
      </c>
      <c r="F390" s="15" t="s">
        <v>907</v>
      </c>
      <c r="G390" s="15" t="s">
        <v>434</v>
      </c>
      <c r="H390" s="15"/>
      <c r="I390" s="15" t="s">
        <v>2028</v>
      </c>
      <c r="J390" s="15" t="s">
        <v>2029</v>
      </c>
      <c r="K390" s="16"/>
      <c r="L390" s="14" t="s">
        <v>2823</v>
      </c>
      <c r="M390" s="16"/>
      <c r="N390" s="15" t="s">
        <v>1013</v>
      </c>
      <c r="O390" s="14">
        <v>0.48899999999999999</v>
      </c>
      <c r="P390" s="14" t="s">
        <v>2845</v>
      </c>
      <c r="Q390" s="14" cm="1">
        <f t="array" ref="Q390">_xlfn.IFS(P390="USD",O390,P390="VND",O390/26090,P390="JPY",O390/161)</f>
        <v>0.48899999999999999</v>
      </c>
      <c r="R390" s="14">
        <v>30</v>
      </c>
      <c r="S390" s="14">
        <v>1</v>
      </c>
      <c r="T390" s="14"/>
      <c r="U390" s="14" t="s">
        <v>2849</v>
      </c>
      <c r="V390" s="14" t="s">
        <v>2857</v>
      </c>
      <c r="W390" s="14" t="s">
        <v>2858</v>
      </c>
      <c r="X390" s="17">
        <v>0</v>
      </c>
      <c r="Y390" s="15" t="s">
        <v>2875</v>
      </c>
      <c r="Z390" s="20">
        <v>46029</v>
      </c>
      <c r="AA390" s="18"/>
      <c r="AB390" s="16"/>
      <c r="AC390" s="16"/>
      <c r="AD390" s="16"/>
      <c r="AE390" s="16" t="s">
        <v>3025</v>
      </c>
      <c r="AF390" s="16"/>
      <c r="AI390" s="3" t="str">
        <f t="shared" ca="1" si="6"/>
        <v>OK</v>
      </c>
    </row>
    <row r="391" spans="1:35" hidden="1" x14ac:dyDescent="0.3">
      <c r="A391" s="13">
        <v>46032</v>
      </c>
      <c r="B391" s="14" t="s">
        <v>2806</v>
      </c>
      <c r="C391" s="16"/>
      <c r="D391" s="16"/>
      <c r="E391" s="15" t="s">
        <v>855</v>
      </c>
      <c r="F391" s="15" t="s">
        <v>907</v>
      </c>
      <c r="G391" s="15" t="s">
        <v>435</v>
      </c>
      <c r="H391" s="15"/>
      <c r="I391" s="15" t="s">
        <v>2030</v>
      </c>
      <c r="J391" s="15" t="s">
        <v>2031</v>
      </c>
      <c r="K391" s="16"/>
      <c r="L391" s="14" t="s">
        <v>2823</v>
      </c>
      <c r="M391" s="16"/>
      <c r="N391" s="15" t="s">
        <v>1013</v>
      </c>
      <c r="O391" s="14">
        <v>0.51500000000000001</v>
      </c>
      <c r="P391" s="14" t="s">
        <v>2845</v>
      </c>
      <c r="Q391" s="14" cm="1">
        <f t="array" ref="Q391">_xlfn.IFS(P391="USD",O391,P391="VND",O391/26090,P391="JPY",O391/161)</f>
        <v>0.51500000000000001</v>
      </c>
      <c r="R391" s="14">
        <v>30</v>
      </c>
      <c r="S391" s="14">
        <v>1</v>
      </c>
      <c r="T391" s="14"/>
      <c r="U391" s="14" t="s">
        <v>2849</v>
      </c>
      <c r="V391" s="14" t="s">
        <v>2857</v>
      </c>
      <c r="W391" s="14" t="s">
        <v>2858</v>
      </c>
      <c r="X391" s="17">
        <v>0</v>
      </c>
      <c r="Y391" s="15" t="s">
        <v>2875</v>
      </c>
      <c r="Z391" s="20">
        <v>46029</v>
      </c>
      <c r="AA391" s="18"/>
      <c r="AB391" s="16"/>
      <c r="AC391" s="16"/>
      <c r="AD391" s="16"/>
      <c r="AE391" s="16" t="s">
        <v>3025</v>
      </c>
      <c r="AF391" s="16"/>
      <c r="AI391" s="3" t="str">
        <f t="shared" ca="1" si="6"/>
        <v>OK</v>
      </c>
    </row>
    <row r="392" spans="1:35" hidden="1" x14ac:dyDescent="0.3">
      <c r="A392" s="13">
        <v>46032</v>
      </c>
      <c r="B392" s="14" t="s">
        <v>2806</v>
      </c>
      <c r="C392" s="16"/>
      <c r="D392" s="16"/>
      <c r="E392" s="15" t="s">
        <v>855</v>
      </c>
      <c r="F392" s="15" t="s">
        <v>907</v>
      </c>
      <c r="G392" s="15" t="s">
        <v>436</v>
      </c>
      <c r="H392" s="15"/>
      <c r="I392" s="15" t="s">
        <v>2032</v>
      </c>
      <c r="J392" s="15" t="s">
        <v>2033</v>
      </c>
      <c r="K392" s="16"/>
      <c r="L392" s="14" t="s">
        <v>2823</v>
      </c>
      <c r="M392" s="16"/>
      <c r="N392" s="15" t="s">
        <v>1013</v>
      </c>
      <c r="O392" s="14">
        <v>0.45800000000000002</v>
      </c>
      <c r="P392" s="14" t="s">
        <v>2845</v>
      </c>
      <c r="Q392" s="14" cm="1">
        <f t="array" ref="Q392">_xlfn.IFS(P392="USD",O392,P392="VND",O392/26090,P392="JPY",O392/161)</f>
        <v>0.45800000000000002</v>
      </c>
      <c r="R392" s="14">
        <v>30</v>
      </c>
      <c r="S392" s="14">
        <v>1</v>
      </c>
      <c r="T392" s="14"/>
      <c r="U392" s="14" t="s">
        <v>2849</v>
      </c>
      <c r="V392" s="14" t="s">
        <v>2857</v>
      </c>
      <c r="W392" s="14" t="s">
        <v>2858</v>
      </c>
      <c r="X392" s="17">
        <v>0</v>
      </c>
      <c r="Y392" s="15" t="s">
        <v>2875</v>
      </c>
      <c r="Z392" s="20">
        <v>46029</v>
      </c>
      <c r="AA392" s="18"/>
      <c r="AB392" s="16"/>
      <c r="AC392" s="16"/>
      <c r="AD392" s="16"/>
      <c r="AE392" s="16" t="s">
        <v>3025</v>
      </c>
      <c r="AF392" s="16"/>
      <c r="AI392" s="3" t="str">
        <f t="shared" ca="1" si="6"/>
        <v>OK</v>
      </c>
    </row>
    <row r="393" spans="1:35" hidden="1" x14ac:dyDescent="0.3">
      <c r="A393" s="13">
        <v>46032</v>
      </c>
      <c r="B393" s="14" t="s">
        <v>2806</v>
      </c>
      <c r="C393" s="16"/>
      <c r="D393" s="16"/>
      <c r="E393" s="15" t="s">
        <v>855</v>
      </c>
      <c r="F393" s="15" t="s">
        <v>907</v>
      </c>
      <c r="G393" s="15" t="s">
        <v>437</v>
      </c>
      <c r="H393" s="15"/>
      <c r="I393" s="15" t="s">
        <v>2034</v>
      </c>
      <c r="J393" s="15" t="s">
        <v>2035</v>
      </c>
      <c r="K393" s="16"/>
      <c r="L393" s="14" t="s">
        <v>2823</v>
      </c>
      <c r="M393" s="16"/>
      <c r="N393" s="15" t="s">
        <v>1014</v>
      </c>
      <c r="O393" s="14">
        <v>0.438</v>
      </c>
      <c r="P393" s="14" t="s">
        <v>2845</v>
      </c>
      <c r="Q393" s="14" cm="1">
        <f t="array" ref="Q393">_xlfn.IFS(P393="USD",O393,P393="VND",O393/26090,P393="JPY",O393/161)</f>
        <v>0.438</v>
      </c>
      <c r="R393" s="14">
        <v>30</v>
      </c>
      <c r="S393" s="14">
        <v>1</v>
      </c>
      <c r="T393" s="14"/>
      <c r="U393" s="14" t="s">
        <v>2849</v>
      </c>
      <c r="V393" s="14" t="s">
        <v>2857</v>
      </c>
      <c r="W393" s="14" t="s">
        <v>2858</v>
      </c>
      <c r="X393" s="17">
        <v>0</v>
      </c>
      <c r="Y393" s="15" t="s">
        <v>2875</v>
      </c>
      <c r="Z393" s="20">
        <v>46029</v>
      </c>
      <c r="AA393" s="18"/>
      <c r="AB393" s="16"/>
      <c r="AC393" s="16"/>
      <c r="AD393" s="16"/>
      <c r="AE393" s="16" t="s">
        <v>3025</v>
      </c>
      <c r="AF393" s="16"/>
      <c r="AI393" s="3" t="str">
        <f t="shared" ca="1" si="6"/>
        <v>OK</v>
      </c>
    </row>
    <row r="394" spans="1:35" hidden="1" x14ac:dyDescent="0.3">
      <c r="A394" s="13">
        <v>46032</v>
      </c>
      <c r="B394" s="14" t="s">
        <v>2806</v>
      </c>
      <c r="C394" s="16"/>
      <c r="D394" s="16"/>
      <c r="E394" s="15" t="s">
        <v>855</v>
      </c>
      <c r="F394" s="15" t="s">
        <v>907</v>
      </c>
      <c r="G394" s="15" t="s">
        <v>438</v>
      </c>
      <c r="H394" s="15"/>
      <c r="I394" s="15" t="s">
        <v>2036</v>
      </c>
      <c r="J394" s="15" t="s">
        <v>2037</v>
      </c>
      <c r="K394" s="16"/>
      <c r="L394" s="14" t="s">
        <v>2823</v>
      </c>
      <c r="M394" s="16"/>
      <c r="N394" s="15" t="s">
        <v>1014</v>
      </c>
      <c r="O394" s="14">
        <v>0.41</v>
      </c>
      <c r="P394" s="14" t="s">
        <v>2845</v>
      </c>
      <c r="Q394" s="14" cm="1">
        <f t="array" ref="Q394">_xlfn.IFS(P394="USD",O394,P394="VND",O394/26090,P394="JPY",O394/161)</f>
        <v>0.41</v>
      </c>
      <c r="R394" s="14">
        <v>30</v>
      </c>
      <c r="S394" s="14">
        <v>1</v>
      </c>
      <c r="T394" s="14"/>
      <c r="U394" s="14" t="s">
        <v>2849</v>
      </c>
      <c r="V394" s="14" t="s">
        <v>2857</v>
      </c>
      <c r="W394" s="14" t="s">
        <v>2858</v>
      </c>
      <c r="X394" s="17">
        <v>0</v>
      </c>
      <c r="Y394" s="15" t="s">
        <v>2875</v>
      </c>
      <c r="Z394" s="20">
        <v>46029</v>
      </c>
      <c r="AA394" s="18"/>
      <c r="AB394" s="16"/>
      <c r="AC394" s="16"/>
      <c r="AD394" s="16"/>
      <c r="AE394" s="16" t="s">
        <v>3025</v>
      </c>
      <c r="AF394" s="16"/>
      <c r="AI394" s="3" t="str">
        <f t="shared" ca="1" si="6"/>
        <v>OK</v>
      </c>
    </row>
    <row r="395" spans="1:35" hidden="1" x14ac:dyDescent="0.3">
      <c r="A395" s="13">
        <v>46032</v>
      </c>
      <c r="B395" s="14" t="s">
        <v>2806</v>
      </c>
      <c r="C395" s="16"/>
      <c r="D395" s="16"/>
      <c r="E395" s="15" t="s">
        <v>855</v>
      </c>
      <c r="F395" s="15" t="s">
        <v>907</v>
      </c>
      <c r="G395" s="15" t="s">
        <v>439</v>
      </c>
      <c r="H395" s="15"/>
      <c r="I395" s="15" t="s">
        <v>2038</v>
      </c>
      <c r="J395" s="15" t="s">
        <v>2039</v>
      </c>
      <c r="K395" s="16"/>
      <c r="L395" s="14" t="s">
        <v>2823</v>
      </c>
      <c r="M395" s="16"/>
      <c r="N395" s="15" t="s">
        <v>1014</v>
      </c>
      <c r="O395" s="14">
        <v>0.58199999999999996</v>
      </c>
      <c r="P395" s="14" t="s">
        <v>2845</v>
      </c>
      <c r="Q395" s="14" cm="1">
        <f t="array" ref="Q395">_xlfn.IFS(P395="USD",O395,P395="VND",O395/26090,P395="JPY",O395/161)</f>
        <v>0.58199999999999996</v>
      </c>
      <c r="R395" s="14">
        <v>30</v>
      </c>
      <c r="S395" s="14">
        <v>1</v>
      </c>
      <c r="T395" s="14"/>
      <c r="U395" s="14" t="s">
        <v>2849</v>
      </c>
      <c r="V395" s="14" t="s">
        <v>2857</v>
      </c>
      <c r="W395" s="14" t="s">
        <v>2858</v>
      </c>
      <c r="X395" s="17">
        <v>0</v>
      </c>
      <c r="Y395" s="15" t="s">
        <v>2875</v>
      </c>
      <c r="Z395" s="20">
        <v>46029</v>
      </c>
      <c r="AA395" s="18"/>
      <c r="AB395" s="16"/>
      <c r="AC395" s="16"/>
      <c r="AD395" s="16"/>
      <c r="AE395" s="16" t="s">
        <v>3025</v>
      </c>
      <c r="AF395" s="16"/>
      <c r="AI395" s="3" t="str">
        <f t="shared" ca="1" si="6"/>
        <v>OK</v>
      </c>
    </row>
    <row r="396" spans="1:35" hidden="1" x14ac:dyDescent="0.3">
      <c r="A396" s="13">
        <v>46032</v>
      </c>
      <c r="B396" s="14" t="s">
        <v>2806</v>
      </c>
      <c r="C396" s="16"/>
      <c r="D396" s="16"/>
      <c r="E396" s="15" t="s">
        <v>855</v>
      </c>
      <c r="F396" s="15" t="s">
        <v>907</v>
      </c>
      <c r="G396" s="15" t="s">
        <v>440</v>
      </c>
      <c r="H396" s="15"/>
      <c r="I396" s="15" t="s">
        <v>2040</v>
      </c>
      <c r="J396" s="15" t="s">
        <v>2041</v>
      </c>
      <c r="K396" s="16"/>
      <c r="L396" s="14" t="s">
        <v>2823</v>
      </c>
      <c r="M396" s="16"/>
      <c r="N396" s="15" t="s">
        <v>1014</v>
      </c>
      <c r="O396" s="14">
        <v>0.41799999999999998</v>
      </c>
      <c r="P396" s="14" t="s">
        <v>2845</v>
      </c>
      <c r="Q396" s="14" cm="1">
        <f t="array" ref="Q396">_xlfn.IFS(P396="USD",O396,P396="VND",O396/26090,P396="JPY",O396/161)</f>
        <v>0.41799999999999998</v>
      </c>
      <c r="R396" s="14">
        <v>30</v>
      </c>
      <c r="S396" s="14">
        <v>1</v>
      </c>
      <c r="T396" s="14"/>
      <c r="U396" s="14" t="s">
        <v>2849</v>
      </c>
      <c r="V396" s="14" t="s">
        <v>2857</v>
      </c>
      <c r="W396" s="14" t="s">
        <v>2858</v>
      </c>
      <c r="X396" s="17">
        <v>0</v>
      </c>
      <c r="Y396" s="15" t="s">
        <v>2875</v>
      </c>
      <c r="Z396" s="20">
        <v>46029</v>
      </c>
      <c r="AA396" s="18"/>
      <c r="AB396" s="16"/>
      <c r="AC396" s="16"/>
      <c r="AD396" s="16"/>
      <c r="AE396" s="16" t="s">
        <v>3025</v>
      </c>
      <c r="AF396" s="16"/>
      <c r="AI396" s="3" t="str">
        <f t="shared" ca="1" si="6"/>
        <v>OK</v>
      </c>
    </row>
    <row r="397" spans="1:35" hidden="1" x14ac:dyDescent="0.3">
      <c r="A397" s="13">
        <v>46032</v>
      </c>
      <c r="B397" s="14" t="s">
        <v>2806</v>
      </c>
      <c r="C397" s="16"/>
      <c r="D397" s="16"/>
      <c r="E397" s="15" t="s">
        <v>855</v>
      </c>
      <c r="F397" s="15" t="s">
        <v>907</v>
      </c>
      <c r="G397" s="15" t="s">
        <v>441</v>
      </c>
      <c r="H397" s="15"/>
      <c r="I397" s="15" t="s">
        <v>2042</v>
      </c>
      <c r="J397" s="15" t="s">
        <v>2043</v>
      </c>
      <c r="K397" s="16"/>
      <c r="L397" s="14" t="s">
        <v>2823</v>
      </c>
      <c r="M397" s="16"/>
      <c r="N397" s="15" t="s">
        <v>1013</v>
      </c>
      <c r="O397" s="14">
        <v>6.0999999999999999E-2</v>
      </c>
      <c r="P397" s="14" t="s">
        <v>2845</v>
      </c>
      <c r="Q397" s="14" cm="1">
        <f t="array" ref="Q397">_xlfn.IFS(P397="USD",O397,P397="VND",O397/26090,P397="JPY",O397/161)</f>
        <v>6.0999999999999999E-2</v>
      </c>
      <c r="R397" s="14">
        <v>30</v>
      </c>
      <c r="S397" s="14">
        <v>1</v>
      </c>
      <c r="T397" s="14"/>
      <c r="U397" s="14" t="s">
        <v>2849</v>
      </c>
      <c r="V397" s="14" t="s">
        <v>2857</v>
      </c>
      <c r="W397" s="14" t="s">
        <v>2858</v>
      </c>
      <c r="X397" s="17">
        <v>0</v>
      </c>
      <c r="Y397" s="15" t="s">
        <v>2875</v>
      </c>
      <c r="Z397" s="20">
        <v>46029</v>
      </c>
      <c r="AA397" s="18"/>
      <c r="AB397" s="16"/>
      <c r="AC397" s="16"/>
      <c r="AD397" s="16"/>
      <c r="AE397" s="16" t="s">
        <v>3025</v>
      </c>
      <c r="AF397" s="16"/>
      <c r="AI397" s="3" t="str">
        <f t="shared" ca="1" si="6"/>
        <v>OK</v>
      </c>
    </row>
    <row r="398" spans="1:35" hidden="1" x14ac:dyDescent="0.3">
      <c r="A398" s="13">
        <v>46032</v>
      </c>
      <c r="B398" s="14" t="s">
        <v>2806</v>
      </c>
      <c r="C398" s="16"/>
      <c r="D398" s="16"/>
      <c r="E398" s="15" t="s">
        <v>855</v>
      </c>
      <c r="F398" s="15" t="s">
        <v>907</v>
      </c>
      <c r="G398" s="15" t="s">
        <v>442</v>
      </c>
      <c r="H398" s="15"/>
      <c r="I398" s="15" t="s">
        <v>2044</v>
      </c>
      <c r="J398" s="15" t="s">
        <v>2045</v>
      </c>
      <c r="K398" s="16"/>
      <c r="L398" s="14" t="s">
        <v>2823</v>
      </c>
      <c r="M398" s="16"/>
      <c r="N398" s="15" t="s">
        <v>1013</v>
      </c>
      <c r="O398" s="14">
        <v>4.8000000000000001E-2</v>
      </c>
      <c r="P398" s="14" t="s">
        <v>2845</v>
      </c>
      <c r="Q398" s="14" cm="1">
        <f t="array" ref="Q398">_xlfn.IFS(P398="USD",O398,P398="VND",O398/26090,P398="JPY",O398/161)</f>
        <v>4.8000000000000001E-2</v>
      </c>
      <c r="R398" s="14">
        <v>30</v>
      </c>
      <c r="S398" s="14">
        <v>1</v>
      </c>
      <c r="T398" s="14"/>
      <c r="U398" s="14" t="s">
        <v>2849</v>
      </c>
      <c r="V398" s="14" t="s">
        <v>2857</v>
      </c>
      <c r="W398" s="14" t="s">
        <v>2858</v>
      </c>
      <c r="X398" s="17">
        <v>0</v>
      </c>
      <c r="Y398" s="15" t="s">
        <v>2875</v>
      </c>
      <c r="Z398" s="20">
        <v>46029</v>
      </c>
      <c r="AA398" s="18"/>
      <c r="AB398" s="16"/>
      <c r="AC398" s="16"/>
      <c r="AD398" s="16"/>
      <c r="AE398" s="16" t="s">
        <v>3025</v>
      </c>
      <c r="AF398" s="16"/>
      <c r="AI398" s="3" t="str">
        <f t="shared" ca="1" si="6"/>
        <v>OK</v>
      </c>
    </row>
    <row r="399" spans="1:35" hidden="1" x14ac:dyDescent="0.3">
      <c r="A399" s="13">
        <v>46032</v>
      </c>
      <c r="B399" s="14" t="s">
        <v>2806</v>
      </c>
      <c r="C399" s="16"/>
      <c r="D399" s="16"/>
      <c r="E399" s="15" t="s">
        <v>849</v>
      </c>
      <c r="F399" s="15" t="s">
        <v>1243</v>
      </c>
      <c r="G399" s="15" t="s">
        <v>443</v>
      </c>
      <c r="H399" s="15"/>
      <c r="I399" s="15" t="s">
        <v>2046</v>
      </c>
      <c r="J399" s="15" t="s">
        <v>2047</v>
      </c>
      <c r="K399" s="16"/>
      <c r="L399" s="14" t="s">
        <v>2823</v>
      </c>
      <c r="M399" s="16"/>
      <c r="N399" s="15" t="s">
        <v>1041</v>
      </c>
      <c r="O399" s="14">
        <v>10.33</v>
      </c>
      <c r="P399" s="14" t="s">
        <v>2845</v>
      </c>
      <c r="Q399" s="14" cm="1">
        <f t="array" ref="Q399">_xlfn.IFS(P399="USD",O399,P399="VND",O399/26090,P399="JPY",O399/161)</f>
        <v>10.33</v>
      </c>
      <c r="R399" s="14">
        <v>25</v>
      </c>
      <c r="S399" s="14">
        <v>1</v>
      </c>
      <c r="T399" s="14"/>
      <c r="U399" s="14" t="s">
        <v>2849</v>
      </c>
      <c r="V399" s="14" t="s">
        <v>2857</v>
      </c>
      <c r="W399" s="14" t="s">
        <v>2858</v>
      </c>
      <c r="X399" s="17">
        <v>0</v>
      </c>
      <c r="Y399" s="15" t="s">
        <v>2875</v>
      </c>
      <c r="Z399" s="20">
        <v>46028</v>
      </c>
      <c r="AA399" s="20">
        <v>46393</v>
      </c>
      <c r="AB399" s="16"/>
      <c r="AC399" s="16"/>
      <c r="AD399" s="16"/>
      <c r="AE399" s="16" t="s">
        <v>2959</v>
      </c>
      <c r="AF399" s="16"/>
      <c r="AI399" s="3" t="str">
        <f t="shared" ca="1" si="6"/>
        <v>OK</v>
      </c>
    </row>
    <row r="400" spans="1:35" hidden="1" x14ac:dyDescent="0.3">
      <c r="A400" s="13">
        <v>46032</v>
      </c>
      <c r="B400" s="14" t="s">
        <v>2806</v>
      </c>
      <c r="C400" s="16"/>
      <c r="D400" s="16"/>
      <c r="E400" s="15" t="s">
        <v>859</v>
      </c>
      <c r="F400" s="15" t="s">
        <v>908</v>
      </c>
      <c r="G400" s="15" t="s">
        <v>444</v>
      </c>
      <c r="H400" s="15"/>
      <c r="I400" s="15" t="s">
        <v>2048</v>
      </c>
      <c r="J400" s="15" t="s">
        <v>2049</v>
      </c>
      <c r="K400" s="16"/>
      <c r="L400" s="14" t="s">
        <v>2832</v>
      </c>
      <c r="M400" s="16"/>
      <c r="N400" s="15" t="s">
        <v>1085</v>
      </c>
      <c r="O400" s="14">
        <v>1.57</v>
      </c>
      <c r="P400" s="14" t="s">
        <v>2845</v>
      </c>
      <c r="Q400" s="14" cm="1">
        <f t="array" ref="Q400">_xlfn.IFS(P400="USD",O400,P400="VND",O400/26090,P400="JPY",O400/161)</f>
        <v>1.57</v>
      </c>
      <c r="R400" s="14">
        <v>10</v>
      </c>
      <c r="S400" s="14">
        <v>1</v>
      </c>
      <c r="T400" s="14"/>
      <c r="U400" s="14" t="s">
        <v>2848</v>
      </c>
      <c r="V400" s="14" t="s">
        <v>2857</v>
      </c>
      <c r="W400" s="14" t="s">
        <v>2858</v>
      </c>
      <c r="X400" s="17">
        <v>0</v>
      </c>
      <c r="Y400" s="15" t="s">
        <v>2875</v>
      </c>
      <c r="Z400" s="20">
        <v>45664</v>
      </c>
      <c r="AA400" s="18"/>
      <c r="AB400" s="16"/>
      <c r="AC400" s="16"/>
      <c r="AD400" s="16"/>
      <c r="AE400" s="16" t="s">
        <v>3033</v>
      </c>
      <c r="AF400" s="16"/>
      <c r="AI400" s="3" t="str">
        <f t="shared" ca="1" si="6"/>
        <v>OK</v>
      </c>
    </row>
    <row r="401" spans="1:35" hidden="1" x14ac:dyDescent="0.3">
      <c r="A401" s="13">
        <v>46032</v>
      </c>
      <c r="B401" s="14" t="s">
        <v>2806</v>
      </c>
      <c r="C401" s="16"/>
      <c r="D401" s="16"/>
      <c r="E401" s="15" t="s">
        <v>859</v>
      </c>
      <c r="F401" s="15" t="s">
        <v>908</v>
      </c>
      <c r="G401" s="15" t="s">
        <v>445</v>
      </c>
      <c r="H401" s="15"/>
      <c r="I401" s="15" t="s">
        <v>2050</v>
      </c>
      <c r="J401" s="15" t="s">
        <v>2049</v>
      </c>
      <c r="K401" s="16"/>
      <c r="L401" s="14" t="s">
        <v>2832</v>
      </c>
      <c r="M401" s="16"/>
      <c r="N401" s="15" t="s">
        <v>1085</v>
      </c>
      <c r="O401" s="14">
        <v>1.57</v>
      </c>
      <c r="P401" s="14" t="s">
        <v>2845</v>
      </c>
      <c r="Q401" s="14" cm="1">
        <f t="array" ref="Q401">_xlfn.IFS(P401="USD",O401,P401="VND",O401/26090,P401="JPY",O401/161)</f>
        <v>1.57</v>
      </c>
      <c r="R401" s="14">
        <v>10</v>
      </c>
      <c r="S401" s="14">
        <v>1</v>
      </c>
      <c r="T401" s="14"/>
      <c r="U401" s="14" t="s">
        <v>2848</v>
      </c>
      <c r="V401" s="14" t="s">
        <v>2857</v>
      </c>
      <c r="W401" s="14" t="s">
        <v>2858</v>
      </c>
      <c r="X401" s="17">
        <v>0</v>
      </c>
      <c r="Y401" s="15" t="s">
        <v>2875</v>
      </c>
      <c r="Z401" s="20">
        <v>45664</v>
      </c>
      <c r="AA401" s="18"/>
      <c r="AB401" s="16"/>
      <c r="AC401" s="16"/>
      <c r="AD401" s="16"/>
      <c r="AE401" s="16" t="s">
        <v>3033</v>
      </c>
      <c r="AF401" s="16"/>
      <c r="AI401" s="3" t="str">
        <f t="shared" ca="1" si="6"/>
        <v>OK</v>
      </c>
    </row>
    <row r="402" spans="1:35" hidden="1" x14ac:dyDescent="0.3">
      <c r="A402" s="13">
        <v>46032</v>
      </c>
      <c r="B402" s="14" t="s">
        <v>2806</v>
      </c>
      <c r="C402" s="16"/>
      <c r="D402" s="16"/>
      <c r="E402" s="15" t="s">
        <v>859</v>
      </c>
      <c r="F402" s="15" t="s">
        <v>908</v>
      </c>
      <c r="G402" s="15" t="s">
        <v>446</v>
      </c>
      <c r="H402" s="15"/>
      <c r="I402" s="15" t="s">
        <v>2051</v>
      </c>
      <c r="J402" s="15" t="s">
        <v>2049</v>
      </c>
      <c r="K402" s="16"/>
      <c r="L402" s="14" t="s">
        <v>2832</v>
      </c>
      <c r="M402" s="16"/>
      <c r="N402" s="15" t="s">
        <v>1085</v>
      </c>
      <c r="O402" s="14">
        <v>1.57</v>
      </c>
      <c r="P402" s="14" t="s">
        <v>2845</v>
      </c>
      <c r="Q402" s="14" cm="1">
        <f t="array" ref="Q402">_xlfn.IFS(P402="USD",O402,P402="VND",O402/26090,P402="JPY",O402/161)</f>
        <v>1.57</v>
      </c>
      <c r="R402" s="14">
        <v>10</v>
      </c>
      <c r="S402" s="14">
        <v>1</v>
      </c>
      <c r="T402" s="14"/>
      <c r="U402" s="14" t="s">
        <v>2848</v>
      </c>
      <c r="V402" s="14" t="s">
        <v>2857</v>
      </c>
      <c r="W402" s="14" t="s">
        <v>2858</v>
      </c>
      <c r="X402" s="17">
        <v>0</v>
      </c>
      <c r="Y402" s="15" t="s">
        <v>2875</v>
      </c>
      <c r="Z402" s="20">
        <v>45664</v>
      </c>
      <c r="AA402" s="18"/>
      <c r="AB402" s="16"/>
      <c r="AC402" s="16"/>
      <c r="AD402" s="16"/>
      <c r="AE402" s="16" t="s">
        <v>3033</v>
      </c>
      <c r="AF402" s="16"/>
      <c r="AI402" s="3" t="str">
        <f t="shared" ca="1" si="6"/>
        <v>OK</v>
      </c>
    </row>
    <row r="403" spans="1:35" x14ac:dyDescent="0.3">
      <c r="A403" s="13">
        <v>46032</v>
      </c>
      <c r="B403" s="14" t="s">
        <v>2806</v>
      </c>
      <c r="C403" s="16"/>
      <c r="D403" s="16"/>
      <c r="E403" s="15" t="s">
        <v>862</v>
      </c>
      <c r="F403" s="15" t="s">
        <v>1251</v>
      </c>
      <c r="G403" s="15" t="s">
        <v>447</v>
      </c>
      <c r="H403" s="15"/>
      <c r="I403" s="15" t="s">
        <v>2052</v>
      </c>
      <c r="J403" s="15" t="s">
        <v>2053</v>
      </c>
      <c r="K403" s="16"/>
      <c r="L403" s="14" t="s">
        <v>2823</v>
      </c>
      <c r="M403" s="16"/>
      <c r="N403" s="15" t="s">
        <v>950</v>
      </c>
      <c r="O403" s="14">
        <v>3000000</v>
      </c>
      <c r="P403" s="14" t="s">
        <v>2846</v>
      </c>
      <c r="Q403" s="14" cm="1">
        <f t="array" ref="Q403">_xlfn.IFS(P403="USD",O403,P403="VND",O403/26090,P403="JPY",O403/161)</f>
        <v>114.98658489842852</v>
      </c>
      <c r="R403" s="14">
        <v>7</v>
      </c>
      <c r="S403" s="14">
        <v>1</v>
      </c>
      <c r="T403" s="14"/>
      <c r="U403" s="14" t="s">
        <v>2848</v>
      </c>
      <c r="V403" s="14" t="s">
        <v>2857</v>
      </c>
      <c r="W403" s="14" t="s">
        <v>2858</v>
      </c>
      <c r="X403" s="17">
        <v>0</v>
      </c>
      <c r="Y403" s="15" t="s">
        <v>2875</v>
      </c>
      <c r="Z403" s="18" t="s">
        <v>2929</v>
      </c>
      <c r="AA403" s="22" t="s">
        <v>2931</v>
      </c>
      <c r="AB403" s="16"/>
      <c r="AC403" s="16"/>
      <c r="AD403" s="16"/>
      <c r="AE403" s="16" t="s">
        <v>2933</v>
      </c>
      <c r="AF403" s="16"/>
      <c r="AI403" s="3" t="str">
        <f t="shared" ca="1" si="6"/>
        <v>OK</v>
      </c>
    </row>
    <row r="404" spans="1:35" x14ac:dyDescent="0.3">
      <c r="A404" s="13">
        <v>46032</v>
      </c>
      <c r="B404" s="14" t="s">
        <v>2806</v>
      </c>
      <c r="C404" s="16"/>
      <c r="D404" s="16"/>
      <c r="E404" s="15" t="s">
        <v>862</v>
      </c>
      <c r="F404" s="15" t="s">
        <v>1251</v>
      </c>
      <c r="G404" s="15" t="s">
        <v>448</v>
      </c>
      <c r="H404" s="15"/>
      <c r="I404" s="15" t="s">
        <v>2054</v>
      </c>
      <c r="J404" s="15" t="s">
        <v>2055</v>
      </c>
      <c r="K404" s="16"/>
      <c r="L404" s="14" t="s">
        <v>2823</v>
      </c>
      <c r="M404" s="16"/>
      <c r="N404" s="15" t="s">
        <v>1086</v>
      </c>
      <c r="O404" s="14">
        <v>22500</v>
      </c>
      <c r="P404" s="14" t="s">
        <v>2846</v>
      </c>
      <c r="Q404" s="14" cm="1">
        <f t="array" ref="Q404">_xlfn.IFS(P404="USD",O404,P404="VND",O404/26090,P404="JPY",O404/161)</f>
        <v>0.86239938673821392</v>
      </c>
      <c r="R404" s="14">
        <v>7</v>
      </c>
      <c r="S404" s="14">
        <v>200</v>
      </c>
      <c r="T404" s="14"/>
      <c r="U404" s="14" t="s">
        <v>2848</v>
      </c>
      <c r="V404" s="14" t="s">
        <v>2857</v>
      </c>
      <c r="W404" s="14" t="s">
        <v>2858</v>
      </c>
      <c r="X404" s="17">
        <v>0</v>
      </c>
      <c r="Y404" s="15" t="s">
        <v>2875</v>
      </c>
      <c r="Z404" s="18" t="s">
        <v>2929</v>
      </c>
      <c r="AA404" s="22" t="s">
        <v>2931</v>
      </c>
      <c r="AB404" s="16"/>
      <c r="AC404" s="16"/>
      <c r="AD404" s="16"/>
      <c r="AE404" s="16" t="s">
        <v>2933</v>
      </c>
      <c r="AF404" s="16"/>
      <c r="AI404" s="3" t="str">
        <f t="shared" ca="1" si="6"/>
        <v>OK</v>
      </c>
    </row>
    <row r="405" spans="1:35" x14ac:dyDescent="0.3">
      <c r="A405" s="13">
        <v>46032</v>
      </c>
      <c r="B405" s="14" t="s">
        <v>2806</v>
      </c>
      <c r="C405" s="16"/>
      <c r="D405" s="16"/>
      <c r="E405" s="15" t="s">
        <v>886</v>
      </c>
      <c r="F405" s="15" t="s">
        <v>1271</v>
      </c>
      <c r="G405" s="15" t="s">
        <v>449</v>
      </c>
      <c r="H405" s="15"/>
      <c r="I405" s="15" t="s">
        <v>2056</v>
      </c>
      <c r="J405" s="15" t="s">
        <v>2057</v>
      </c>
      <c r="K405" s="16"/>
      <c r="L405" s="14" t="s">
        <v>2823</v>
      </c>
      <c r="M405" s="16"/>
      <c r="N405" s="15" t="s">
        <v>1087</v>
      </c>
      <c r="O405" s="14">
        <v>19.7</v>
      </c>
      <c r="P405" s="14" t="s">
        <v>2845</v>
      </c>
      <c r="Q405" s="14" cm="1">
        <f t="array" ref="Q405">_xlfn.IFS(P405="USD",O405,P405="VND",O405/26090,P405="JPY",O405/161)</f>
        <v>19.7</v>
      </c>
      <c r="R405" s="14">
        <v>30</v>
      </c>
      <c r="S405" s="14">
        <v>10</v>
      </c>
      <c r="T405" s="14"/>
      <c r="U405" s="14" t="s">
        <v>2850</v>
      </c>
      <c r="V405" s="14" t="s">
        <v>2859</v>
      </c>
      <c r="W405" s="14" t="s">
        <v>2860</v>
      </c>
      <c r="X405" s="17">
        <v>0</v>
      </c>
      <c r="Y405" s="15" t="s">
        <v>2899</v>
      </c>
      <c r="Z405" s="18" t="s">
        <v>2923</v>
      </c>
      <c r="AA405" s="22" t="s">
        <v>2924</v>
      </c>
      <c r="AB405" s="16"/>
      <c r="AC405" s="16"/>
      <c r="AD405" s="16"/>
      <c r="AE405" s="16" t="s">
        <v>3043</v>
      </c>
      <c r="AF405" s="16"/>
      <c r="AI405" s="3" t="str">
        <f t="shared" ca="1" si="6"/>
        <v>OK</v>
      </c>
    </row>
    <row r="406" spans="1:35" x14ac:dyDescent="0.3">
      <c r="A406" s="13">
        <v>46032</v>
      </c>
      <c r="B406" s="14" t="s">
        <v>2806</v>
      </c>
      <c r="C406" s="16"/>
      <c r="D406" s="16"/>
      <c r="E406" s="15" t="s">
        <v>890</v>
      </c>
      <c r="F406" s="15" t="s">
        <v>1275</v>
      </c>
      <c r="G406" s="15" t="s">
        <v>450</v>
      </c>
      <c r="H406" s="15"/>
      <c r="I406" s="15" t="s">
        <v>2058</v>
      </c>
      <c r="J406" s="15" t="s">
        <v>2059</v>
      </c>
      <c r="K406" s="16"/>
      <c r="L406" s="14" t="s">
        <v>2823</v>
      </c>
      <c r="M406" s="16"/>
      <c r="N406" s="15" t="s">
        <v>1088</v>
      </c>
      <c r="O406" s="14">
        <v>12000000</v>
      </c>
      <c r="P406" s="14" t="s">
        <v>2846</v>
      </c>
      <c r="Q406" s="14" cm="1">
        <f t="array" ref="Q406">_xlfn.IFS(P406="USD",O406,P406="VND",O406/26090,P406="JPY",O406/161)</f>
        <v>459.94633959371407</v>
      </c>
      <c r="R406" s="14">
        <v>15</v>
      </c>
      <c r="S406" s="14">
        <v>1</v>
      </c>
      <c r="T406" s="14"/>
      <c r="U406" s="14" t="s">
        <v>2848</v>
      </c>
      <c r="V406" s="14" t="s">
        <v>2857</v>
      </c>
      <c r="W406" s="14" t="s">
        <v>2858</v>
      </c>
      <c r="X406" s="17">
        <v>0</v>
      </c>
      <c r="Y406" s="15" t="s">
        <v>2875</v>
      </c>
      <c r="Z406" s="20">
        <v>46031</v>
      </c>
      <c r="AA406" s="23">
        <v>46032</v>
      </c>
      <c r="AB406" s="16"/>
      <c r="AC406" s="16"/>
      <c r="AD406" s="16"/>
      <c r="AE406" s="16" t="s">
        <v>2945</v>
      </c>
      <c r="AF406" s="16"/>
      <c r="AI406" s="3" t="str">
        <f t="shared" ca="1" si="6"/>
        <v>NG</v>
      </c>
    </row>
    <row r="407" spans="1:35" hidden="1" x14ac:dyDescent="0.3">
      <c r="A407" s="13">
        <v>46032</v>
      </c>
      <c r="B407" s="14" t="s">
        <v>2806</v>
      </c>
      <c r="C407" s="16"/>
      <c r="D407" s="16"/>
      <c r="E407" s="15" t="s">
        <v>858</v>
      </c>
      <c r="F407" s="15" t="s">
        <v>1248</v>
      </c>
      <c r="G407" s="15" t="s">
        <v>451</v>
      </c>
      <c r="H407" s="15"/>
      <c r="I407" s="15" t="s">
        <v>2060</v>
      </c>
      <c r="J407" s="15" t="s">
        <v>2061</v>
      </c>
      <c r="K407" s="16"/>
      <c r="L407" s="14" t="s">
        <v>2834</v>
      </c>
      <c r="M407" s="16"/>
      <c r="N407" s="15" t="s">
        <v>1089</v>
      </c>
      <c r="O407" s="14">
        <v>108.85</v>
      </c>
      <c r="P407" s="14" t="s">
        <v>2845</v>
      </c>
      <c r="Q407" s="14" cm="1">
        <f t="array" ref="Q407">_xlfn.IFS(P407="USD",O407,P407="VND",O407/26090,P407="JPY",O407/161)</f>
        <v>108.85</v>
      </c>
      <c r="R407" s="14">
        <v>45</v>
      </c>
      <c r="S407" s="14">
        <v>1</v>
      </c>
      <c r="T407" s="14"/>
      <c r="U407" s="14" t="s">
        <v>2852</v>
      </c>
      <c r="V407" s="14" t="s">
        <v>2864</v>
      </c>
      <c r="W407" s="14" t="s">
        <v>2860</v>
      </c>
      <c r="X407" s="17">
        <v>0</v>
      </c>
      <c r="Y407" s="15" t="s">
        <v>2880</v>
      </c>
      <c r="Z407" s="18" t="s">
        <v>3050</v>
      </c>
      <c r="AA407" s="18"/>
      <c r="AB407" s="16"/>
      <c r="AC407" s="16"/>
      <c r="AD407" s="16"/>
      <c r="AE407" s="16" t="s">
        <v>3049</v>
      </c>
      <c r="AF407" s="16"/>
      <c r="AI407" s="3" t="str">
        <f t="shared" ca="1" si="6"/>
        <v>OK</v>
      </c>
    </row>
    <row r="408" spans="1:35" hidden="1" x14ac:dyDescent="0.3">
      <c r="A408" s="13">
        <v>46032</v>
      </c>
      <c r="B408" s="14" t="s">
        <v>2806</v>
      </c>
      <c r="C408" s="16"/>
      <c r="D408" s="16"/>
      <c r="E408" s="15" t="s">
        <v>849</v>
      </c>
      <c r="F408" s="15" t="s">
        <v>1243</v>
      </c>
      <c r="G408" s="15" t="s">
        <v>452</v>
      </c>
      <c r="H408" s="15"/>
      <c r="I408" s="15" t="s">
        <v>2062</v>
      </c>
      <c r="J408" s="15" t="s">
        <v>2063</v>
      </c>
      <c r="K408" s="16"/>
      <c r="L408" s="14" t="s">
        <v>2823</v>
      </c>
      <c r="M408" s="16"/>
      <c r="N408" s="15" t="s">
        <v>1041</v>
      </c>
      <c r="O408" s="14">
        <v>4.25</v>
      </c>
      <c r="P408" s="14" t="s">
        <v>2845</v>
      </c>
      <c r="Q408" s="14" cm="1">
        <f t="array" ref="Q408">_xlfn.IFS(P408="USD",O408,P408="VND",O408/26090,P408="JPY",O408/161)</f>
        <v>4.25</v>
      </c>
      <c r="R408" s="14">
        <v>25</v>
      </c>
      <c r="S408" s="14">
        <v>1</v>
      </c>
      <c r="T408" s="14"/>
      <c r="U408" s="14" t="s">
        <v>2849</v>
      </c>
      <c r="V408" s="14" t="s">
        <v>2857</v>
      </c>
      <c r="W408" s="14" t="s">
        <v>2858</v>
      </c>
      <c r="X408" s="17">
        <v>0</v>
      </c>
      <c r="Y408" s="15" t="s">
        <v>2875</v>
      </c>
      <c r="Z408" s="20">
        <v>46028</v>
      </c>
      <c r="AA408" s="20">
        <v>46393</v>
      </c>
      <c r="AB408" s="16"/>
      <c r="AC408" s="16"/>
      <c r="AD408" s="16"/>
      <c r="AE408" s="16" t="s">
        <v>2959</v>
      </c>
      <c r="AF408" s="16"/>
      <c r="AI408" s="3" t="str">
        <f t="shared" ca="1" si="6"/>
        <v>OK</v>
      </c>
    </row>
    <row r="409" spans="1:35" hidden="1" x14ac:dyDescent="0.3">
      <c r="A409" s="13">
        <v>46032</v>
      </c>
      <c r="B409" s="14" t="s">
        <v>2806</v>
      </c>
      <c r="C409" s="16"/>
      <c r="D409" s="16"/>
      <c r="E409" s="15" t="s">
        <v>857</v>
      </c>
      <c r="F409" s="15" t="s">
        <v>912</v>
      </c>
      <c r="G409" s="15" t="s">
        <v>453</v>
      </c>
      <c r="H409" s="15"/>
      <c r="I409" s="15" t="s">
        <v>2064</v>
      </c>
      <c r="J409" s="15" t="s">
        <v>2065</v>
      </c>
      <c r="K409" s="16"/>
      <c r="L409" s="14" t="s">
        <v>2823</v>
      </c>
      <c r="M409" s="16"/>
      <c r="N409" s="15" t="s">
        <v>1090</v>
      </c>
      <c r="O409" s="14">
        <v>6.92</v>
      </c>
      <c r="P409" s="14" t="s">
        <v>2845</v>
      </c>
      <c r="Q409" s="14" cm="1">
        <f t="array" ref="Q409">_xlfn.IFS(P409="USD",O409,P409="VND",O409/26090,P409="JPY",O409/161)</f>
        <v>6.92</v>
      </c>
      <c r="R409" s="14">
        <v>35</v>
      </c>
      <c r="S409" s="14">
        <v>1</v>
      </c>
      <c r="T409" s="14"/>
      <c r="U409" s="14" t="s">
        <v>2848</v>
      </c>
      <c r="V409" s="14" t="s">
        <v>2857</v>
      </c>
      <c r="W409" s="14" t="s">
        <v>2858</v>
      </c>
      <c r="X409" s="17">
        <v>0</v>
      </c>
      <c r="Y409" s="15" t="s">
        <v>2875</v>
      </c>
      <c r="Z409" s="20">
        <v>46243</v>
      </c>
      <c r="AA409" s="20">
        <v>46608</v>
      </c>
      <c r="AB409" s="16"/>
      <c r="AC409" s="16"/>
      <c r="AD409" s="16"/>
      <c r="AE409" s="16" t="s">
        <v>2957</v>
      </c>
      <c r="AF409" s="16"/>
      <c r="AI409" s="3" t="str">
        <f t="shared" ca="1" si="6"/>
        <v>OK</v>
      </c>
    </row>
    <row r="410" spans="1:35" hidden="1" x14ac:dyDescent="0.3">
      <c r="A410" s="13">
        <v>46032</v>
      </c>
      <c r="B410" s="14" t="s">
        <v>2806</v>
      </c>
      <c r="C410" s="16"/>
      <c r="D410" s="16"/>
      <c r="E410" s="15" t="s">
        <v>857</v>
      </c>
      <c r="F410" s="15" t="s">
        <v>912</v>
      </c>
      <c r="G410" s="15" t="s">
        <v>454</v>
      </c>
      <c r="H410" s="15"/>
      <c r="I410" s="15" t="s">
        <v>2066</v>
      </c>
      <c r="J410" s="15" t="s">
        <v>2067</v>
      </c>
      <c r="K410" s="16"/>
      <c r="L410" s="14" t="s">
        <v>2808</v>
      </c>
      <c r="M410" s="16"/>
      <c r="N410" s="15" t="s">
        <v>1090</v>
      </c>
      <c r="O410" s="14">
        <v>9.3800000000000008</v>
      </c>
      <c r="P410" s="14" t="s">
        <v>2845</v>
      </c>
      <c r="Q410" s="14" cm="1">
        <f t="array" ref="Q410">_xlfn.IFS(P410="USD",O410,P410="VND",O410/26090,P410="JPY",O410/161)</f>
        <v>9.3800000000000008</v>
      </c>
      <c r="R410" s="14">
        <v>35</v>
      </c>
      <c r="S410" s="14">
        <v>1</v>
      </c>
      <c r="T410" s="14"/>
      <c r="U410" s="14" t="s">
        <v>2848</v>
      </c>
      <c r="V410" s="14" t="s">
        <v>2857</v>
      </c>
      <c r="W410" s="14" t="s">
        <v>2858</v>
      </c>
      <c r="X410" s="17">
        <v>0</v>
      </c>
      <c r="Y410" s="15" t="s">
        <v>2875</v>
      </c>
      <c r="Z410" s="20">
        <v>46243</v>
      </c>
      <c r="AA410" s="20">
        <v>46608</v>
      </c>
      <c r="AB410" s="16"/>
      <c r="AC410" s="16"/>
      <c r="AD410" s="16"/>
      <c r="AE410" s="16" t="s">
        <v>2957</v>
      </c>
      <c r="AF410" s="16"/>
      <c r="AI410" s="3" t="str">
        <f t="shared" ca="1" si="6"/>
        <v>OK</v>
      </c>
    </row>
    <row r="411" spans="1:35" hidden="1" x14ac:dyDescent="0.3">
      <c r="A411" s="13">
        <v>46032</v>
      </c>
      <c r="B411" s="14" t="s">
        <v>2806</v>
      </c>
      <c r="C411" s="16"/>
      <c r="D411" s="16"/>
      <c r="E411" s="15" t="s">
        <v>872</v>
      </c>
      <c r="F411" s="15" t="s">
        <v>1258</v>
      </c>
      <c r="G411" s="15" t="s">
        <v>455</v>
      </c>
      <c r="H411" s="15"/>
      <c r="I411" s="15" t="s">
        <v>2068</v>
      </c>
      <c r="J411" s="15" t="s">
        <v>2069</v>
      </c>
      <c r="K411" s="16"/>
      <c r="L411" s="14" t="s">
        <v>2823</v>
      </c>
      <c r="M411" s="16"/>
      <c r="N411" s="15" t="s">
        <v>1091</v>
      </c>
      <c r="O411" s="14">
        <v>139.19999999999999</v>
      </c>
      <c r="P411" s="14" t="s">
        <v>2845</v>
      </c>
      <c r="Q411" s="14" cm="1">
        <f t="array" ref="Q411">_xlfn.IFS(P411="USD",O411,P411="VND",O411/26090,P411="JPY",O411/161)</f>
        <v>139.19999999999999</v>
      </c>
      <c r="R411" s="14">
        <v>14</v>
      </c>
      <c r="S411" s="14">
        <v>1</v>
      </c>
      <c r="T411" s="14"/>
      <c r="U411" s="14" t="s">
        <v>2849</v>
      </c>
      <c r="V411" s="14" t="s">
        <v>2857</v>
      </c>
      <c r="W411" s="14" t="s">
        <v>2858</v>
      </c>
      <c r="X411" s="17">
        <v>0</v>
      </c>
      <c r="Y411" s="15" t="s">
        <v>2893</v>
      </c>
      <c r="Z411" s="18" t="s">
        <v>2930</v>
      </c>
      <c r="AA411" s="18"/>
      <c r="AB411" s="16"/>
      <c r="AC411" s="16"/>
      <c r="AD411" s="16"/>
      <c r="AE411" s="16" t="s">
        <v>2953</v>
      </c>
      <c r="AF411" s="16"/>
      <c r="AI411" s="3" t="str">
        <f t="shared" ca="1" si="6"/>
        <v>OK</v>
      </c>
    </row>
    <row r="412" spans="1:35" hidden="1" x14ac:dyDescent="0.3">
      <c r="A412" s="13">
        <v>46032</v>
      </c>
      <c r="B412" s="14" t="s">
        <v>2806</v>
      </c>
      <c r="C412" s="16"/>
      <c r="D412" s="16"/>
      <c r="E412" s="15" t="s">
        <v>872</v>
      </c>
      <c r="F412" s="15" t="s">
        <v>1258</v>
      </c>
      <c r="G412" s="15" t="s">
        <v>456</v>
      </c>
      <c r="H412" s="15"/>
      <c r="I412" s="15" t="s">
        <v>2070</v>
      </c>
      <c r="J412" s="15" t="s">
        <v>2071</v>
      </c>
      <c r="K412" s="16"/>
      <c r="L412" s="14" t="s">
        <v>2823</v>
      </c>
      <c r="M412" s="16"/>
      <c r="N412" s="15" t="s">
        <v>1092</v>
      </c>
      <c r="O412" s="14">
        <v>9.15</v>
      </c>
      <c r="P412" s="14" t="s">
        <v>2845</v>
      </c>
      <c r="Q412" s="14" cm="1">
        <f t="array" ref="Q412">_xlfn.IFS(P412="USD",O412,P412="VND",O412/26090,P412="JPY",O412/161)</f>
        <v>9.15</v>
      </c>
      <c r="R412" s="14">
        <v>30</v>
      </c>
      <c r="S412" s="14">
        <v>1</v>
      </c>
      <c r="T412" s="14"/>
      <c r="U412" s="14" t="s">
        <v>2849</v>
      </c>
      <c r="V412" s="14" t="s">
        <v>2857</v>
      </c>
      <c r="W412" s="14" t="s">
        <v>2858</v>
      </c>
      <c r="X412" s="17">
        <v>0</v>
      </c>
      <c r="Y412" s="15" t="s">
        <v>2893</v>
      </c>
      <c r="Z412" s="18" t="s">
        <v>2930</v>
      </c>
      <c r="AA412" s="18"/>
      <c r="AB412" s="16"/>
      <c r="AC412" s="16"/>
      <c r="AD412" s="16"/>
      <c r="AE412" s="16" t="s">
        <v>2953</v>
      </c>
      <c r="AF412" s="16"/>
      <c r="AI412" s="3" t="str">
        <f t="shared" ca="1" si="6"/>
        <v>OK</v>
      </c>
    </row>
    <row r="413" spans="1:35" hidden="1" x14ac:dyDescent="0.3">
      <c r="A413" s="13">
        <v>46032</v>
      </c>
      <c r="B413" s="14" t="s">
        <v>2806</v>
      </c>
      <c r="C413" s="16"/>
      <c r="D413" s="16"/>
      <c r="E413" s="15" t="s">
        <v>875</v>
      </c>
      <c r="F413" s="15" t="s">
        <v>1261</v>
      </c>
      <c r="G413" s="15" t="s">
        <v>457</v>
      </c>
      <c r="H413" s="15"/>
      <c r="I413" s="15" t="s">
        <v>2072</v>
      </c>
      <c r="J413" s="15" t="s">
        <v>2073</v>
      </c>
      <c r="K413" s="16"/>
      <c r="L413" s="14" t="s">
        <v>2823</v>
      </c>
      <c r="M413" s="16"/>
      <c r="N413" s="15" t="s">
        <v>1033</v>
      </c>
      <c r="O413" s="14">
        <v>212.53</v>
      </c>
      <c r="P413" s="14" t="s">
        <v>2845</v>
      </c>
      <c r="Q413" s="14" cm="1">
        <f t="array" ref="Q413">_xlfn.IFS(P413="USD",O413,P413="VND",O413/26090,P413="JPY",O413/161)</f>
        <v>212.53</v>
      </c>
      <c r="R413" s="14">
        <v>42</v>
      </c>
      <c r="S413" s="14">
        <v>1</v>
      </c>
      <c r="T413" s="14"/>
      <c r="U413" s="14" t="s">
        <v>2848</v>
      </c>
      <c r="V413" s="14" t="s">
        <v>2857</v>
      </c>
      <c r="W413" s="14" t="s">
        <v>2858</v>
      </c>
      <c r="X413" s="17">
        <v>0</v>
      </c>
      <c r="Y413" s="15" t="s">
        <v>2875</v>
      </c>
      <c r="Z413" s="18" t="s">
        <v>2935</v>
      </c>
      <c r="AA413" s="18"/>
      <c r="AB413" s="16"/>
      <c r="AC413" s="16"/>
      <c r="AD413" s="16"/>
      <c r="AE413" s="16" t="s">
        <v>2999</v>
      </c>
      <c r="AF413" s="16"/>
      <c r="AI413" s="3" t="str">
        <f t="shared" ca="1" si="6"/>
        <v>OK</v>
      </c>
    </row>
    <row r="414" spans="1:35" hidden="1" x14ac:dyDescent="0.3">
      <c r="A414" s="13">
        <v>46032</v>
      </c>
      <c r="B414" s="14" t="s">
        <v>2806</v>
      </c>
      <c r="C414" s="16"/>
      <c r="D414" s="16"/>
      <c r="E414" s="15" t="s">
        <v>849</v>
      </c>
      <c r="F414" s="15" t="s">
        <v>1243</v>
      </c>
      <c r="G414" s="15" t="s">
        <v>458</v>
      </c>
      <c r="H414" s="15"/>
      <c r="I414" s="15" t="s">
        <v>2074</v>
      </c>
      <c r="J414" s="15" t="s">
        <v>2075</v>
      </c>
      <c r="K414" s="16"/>
      <c r="L414" s="14" t="s">
        <v>2823</v>
      </c>
      <c r="M414" s="16"/>
      <c r="N414" s="15" t="s">
        <v>1093</v>
      </c>
      <c r="O414" s="14">
        <v>312.44</v>
      </c>
      <c r="P414" s="14" t="s">
        <v>2845</v>
      </c>
      <c r="Q414" s="14" cm="1">
        <f t="array" ref="Q414">_xlfn.IFS(P414="USD",O414,P414="VND",O414/26090,P414="JPY",O414/161)</f>
        <v>312.44</v>
      </c>
      <c r="R414" s="14">
        <v>25</v>
      </c>
      <c r="S414" s="14">
        <v>1</v>
      </c>
      <c r="T414" s="14"/>
      <c r="U414" s="14" t="s">
        <v>2849</v>
      </c>
      <c r="V414" s="14" t="s">
        <v>2857</v>
      </c>
      <c r="W414" s="14" t="s">
        <v>2858</v>
      </c>
      <c r="X414" s="17">
        <v>0</v>
      </c>
      <c r="Y414" s="15" t="s">
        <v>2875</v>
      </c>
      <c r="Z414" s="20">
        <v>46028</v>
      </c>
      <c r="AA414" s="20">
        <v>46393</v>
      </c>
      <c r="AB414" s="16"/>
      <c r="AC414" s="16"/>
      <c r="AD414" s="16"/>
      <c r="AE414" s="16" t="s">
        <v>2959</v>
      </c>
      <c r="AF414" s="16"/>
      <c r="AI414" s="3" t="str">
        <f t="shared" ca="1" si="6"/>
        <v>OK</v>
      </c>
    </row>
    <row r="415" spans="1:35" x14ac:dyDescent="0.3">
      <c r="A415" s="13">
        <v>46032</v>
      </c>
      <c r="B415" s="14" t="s">
        <v>2806</v>
      </c>
      <c r="C415" s="16"/>
      <c r="D415" s="16"/>
      <c r="E415" s="15" t="s">
        <v>862</v>
      </c>
      <c r="F415" s="15" t="s">
        <v>1251</v>
      </c>
      <c r="G415" s="15" t="s">
        <v>459</v>
      </c>
      <c r="H415" s="15"/>
      <c r="I415" s="15" t="s">
        <v>2076</v>
      </c>
      <c r="J415" s="15" t="s">
        <v>2077</v>
      </c>
      <c r="K415" s="16"/>
      <c r="L415" s="14" t="s">
        <v>2823</v>
      </c>
      <c r="M415" s="16"/>
      <c r="N415" s="15" t="s">
        <v>1094</v>
      </c>
      <c r="O415" s="14">
        <v>9935000</v>
      </c>
      <c r="P415" s="14" t="s">
        <v>2846</v>
      </c>
      <c r="Q415" s="14" cm="1">
        <f t="array" ref="Q415">_xlfn.IFS(P415="USD",O415,P415="VND",O415/26090,P415="JPY",O415/161)</f>
        <v>380.79724032196242</v>
      </c>
      <c r="R415" s="14">
        <v>25</v>
      </c>
      <c r="S415" s="14">
        <v>20</v>
      </c>
      <c r="T415" s="14"/>
      <c r="U415" s="14" t="s">
        <v>2848</v>
      </c>
      <c r="V415" s="14" t="s">
        <v>2857</v>
      </c>
      <c r="W415" s="14" t="s">
        <v>2858</v>
      </c>
      <c r="X415" s="17">
        <v>0</v>
      </c>
      <c r="Y415" s="15" t="s">
        <v>2875</v>
      </c>
      <c r="Z415" s="18" t="s">
        <v>2929</v>
      </c>
      <c r="AA415" s="22" t="s">
        <v>2931</v>
      </c>
      <c r="AB415" s="16"/>
      <c r="AC415" s="16"/>
      <c r="AD415" s="16"/>
      <c r="AE415" s="16" t="s">
        <v>2933</v>
      </c>
      <c r="AF415" s="16"/>
      <c r="AI415" s="3" t="str">
        <f t="shared" ca="1" si="6"/>
        <v>OK</v>
      </c>
    </row>
    <row r="416" spans="1:35" hidden="1" x14ac:dyDescent="0.3">
      <c r="A416" s="13">
        <v>46032</v>
      </c>
      <c r="B416" s="14" t="s">
        <v>2806</v>
      </c>
      <c r="C416" s="16"/>
      <c r="D416" s="16"/>
      <c r="E416" s="15" t="s">
        <v>872</v>
      </c>
      <c r="F416" s="15" t="s">
        <v>1258</v>
      </c>
      <c r="G416" s="15" t="s">
        <v>460</v>
      </c>
      <c r="H416" s="15"/>
      <c r="I416" s="15" t="s">
        <v>2078</v>
      </c>
      <c r="J416" s="15" t="s">
        <v>2079</v>
      </c>
      <c r="K416" s="16"/>
      <c r="L416" s="14" t="s">
        <v>2823</v>
      </c>
      <c r="M416" s="16"/>
      <c r="N416" s="15" t="s">
        <v>1095</v>
      </c>
      <c r="O416" s="14">
        <v>133</v>
      </c>
      <c r="P416" s="14" t="s">
        <v>2845</v>
      </c>
      <c r="Q416" s="14" cm="1">
        <f t="array" ref="Q416">_xlfn.IFS(P416="USD",O416,P416="VND",O416/26090,P416="JPY",O416/161)</f>
        <v>133</v>
      </c>
      <c r="R416" s="14">
        <v>30</v>
      </c>
      <c r="S416" s="14">
        <v>1</v>
      </c>
      <c r="T416" s="14"/>
      <c r="U416" s="14" t="s">
        <v>2849</v>
      </c>
      <c r="V416" s="14" t="s">
        <v>2857</v>
      </c>
      <c r="W416" s="14" t="s">
        <v>2858</v>
      </c>
      <c r="X416" s="17">
        <v>0</v>
      </c>
      <c r="Y416" s="15" t="s">
        <v>2893</v>
      </c>
      <c r="Z416" s="18" t="s">
        <v>2930</v>
      </c>
      <c r="AA416" s="18"/>
      <c r="AB416" s="16"/>
      <c r="AC416" s="16"/>
      <c r="AD416" s="16"/>
      <c r="AE416" s="16" t="s">
        <v>2953</v>
      </c>
      <c r="AF416" s="16"/>
      <c r="AI416" s="3" t="str">
        <f t="shared" ca="1" si="6"/>
        <v>OK</v>
      </c>
    </row>
    <row r="417" spans="1:35" x14ac:dyDescent="0.3">
      <c r="A417" s="13">
        <v>46032</v>
      </c>
      <c r="B417" s="14" t="s">
        <v>2806</v>
      </c>
      <c r="C417" s="16"/>
      <c r="D417" s="16"/>
      <c r="E417" s="15" t="s">
        <v>862</v>
      </c>
      <c r="F417" s="15" t="s">
        <v>1251</v>
      </c>
      <c r="G417" s="15" t="s">
        <v>461</v>
      </c>
      <c r="H417" s="15"/>
      <c r="I417" s="15" t="s">
        <v>2080</v>
      </c>
      <c r="J417" s="15" t="s">
        <v>2081</v>
      </c>
      <c r="K417" s="16"/>
      <c r="L417" s="14" t="s">
        <v>2823</v>
      </c>
      <c r="M417" s="16"/>
      <c r="N417" s="15" t="s">
        <v>1096</v>
      </c>
      <c r="O417" s="14">
        <v>490000</v>
      </c>
      <c r="P417" s="14" t="s">
        <v>2846</v>
      </c>
      <c r="Q417" s="14" cm="1">
        <f t="array" ref="Q417">_xlfn.IFS(P417="USD",O417,P417="VND",O417/26090,P417="JPY",O417/161)</f>
        <v>18.781142200076658</v>
      </c>
      <c r="R417" s="14">
        <v>20</v>
      </c>
      <c r="S417" s="14">
        <v>20</v>
      </c>
      <c r="T417" s="14"/>
      <c r="U417" s="14" t="s">
        <v>2848</v>
      </c>
      <c r="V417" s="14" t="s">
        <v>2857</v>
      </c>
      <c r="W417" s="14" t="s">
        <v>2858</v>
      </c>
      <c r="X417" s="17">
        <v>0</v>
      </c>
      <c r="Y417" s="15" t="s">
        <v>2875</v>
      </c>
      <c r="Z417" s="18" t="s">
        <v>2929</v>
      </c>
      <c r="AA417" s="22" t="s">
        <v>2931</v>
      </c>
      <c r="AB417" s="16"/>
      <c r="AC417" s="16"/>
      <c r="AD417" s="16"/>
      <c r="AE417" s="16" t="s">
        <v>2933</v>
      </c>
      <c r="AF417" s="16"/>
      <c r="AI417" s="3" t="str">
        <f t="shared" ca="1" si="6"/>
        <v>OK</v>
      </c>
    </row>
    <row r="418" spans="1:35" x14ac:dyDescent="0.3">
      <c r="A418" s="13">
        <v>46032</v>
      </c>
      <c r="B418" s="14" t="s">
        <v>2806</v>
      </c>
      <c r="C418" s="16"/>
      <c r="D418" s="16"/>
      <c r="E418" s="15" t="s">
        <v>862</v>
      </c>
      <c r="F418" s="15" t="s">
        <v>1251</v>
      </c>
      <c r="G418" s="15" t="s">
        <v>462</v>
      </c>
      <c r="H418" s="15"/>
      <c r="I418" s="15" t="s">
        <v>2080</v>
      </c>
      <c r="J418" s="15" t="s">
        <v>2082</v>
      </c>
      <c r="K418" s="16"/>
      <c r="L418" s="14" t="s">
        <v>2823</v>
      </c>
      <c r="M418" s="16"/>
      <c r="N418" s="15" t="s">
        <v>1096</v>
      </c>
      <c r="O418" s="14">
        <v>520000</v>
      </c>
      <c r="P418" s="14" t="s">
        <v>2846</v>
      </c>
      <c r="Q418" s="14" cm="1">
        <f t="array" ref="Q418">_xlfn.IFS(P418="USD",O418,P418="VND",O418/26090,P418="JPY",O418/161)</f>
        <v>19.931008049060942</v>
      </c>
      <c r="R418" s="14">
        <v>20</v>
      </c>
      <c r="S418" s="14">
        <v>20</v>
      </c>
      <c r="T418" s="14"/>
      <c r="U418" s="14" t="s">
        <v>2848</v>
      </c>
      <c r="V418" s="14" t="s">
        <v>2857</v>
      </c>
      <c r="W418" s="14" t="s">
        <v>2858</v>
      </c>
      <c r="X418" s="17">
        <v>0</v>
      </c>
      <c r="Y418" s="15" t="s">
        <v>2875</v>
      </c>
      <c r="Z418" s="18" t="s">
        <v>2929</v>
      </c>
      <c r="AA418" s="22" t="s">
        <v>2931</v>
      </c>
      <c r="AB418" s="16"/>
      <c r="AC418" s="16"/>
      <c r="AD418" s="16"/>
      <c r="AE418" s="16" t="s">
        <v>2933</v>
      </c>
      <c r="AF418" s="16"/>
      <c r="AI418" s="3" t="str">
        <f t="shared" ca="1" si="6"/>
        <v>OK</v>
      </c>
    </row>
    <row r="419" spans="1:35" x14ac:dyDescent="0.3">
      <c r="A419" s="13">
        <v>46032</v>
      </c>
      <c r="B419" s="14" t="s">
        <v>2806</v>
      </c>
      <c r="C419" s="16"/>
      <c r="D419" s="16"/>
      <c r="E419" s="15" t="s">
        <v>862</v>
      </c>
      <c r="F419" s="15" t="s">
        <v>1251</v>
      </c>
      <c r="G419" s="15" t="s">
        <v>463</v>
      </c>
      <c r="H419" s="15"/>
      <c r="I419" s="15" t="s">
        <v>2080</v>
      </c>
      <c r="J419" s="15" t="s">
        <v>2083</v>
      </c>
      <c r="K419" s="16"/>
      <c r="L419" s="14" t="s">
        <v>2823</v>
      </c>
      <c r="M419" s="16"/>
      <c r="N419" s="15" t="s">
        <v>1096</v>
      </c>
      <c r="O419" s="14">
        <v>550000</v>
      </c>
      <c r="P419" s="14" t="s">
        <v>2846</v>
      </c>
      <c r="Q419" s="14" cm="1">
        <f t="array" ref="Q419">_xlfn.IFS(P419="USD",O419,P419="VND",O419/26090,P419="JPY",O419/161)</f>
        <v>21.08087389804523</v>
      </c>
      <c r="R419" s="14">
        <v>20</v>
      </c>
      <c r="S419" s="14">
        <v>20</v>
      </c>
      <c r="T419" s="14"/>
      <c r="U419" s="14" t="s">
        <v>2848</v>
      </c>
      <c r="V419" s="14" t="s">
        <v>2857</v>
      </c>
      <c r="W419" s="14" t="s">
        <v>2858</v>
      </c>
      <c r="X419" s="17">
        <v>0</v>
      </c>
      <c r="Y419" s="15" t="s">
        <v>2875</v>
      </c>
      <c r="Z419" s="18" t="s">
        <v>2929</v>
      </c>
      <c r="AA419" s="22" t="s">
        <v>2931</v>
      </c>
      <c r="AB419" s="16"/>
      <c r="AC419" s="16"/>
      <c r="AD419" s="16"/>
      <c r="AE419" s="16" t="s">
        <v>2933</v>
      </c>
      <c r="AF419" s="16"/>
      <c r="AI419" s="3" t="str">
        <f t="shared" ca="1" si="6"/>
        <v>OK</v>
      </c>
    </row>
    <row r="420" spans="1:35" x14ac:dyDescent="0.3">
      <c r="A420" s="13">
        <v>46032</v>
      </c>
      <c r="B420" s="14" t="s">
        <v>2806</v>
      </c>
      <c r="C420" s="16"/>
      <c r="D420" s="16"/>
      <c r="E420" s="15" t="s">
        <v>862</v>
      </c>
      <c r="F420" s="15" t="s">
        <v>1251</v>
      </c>
      <c r="G420" s="15" t="s">
        <v>464</v>
      </c>
      <c r="H420" s="15"/>
      <c r="I420" s="15" t="s">
        <v>2084</v>
      </c>
      <c r="J420" s="15" t="s">
        <v>2085</v>
      </c>
      <c r="K420" s="16"/>
      <c r="L420" s="14" t="s">
        <v>2823</v>
      </c>
      <c r="M420" s="16"/>
      <c r="N420" s="15" t="s">
        <v>1096</v>
      </c>
      <c r="O420" s="14">
        <v>195000</v>
      </c>
      <c r="P420" s="14" t="s">
        <v>2846</v>
      </c>
      <c r="Q420" s="14" cm="1">
        <f t="array" ref="Q420">_xlfn.IFS(P420="USD",O420,P420="VND",O420/26090,P420="JPY",O420/161)</f>
        <v>7.4741280183978533</v>
      </c>
      <c r="R420" s="14">
        <v>20</v>
      </c>
      <c r="S420" s="14">
        <v>20</v>
      </c>
      <c r="T420" s="14"/>
      <c r="U420" s="14" t="s">
        <v>2848</v>
      </c>
      <c r="V420" s="14" t="s">
        <v>2857</v>
      </c>
      <c r="W420" s="14" t="s">
        <v>2858</v>
      </c>
      <c r="X420" s="17">
        <v>0</v>
      </c>
      <c r="Y420" s="15" t="s">
        <v>2875</v>
      </c>
      <c r="Z420" s="18" t="s">
        <v>2929</v>
      </c>
      <c r="AA420" s="22" t="s">
        <v>2931</v>
      </c>
      <c r="AB420" s="16"/>
      <c r="AC420" s="16"/>
      <c r="AD420" s="16"/>
      <c r="AE420" s="16" t="s">
        <v>2933</v>
      </c>
      <c r="AF420" s="16"/>
      <c r="AI420" s="3" t="str">
        <f t="shared" ca="1" si="6"/>
        <v>OK</v>
      </c>
    </row>
    <row r="421" spans="1:35" x14ac:dyDescent="0.3">
      <c r="A421" s="13">
        <v>46032</v>
      </c>
      <c r="B421" s="14" t="s">
        <v>2806</v>
      </c>
      <c r="C421" s="16"/>
      <c r="D421" s="16"/>
      <c r="E421" s="15" t="s">
        <v>862</v>
      </c>
      <c r="F421" s="15" t="s">
        <v>1251</v>
      </c>
      <c r="G421" s="15" t="s">
        <v>465</v>
      </c>
      <c r="H421" s="15"/>
      <c r="I421" s="15" t="s">
        <v>2086</v>
      </c>
      <c r="J421" s="15" t="s">
        <v>2087</v>
      </c>
      <c r="K421" s="16"/>
      <c r="L421" s="14" t="s">
        <v>2823</v>
      </c>
      <c r="M421" s="16"/>
      <c r="N421" s="15" t="s">
        <v>1096</v>
      </c>
      <c r="O421" s="14">
        <v>110000</v>
      </c>
      <c r="P421" s="14" t="s">
        <v>2846</v>
      </c>
      <c r="Q421" s="14" cm="1">
        <f t="array" ref="Q421">_xlfn.IFS(P421="USD",O421,P421="VND",O421/26090,P421="JPY",O421/161)</f>
        <v>4.2161747796090454</v>
      </c>
      <c r="R421" s="14">
        <v>20</v>
      </c>
      <c r="S421" s="14">
        <v>40</v>
      </c>
      <c r="T421" s="14"/>
      <c r="U421" s="14" t="s">
        <v>2848</v>
      </c>
      <c r="V421" s="14" t="s">
        <v>2857</v>
      </c>
      <c r="W421" s="14" t="s">
        <v>2858</v>
      </c>
      <c r="X421" s="17">
        <v>0</v>
      </c>
      <c r="Y421" s="15" t="s">
        <v>2875</v>
      </c>
      <c r="Z421" s="18" t="s">
        <v>2929</v>
      </c>
      <c r="AA421" s="22" t="s">
        <v>2931</v>
      </c>
      <c r="AB421" s="16"/>
      <c r="AC421" s="16"/>
      <c r="AD421" s="16"/>
      <c r="AE421" s="16" t="s">
        <v>2933</v>
      </c>
      <c r="AF421" s="16"/>
      <c r="AI421" s="3" t="str">
        <f t="shared" ca="1" si="6"/>
        <v>OK</v>
      </c>
    </row>
    <row r="422" spans="1:35" x14ac:dyDescent="0.3">
      <c r="A422" s="13">
        <v>46032</v>
      </c>
      <c r="B422" s="14" t="s">
        <v>2806</v>
      </c>
      <c r="C422" s="16"/>
      <c r="D422" s="16"/>
      <c r="E422" s="15" t="s">
        <v>876</v>
      </c>
      <c r="F422" s="15" t="s">
        <v>1262</v>
      </c>
      <c r="G422" s="15" t="s">
        <v>466</v>
      </c>
      <c r="H422" s="15"/>
      <c r="I422" s="15" t="s">
        <v>2088</v>
      </c>
      <c r="J422" s="15" t="s">
        <v>2089</v>
      </c>
      <c r="K422" s="16"/>
      <c r="L422" s="14" t="s">
        <v>2829</v>
      </c>
      <c r="M422" s="16"/>
      <c r="N422" s="15" t="s">
        <v>1097</v>
      </c>
      <c r="O422" s="14">
        <v>8281394</v>
      </c>
      <c r="P422" s="14" t="s">
        <v>2846</v>
      </c>
      <c r="Q422" s="14" cm="1">
        <f t="array" ref="Q422">_xlfn.IFS(P422="USD",O422,P422="VND",O422/26090,P422="JPY",O422/161)</f>
        <v>317.41640475277882</v>
      </c>
      <c r="R422" s="14">
        <v>45</v>
      </c>
      <c r="S422" s="14">
        <v>1</v>
      </c>
      <c r="T422" s="14"/>
      <c r="U422" s="14" t="s">
        <v>2848</v>
      </c>
      <c r="V422" s="14" t="s">
        <v>2857</v>
      </c>
      <c r="W422" s="14" t="s">
        <v>2858</v>
      </c>
      <c r="X422" s="17">
        <v>0</v>
      </c>
      <c r="Y422" s="15" t="s">
        <v>2875</v>
      </c>
      <c r="Z422" s="18" t="s">
        <v>2944</v>
      </c>
      <c r="AA422" s="22" t="s">
        <v>2949</v>
      </c>
      <c r="AB422" s="16"/>
      <c r="AC422" s="16"/>
      <c r="AD422" s="16"/>
      <c r="AE422" s="16" t="s">
        <v>2950</v>
      </c>
      <c r="AF422" s="16"/>
      <c r="AI422" s="3" t="str">
        <f t="shared" ca="1" si="6"/>
        <v>OK</v>
      </c>
    </row>
    <row r="423" spans="1:35" x14ac:dyDescent="0.3">
      <c r="A423" s="13">
        <v>46032</v>
      </c>
      <c r="B423" s="14" t="s">
        <v>2806</v>
      </c>
      <c r="C423" s="16"/>
      <c r="D423" s="16"/>
      <c r="E423" s="15" t="s">
        <v>876</v>
      </c>
      <c r="F423" s="15" t="s">
        <v>1262</v>
      </c>
      <c r="G423" s="15" t="s">
        <v>467</v>
      </c>
      <c r="H423" s="15"/>
      <c r="I423" s="15" t="s">
        <v>2090</v>
      </c>
      <c r="J423" s="15" t="s">
        <v>2091</v>
      </c>
      <c r="K423" s="16"/>
      <c r="L423" s="14" t="s">
        <v>2823</v>
      </c>
      <c r="M423" s="16"/>
      <c r="N423" s="15" t="s">
        <v>1097</v>
      </c>
      <c r="O423" s="14">
        <v>1444300</v>
      </c>
      <c r="P423" s="14" t="s">
        <v>2846</v>
      </c>
      <c r="Q423" s="14" cm="1">
        <f t="array" ref="Q423">_xlfn.IFS(P423="USD",O423,P423="VND",O423/26090,P423="JPY",O423/161)</f>
        <v>55.358374856266771</v>
      </c>
      <c r="R423" s="14">
        <v>45</v>
      </c>
      <c r="S423" s="14">
        <v>1</v>
      </c>
      <c r="T423" s="14"/>
      <c r="U423" s="14" t="s">
        <v>2848</v>
      </c>
      <c r="V423" s="14" t="s">
        <v>2857</v>
      </c>
      <c r="W423" s="14" t="s">
        <v>2858</v>
      </c>
      <c r="X423" s="17">
        <v>0</v>
      </c>
      <c r="Y423" s="15" t="s">
        <v>2875</v>
      </c>
      <c r="Z423" s="18" t="s">
        <v>2944</v>
      </c>
      <c r="AA423" s="22" t="s">
        <v>2949</v>
      </c>
      <c r="AB423" s="16"/>
      <c r="AC423" s="16"/>
      <c r="AD423" s="16"/>
      <c r="AE423" s="16" t="s">
        <v>2950</v>
      </c>
      <c r="AF423" s="16"/>
      <c r="AI423" s="3" t="str">
        <f t="shared" ca="1" si="6"/>
        <v>OK</v>
      </c>
    </row>
    <row r="424" spans="1:35" hidden="1" x14ac:dyDescent="0.3">
      <c r="A424" s="13">
        <v>46032</v>
      </c>
      <c r="B424" s="14" t="s">
        <v>2806</v>
      </c>
      <c r="C424" s="16"/>
      <c r="D424" s="16"/>
      <c r="E424" s="15" t="s">
        <v>872</v>
      </c>
      <c r="F424" s="15" t="s">
        <v>1258</v>
      </c>
      <c r="G424" s="15" t="s">
        <v>468</v>
      </c>
      <c r="H424" s="15"/>
      <c r="I424" s="15" t="s">
        <v>2092</v>
      </c>
      <c r="J424" s="15" t="s">
        <v>2093</v>
      </c>
      <c r="K424" s="16"/>
      <c r="L424" s="14" t="s">
        <v>2823</v>
      </c>
      <c r="M424" s="16"/>
      <c r="N424" s="15" t="s">
        <v>1098</v>
      </c>
      <c r="O424" s="14">
        <v>72.5</v>
      </c>
      <c r="P424" s="14" t="s">
        <v>2845</v>
      </c>
      <c r="Q424" s="14" cm="1">
        <f t="array" ref="Q424">_xlfn.IFS(P424="USD",O424,P424="VND",O424/26090,P424="JPY",O424/161)</f>
        <v>72.5</v>
      </c>
      <c r="R424" s="14">
        <v>7</v>
      </c>
      <c r="S424" s="14">
        <v>1</v>
      </c>
      <c r="T424" s="14"/>
      <c r="U424" s="14" t="s">
        <v>2849</v>
      </c>
      <c r="V424" s="14" t="s">
        <v>2857</v>
      </c>
      <c r="W424" s="14" t="s">
        <v>2858</v>
      </c>
      <c r="X424" s="17">
        <v>0</v>
      </c>
      <c r="Y424" s="15" t="s">
        <v>2893</v>
      </c>
      <c r="Z424" s="18" t="s">
        <v>2930</v>
      </c>
      <c r="AA424" s="18"/>
      <c r="AB424" s="16"/>
      <c r="AC424" s="16"/>
      <c r="AD424" s="16"/>
      <c r="AE424" s="16" t="s">
        <v>2953</v>
      </c>
      <c r="AF424" s="16"/>
      <c r="AI424" s="3" t="str">
        <f t="shared" ca="1" si="6"/>
        <v>OK</v>
      </c>
    </row>
    <row r="425" spans="1:35" hidden="1" x14ac:dyDescent="0.3">
      <c r="A425" s="13">
        <v>46032</v>
      </c>
      <c r="B425" s="14" t="s">
        <v>2806</v>
      </c>
      <c r="C425" s="16"/>
      <c r="D425" s="16"/>
      <c r="E425" s="15" t="s">
        <v>872</v>
      </c>
      <c r="F425" s="15" t="s">
        <v>1258</v>
      </c>
      <c r="G425" s="15" t="s">
        <v>469</v>
      </c>
      <c r="H425" s="15"/>
      <c r="I425" s="15" t="s">
        <v>2094</v>
      </c>
      <c r="J425" s="15" t="s">
        <v>2095</v>
      </c>
      <c r="K425" s="16"/>
      <c r="L425" s="14" t="s">
        <v>2823</v>
      </c>
      <c r="M425" s="16"/>
      <c r="N425" s="15" t="s">
        <v>1098</v>
      </c>
      <c r="O425" s="14">
        <v>115.5</v>
      </c>
      <c r="P425" s="14" t="s">
        <v>2845</v>
      </c>
      <c r="Q425" s="14" cm="1">
        <f t="array" ref="Q425">_xlfn.IFS(P425="USD",O425,P425="VND",O425/26090,P425="JPY",O425/161)</f>
        <v>115.5</v>
      </c>
      <c r="R425" s="14">
        <v>7</v>
      </c>
      <c r="S425" s="14">
        <v>1</v>
      </c>
      <c r="T425" s="14"/>
      <c r="U425" s="14" t="s">
        <v>2849</v>
      </c>
      <c r="V425" s="14" t="s">
        <v>2857</v>
      </c>
      <c r="W425" s="14" t="s">
        <v>2858</v>
      </c>
      <c r="X425" s="17">
        <v>0</v>
      </c>
      <c r="Y425" s="15" t="s">
        <v>2893</v>
      </c>
      <c r="Z425" s="18" t="s">
        <v>2930</v>
      </c>
      <c r="AA425" s="18"/>
      <c r="AB425" s="16"/>
      <c r="AC425" s="16"/>
      <c r="AD425" s="16"/>
      <c r="AE425" s="16" t="s">
        <v>2953</v>
      </c>
      <c r="AF425" s="16"/>
      <c r="AI425" s="3" t="str">
        <f t="shared" ca="1" si="6"/>
        <v>OK</v>
      </c>
    </row>
    <row r="426" spans="1:35" hidden="1" x14ac:dyDescent="0.3">
      <c r="A426" s="13">
        <v>46032</v>
      </c>
      <c r="B426" s="14" t="s">
        <v>2806</v>
      </c>
      <c r="C426" s="16"/>
      <c r="D426" s="16"/>
      <c r="E426" s="15" t="s">
        <v>872</v>
      </c>
      <c r="F426" s="15" t="s">
        <v>1258</v>
      </c>
      <c r="G426" s="15" t="s">
        <v>470</v>
      </c>
      <c r="H426" s="15"/>
      <c r="I426" s="15" t="s">
        <v>2096</v>
      </c>
      <c r="J426" s="15" t="s">
        <v>2097</v>
      </c>
      <c r="K426" s="16"/>
      <c r="L426" s="14" t="s">
        <v>2823</v>
      </c>
      <c r="M426" s="16"/>
      <c r="N426" s="15" t="s">
        <v>1098</v>
      </c>
      <c r="O426" s="14">
        <v>312.8</v>
      </c>
      <c r="P426" s="14" t="s">
        <v>2845</v>
      </c>
      <c r="Q426" s="14" cm="1">
        <f t="array" ref="Q426">_xlfn.IFS(P426="USD",O426,P426="VND",O426/26090,P426="JPY",O426/161)</f>
        <v>312.8</v>
      </c>
      <c r="R426" s="14">
        <v>7</v>
      </c>
      <c r="S426" s="14">
        <v>1</v>
      </c>
      <c r="T426" s="14"/>
      <c r="U426" s="14" t="s">
        <v>2849</v>
      </c>
      <c r="V426" s="14" t="s">
        <v>2857</v>
      </c>
      <c r="W426" s="14" t="s">
        <v>2858</v>
      </c>
      <c r="X426" s="17">
        <v>0</v>
      </c>
      <c r="Y426" s="15" t="s">
        <v>2893</v>
      </c>
      <c r="Z426" s="18" t="s">
        <v>2930</v>
      </c>
      <c r="AA426" s="18"/>
      <c r="AB426" s="16"/>
      <c r="AC426" s="16"/>
      <c r="AD426" s="16"/>
      <c r="AE426" s="16" t="s">
        <v>2953</v>
      </c>
      <c r="AF426" s="16"/>
      <c r="AI426" s="3" t="str">
        <f t="shared" ca="1" si="6"/>
        <v>OK</v>
      </c>
    </row>
    <row r="427" spans="1:35" hidden="1" x14ac:dyDescent="0.3">
      <c r="A427" s="13">
        <v>46032</v>
      </c>
      <c r="B427" s="14" t="s">
        <v>2806</v>
      </c>
      <c r="C427" s="16"/>
      <c r="D427" s="16"/>
      <c r="E427" s="15" t="s">
        <v>872</v>
      </c>
      <c r="F427" s="15" t="s">
        <v>1258</v>
      </c>
      <c r="G427" s="15" t="s">
        <v>471</v>
      </c>
      <c r="H427" s="15"/>
      <c r="I427" s="15" t="s">
        <v>2098</v>
      </c>
      <c r="J427" s="15" t="s">
        <v>2099</v>
      </c>
      <c r="K427" s="16"/>
      <c r="L427" s="14" t="s">
        <v>2823</v>
      </c>
      <c r="M427" s="16"/>
      <c r="N427" s="15" t="s">
        <v>1099</v>
      </c>
      <c r="O427" s="14">
        <v>158.5</v>
      </c>
      <c r="P427" s="14" t="s">
        <v>2845</v>
      </c>
      <c r="Q427" s="14" cm="1">
        <f t="array" ref="Q427">_xlfn.IFS(P427="USD",O427,P427="VND",O427/26090,P427="JPY",O427/161)</f>
        <v>158.5</v>
      </c>
      <c r="R427" s="14">
        <v>14</v>
      </c>
      <c r="S427" s="14">
        <v>1</v>
      </c>
      <c r="T427" s="14"/>
      <c r="U427" s="14" t="s">
        <v>2849</v>
      </c>
      <c r="V427" s="14" t="s">
        <v>2857</v>
      </c>
      <c r="W427" s="14" t="s">
        <v>2858</v>
      </c>
      <c r="X427" s="17">
        <v>0</v>
      </c>
      <c r="Y427" s="15" t="s">
        <v>2893</v>
      </c>
      <c r="Z427" s="18" t="s">
        <v>2930</v>
      </c>
      <c r="AA427" s="18"/>
      <c r="AB427" s="16"/>
      <c r="AC427" s="16"/>
      <c r="AD427" s="16"/>
      <c r="AE427" s="16" t="s">
        <v>2953</v>
      </c>
      <c r="AF427" s="16"/>
      <c r="AI427" s="3" t="str">
        <f t="shared" ca="1" si="6"/>
        <v>OK</v>
      </c>
    </row>
    <row r="428" spans="1:35" hidden="1" x14ac:dyDescent="0.3">
      <c r="A428" s="13">
        <v>46032</v>
      </c>
      <c r="B428" s="14" t="s">
        <v>2806</v>
      </c>
      <c r="C428" s="16"/>
      <c r="D428" s="16"/>
      <c r="E428" s="15" t="s">
        <v>872</v>
      </c>
      <c r="F428" s="15" t="s">
        <v>1258</v>
      </c>
      <c r="G428" s="15" t="s">
        <v>472</v>
      </c>
      <c r="H428" s="15"/>
      <c r="I428" s="15" t="s">
        <v>2100</v>
      </c>
      <c r="J428" s="15" t="s">
        <v>2101</v>
      </c>
      <c r="K428" s="16"/>
      <c r="L428" s="14" t="s">
        <v>2829</v>
      </c>
      <c r="M428" s="16"/>
      <c r="N428" s="15" t="s">
        <v>1095</v>
      </c>
      <c r="O428" s="14">
        <v>166.2</v>
      </c>
      <c r="P428" s="14" t="s">
        <v>2845</v>
      </c>
      <c r="Q428" s="14" cm="1">
        <f t="array" ref="Q428">_xlfn.IFS(P428="USD",O428,P428="VND",O428/26090,P428="JPY",O428/161)</f>
        <v>166.2</v>
      </c>
      <c r="R428" s="14">
        <v>30</v>
      </c>
      <c r="S428" s="14">
        <v>1</v>
      </c>
      <c r="T428" s="14"/>
      <c r="U428" s="14" t="s">
        <v>2849</v>
      </c>
      <c r="V428" s="14" t="s">
        <v>2857</v>
      </c>
      <c r="W428" s="14" t="s">
        <v>2858</v>
      </c>
      <c r="X428" s="17">
        <v>0</v>
      </c>
      <c r="Y428" s="15" t="s">
        <v>2893</v>
      </c>
      <c r="Z428" s="18" t="s">
        <v>2930</v>
      </c>
      <c r="AA428" s="18"/>
      <c r="AB428" s="16"/>
      <c r="AC428" s="16"/>
      <c r="AD428" s="16"/>
      <c r="AE428" s="16" t="s">
        <v>2953</v>
      </c>
      <c r="AF428" s="16"/>
      <c r="AI428" s="3" t="str">
        <f t="shared" ca="1" si="6"/>
        <v>OK</v>
      </c>
    </row>
    <row r="429" spans="1:35" hidden="1" x14ac:dyDescent="0.3">
      <c r="A429" s="13">
        <v>46032</v>
      </c>
      <c r="B429" s="14" t="s">
        <v>2806</v>
      </c>
      <c r="C429" s="16"/>
      <c r="D429" s="16"/>
      <c r="E429" s="15" t="s">
        <v>872</v>
      </c>
      <c r="F429" s="15" t="s">
        <v>1258</v>
      </c>
      <c r="G429" s="15" t="s">
        <v>473</v>
      </c>
      <c r="H429" s="15"/>
      <c r="I429" s="15" t="s">
        <v>2102</v>
      </c>
      <c r="J429" s="15" t="s">
        <v>2103</v>
      </c>
      <c r="K429" s="16"/>
      <c r="L429" s="14" t="s">
        <v>2823</v>
      </c>
      <c r="M429" s="16"/>
      <c r="N429" s="15" t="s">
        <v>1095</v>
      </c>
      <c r="O429" s="14">
        <v>104.5</v>
      </c>
      <c r="P429" s="14" t="s">
        <v>2845</v>
      </c>
      <c r="Q429" s="14" cm="1">
        <f t="array" ref="Q429">_xlfn.IFS(P429="USD",O429,P429="VND",O429/26090,P429="JPY",O429/161)</f>
        <v>104.5</v>
      </c>
      <c r="R429" s="14">
        <v>30</v>
      </c>
      <c r="S429" s="14">
        <v>1</v>
      </c>
      <c r="T429" s="14"/>
      <c r="U429" s="14" t="s">
        <v>2849</v>
      </c>
      <c r="V429" s="14" t="s">
        <v>2857</v>
      </c>
      <c r="W429" s="14" t="s">
        <v>2858</v>
      </c>
      <c r="X429" s="17">
        <v>0</v>
      </c>
      <c r="Y429" s="15" t="s">
        <v>2893</v>
      </c>
      <c r="Z429" s="18" t="s">
        <v>2930</v>
      </c>
      <c r="AA429" s="18"/>
      <c r="AB429" s="16"/>
      <c r="AC429" s="16"/>
      <c r="AD429" s="16"/>
      <c r="AE429" s="16" t="s">
        <v>2953</v>
      </c>
      <c r="AF429" s="16"/>
      <c r="AI429" s="3" t="str">
        <f t="shared" ca="1" si="6"/>
        <v>OK</v>
      </c>
    </row>
    <row r="430" spans="1:35" hidden="1" x14ac:dyDescent="0.3">
      <c r="A430" s="13">
        <v>46032</v>
      </c>
      <c r="B430" s="14" t="s">
        <v>2806</v>
      </c>
      <c r="C430" s="16"/>
      <c r="D430" s="16"/>
      <c r="E430" s="15" t="s">
        <v>872</v>
      </c>
      <c r="F430" s="15" t="s">
        <v>1258</v>
      </c>
      <c r="G430" s="15" t="s">
        <v>474</v>
      </c>
      <c r="H430" s="15"/>
      <c r="I430" s="15" t="s">
        <v>2104</v>
      </c>
      <c r="J430" s="15" t="s">
        <v>2105</v>
      </c>
      <c r="K430" s="16"/>
      <c r="L430" s="14" t="s">
        <v>2829</v>
      </c>
      <c r="M430" s="16"/>
      <c r="N430" s="15" t="s">
        <v>1100</v>
      </c>
      <c r="O430" s="14">
        <v>234.2</v>
      </c>
      <c r="P430" s="14" t="s">
        <v>2845</v>
      </c>
      <c r="Q430" s="14" cm="1">
        <f t="array" ref="Q430">_xlfn.IFS(P430="USD",O430,P430="VND",O430/26090,P430="JPY",O430/161)</f>
        <v>234.2</v>
      </c>
      <c r="R430" s="14">
        <v>30</v>
      </c>
      <c r="S430" s="14">
        <v>1</v>
      </c>
      <c r="T430" s="14"/>
      <c r="U430" s="14" t="s">
        <v>2849</v>
      </c>
      <c r="V430" s="14" t="s">
        <v>2857</v>
      </c>
      <c r="W430" s="14" t="s">
        <v>2858</v>
      </c>
      <c r="X430" s="17">
        <v>0</v>
      </c>
      <c r="Y430" s="15" t="s">
        <v>2893</v>
      </c>
      <c r="Z430" s="18" t="s">
        <v>2930</v>
      </c>
      <c r="AA430" s="18"/>
      <c r="AB430" s="16"/>
      <c r="AC430" s="16"/>
      <c r="AD430" s="16"/>
      <c r="AE430" s="16" t="s">
        <v>2953</v>
      </c>
      <c r="AF430" s="16"/>
      <c r="AI430" s="3" t="str">
        <f t="shared" ca="1" si="6"/>
        <v>OK</v>
      </c>
    </row>
    <row r="431" spans="1:35" hidden="1" x14ac:dyDescent="0.3">
      <c r="A431" s="13">
        <v>46032</v>
      </c>
      <c r="B431" s="14" t="s">
        <v>2806</v>
      </c>
      <c r="C431" s="16"/>
      <c r="D431" s="16"/>
      <c r="E431" s="15" t="s">
        <v>885</v>
      </c>
      <c r="F431" s="15" t="s">
        <v>1270</v>
      </c>
      <c r="G431" s="15" t="s">
        <v>475</v>
      </c>
      <c r="H431" s="15"/>
      <c r="I431" s="15" t="s">
        <v>2106</v>
      </c>
      <c r="J431" s="15" t="s">
        <v>2107</v>
      </c>
      <c r="K431" s="16"/>
      <c r="L431" s="14" t="s">
        <v>2841</v>
      </c>
      <c r="M431" s="16"/>
      <c r="N431" s="15" t="s">
        <v>1101</v>
      </c>
      <c r="O431" s="14">
        <v>110000</v>
      </c>
      <c r="P431" s="14" t="s">
        <v>2846</v>
      </c>
      <c r="Q431" s="14" cm="1">
        <f t="array" ref="Q431">_xlfn.IFS(P431="USD",O431,P431="VND",O431/26090,P431="JPY",O431/161)</f>
        <v>4.2161747796090454</v>
      </c>
      <c r="R431" s="14">
        <v>7</v>
      </c>
      <c r="S431" s="14">
        <v>1</v>
      </c>
      <c r="T431" s="14"/>
      <c r="U431" s="14" t="s">
        <v>2849</v>
      </c>
      <c r="V431" s="14" t="s">
        <v>2857</v>
      </c>
      <c r="W431" s="14" t="s">
        <v>2858</v>
      </c>
      <c r="X431" s="17">
        <v>0</v>
      </c>
      <c r="Y431" s="15" t="s">
        <v>2875</v>
      </c>
      <c r="Z431" s="20">
        <v>46057</v>
      </c>
      <c r="AA431" s="18"/>
      <c r="AB431" s="16"/>
      <c r="AC431" s="16"/>
      <c r="AD431" s="16"/>
      <c r="AE431" s="16" t="s">
        <v>3017</v>
      </c>
      <c r="AF431" s="16"/>
      <c r="AI431" s="3" t="str">
        <f t="shared" ca="1" si="6"/>
        <v>OK</v>
      </c>
    </row>
    <row r="432" spans="1:35" hidden="1" x14ac:dyDescent="0.3">
      <c r="A432" s="13">
        <v>46032</v>
      </c>
      <c r="B432" s="14" t="s">
        <v>2806</v>
      </c>
      <c r="C432" s="16"/>
      <c r="D432" s="16"/>
      <c r="E432" s="15" t="s">
        <v>858</v>
      </c>
      <c r="F432" s="15" t="s">
        <v>1248</v>
      </c>
      <c r="G432" s="15" t="s">
        <v>476</v>
      </c>
      <c r="H432" s="15"/>
      <c r="I432" s="15" t="s">
        <v>2108</v>
      </c>
      <c r="J432" s="15" t="s">
        <v>2109</v>
      </c>
      <c r="K432" s="16"/>
      <c r="L432" s="14" t="s">
        <v>2834</v>
      </c>
      <c r="M432" s="16"/>
      <c r="N432" s="15" t="s">
        <v>1102</v>
      </c>
      <c r="O432" s="14">
        <v>204</v>
      </c>
      <c r="P432" s="14" t="s">
        <v>2845</v>
      </c>
      <c r="Q432" s="14" cm="1">
        <f t="array" ref="Q432">_xlfn.IFS(P432="USD",O432,P432="VND",O432/26090,P432="JPY",O432/161)</f>
        <v>204</v>
      </c>
      <c r="R432" s="14">
        <v>21</v>
      </c>
      <c r="S432" s="14">
        <v>1</v>
      </c>
      <c r="T432" s="14"/>
      <c r="U432" s="14" t="s">
        <v>2852</v>
      </c>
      <c r="V432" s="14" t="s">
        <v>2864</v>
      </c>
      <c r="W432" s="14" t="s">
        <v>2860</v>
      </c>
      <c r="X432" s="17">
        <v>0</v>
      </c>
      <c r="Y432" s="15" t="s">
        <v>2880</v>
      </c>
      <c r="Z432" s="18" t="s">
        <v>3050</v>
      </c>
      <c r="AA432" s="18"/>
      <c r="AB432" s="16"/>
      <c r="AC432" s="16"/>
      <c r="AD432" s="16"/>
      <c r="AE432" s="16" t="s">
        <v>3049</v>
      </c>
      <c r="AF432" s="16"/>
      <c r="AI432" s="3" t="str">
        <f t="shared" ca="1" si="6"/>
        <v>OK</v>
      </c>
    </row>
    <row r="433" spans="1:35" hidden="1" x14ac:dyDescent="0.3">
      <c r="A433" s="13">
        <v>46032</v>
      </c>
      <c r="B433" s="14" t="s">
        <v>2806</v>
      </c>
      <c r="C433" s="16"/>
      <c r="D433" s="16"/>
      <c r="E433" s="15" t="s">
        <v>849</v>
      </c>
      <c r="F433" s="15" t="s">
        <v>1243</v>
      </c>
      <c r="G433" s="15" t="s">
        <v>477</v>
      </c>
      <c r="H433" s="15"/>
      <c r="I433" s="15" t="s">
        <v>2110</v>
      </c>
      <c r="J433" s="15" t="s">
        <v>2111</v>
      </c>
      <c r="K433" s="16"/>
      <c r="L433" s="14" t="s">
        <v>2829</v>
      </c>
      <c r="M433" s="16"/>
      <c r="N433" s="15" t="s">
        <v>1103</v>
      </c>
      <c r="O433" s="14">
        <v>8.84</v>
      </c>
      <c r="P433" s="14" t="s">
        <v>2845</v>
      </c>
      <c r="Q433" s="14" cm="1">
        <f t="array" ref="Q433">_xlfn.IFS(P433="USD",O433,P433="VND",O433/26090,P433="JPY",O433/161)</f>
        <v>8.84</v>
      </c>
      <c r="R433" s="14">
        <v>25</v>
      </c>
      <c r="S433" s="14">
        <v>1</v>
      </c>
      <c r="T433" s="14"/>
      <c r="U433" s="14" t="s">
        <v>2849</v>
      </c>
      <c r="V433" s="14" t="s">
        <v>2857</v>
      </c>
      <c r="W433" s="14" t="s">
        <v>2858</v>
      </c>
      <c r="X433" s="17">
        <v>0</v>
      </c>
      <c r="Y433" s="15" t="s">
        <v>2875</v>
      </c>
      <c r="Z433" s="20">
        <v>46028</v>
      </c>
      <c r="AA433" s="20">
        <v>46393</v>
      </c>
      <c r="AB433" s="16"/>
      <c r="AC433" s="16"/>
      <c r="AD433" s="16"/>
      <c r="AE433" s="16" t="s">
        <v>2959</v>
      </c>
      <c r="AF433" s="16"/>
      <c r="AI433" s="3" t="str">
        <f t="shared" ca="1" si="6"/>
        <v>OK</v>
      </c>
    </row>
    <row r="434" spans="1:35" hidden="1" x14ac:dyDescent="0.3">
      <c r="A434" s="13">
        <v>46032</v>
      </c>
      <c r="B434" s="14" t="s">
        <v>2806</v>
      </c>
      <c r="C434" s="16"/>
      <c r="D434" s="16"/>
      <c r="E434" s="15" t="s">
        <v>872</v>
      </c>
      <c r="F434" s="15" t="s">
        <v>1258</v>
      </c>
      <c r="G434" s="15" t="s">
        <v>478</v>
      </c>
      <c r="H434" s="15"/>
      <c r="I434" s="15" t="s">
        <v>2112</v>
      </c>
      <c r="J434" s="15" t="s">
        <v>2113</v>
      </c>
      <c r="K434" s="16"/>
      <c r="L434" s="14" t="s">
        <v>2823</v>
      </c>
      <c r="M434" s="16"/>
      <c r="N434" s="15" t="s">
        <v>1104</v>
      </c>
      <c r="O434" s="14">
        <v>57.8</v>
      </c>
      <c r="P434" s="14" t="s">
        <v>2845</v>
      </c>
      <c r="Q434" s="14" cm="1">
        <f t="array" ref="Q434">_xlfn.IFS(P434="USD",O434,P434="VND",O434/26090,P434="JPY",O434/161)</f>
        <v>57.8</v>
      </c>
      <c r="R434" s="14">
        <v>14</v>
      </c>
      <c r="S434" s="14">
        <v>1</v>
      </c>
      <c r="T434" s="14"/>
      <c r="U434" s="14" t="s">
        <v>2849</v>
      </c>
      <c r="V434" s="14" t="s">
        <v>2857</v>
      </c>
      <c r="W434" s="14" t="s">
        <v>2858</v>
      </c>
      <c r="X434" s="17">
        <v>0</v>
      </c>
      <c r="Y434" s="15" t="s">
        <v>2893</v>
      </c>
      <c r="Z434" s="18" t="s">
        <v>2930</v>
      </c>
      <c r="AA434" s="18"/>
      <c r="AB434" s="16"/>
      <c r="AC434" s="16"/>
      <c r="AD434" s="16"/>
      <c r="AE434" s="16" t="s">
        <v>2953</v>
      </c>
      <c r="AF434" s="16"/>
      <c r="AI434" s="3" t="str">
        <f t="shared" ca="1" si="6"/>
        <v>OK</v>
      </c>
    </row>
    <row r="435" spans="1:35" hidden="1" x14ac:dyDescent="0.3">
      <c r="A435" s="13">
        <v>46032</v>
      </c>
      <c r="B435" s="14" t="s">
        <v>2806</v>
      </c>
      <c r="C435" s="16"/>
      <c r="D435" s="16"/>
      <c r="E435" s="15" t="s">
        <v>849</v>
      </c>
      <c r="F435" s="15" t="s">
        <v>1243</v>
      </c>
      <c r="G435" s="15" t="s">
        <v>479</v>
      </c>
      <c r="H435" s="15"/>
      <c r="I435" s="15" t="s">
        <v>2114</v>
      </c>
      <c r="J435" s="15" t="s">
        <v>2115</v>
      </c>
      <c r="K435" s="16"/>
      <c r="L435" s="14" t="s">
        <v>2823</v>
      </c>
      <c r="M435" s="16"/>
      <c r="N435" s="15" t="s">
        <v>1105</v>
      </c>
      <c r="O435" s="14">
        <v>82</v>
      </c>
      <c r="P435" s="14" t="s">
        <v>2845</v>
      </c>
      <c r="Q435" s="14" cm="1">
        <f t="array" ref="Q435">_xlfn.IFS(P435="USD",O435,P435="VND",O435/26090,P435="JPY",O435/161)</f>
        <v>82</v>
      </c>
      <c r="R435" s="14">
        <v>25</v>
      </c>
      <c r="S435" s="14">
        <v>1</v>
      </c>
      <c r="T435" s="14"/>
      <c r="U435" s="14" t="s">
        <v>2849</v>
      </c>
      <c r="V435" s="14" t="s">
        <v>2857</v>
      </c>
      <c r="W435" s="14" t="s">
        <v>2858</v>
      </c>
      <c r="X435" s="17">
        <v>0</v>
      </c>
      <c r="Y435" s="15" t="s">
        <v>2875</v>
      </c>
      <c r="Z435" s="20">
        <v>46028</v>
      </c>
      <c r="AA435" s="20">
        <v>46393</v>
      </c>
      <c r="AB435" s="16"/>
      <c r="AC435" s="16"/>
      <c r="AD435" s="16"/>
      <c r="AE435" s="16" t="s">
        <v>2959</v>
      </c>
      <c r="AF435" s="16"/>
      <c r="AI435" s="3" t="str">
        <f t="shared" ca="1" si="6"/>
        <v>OK</v>
      </c>
    </row>
    <row r="436" spans="1:35" hidden="1" x14ac:dyDescent="0.3">
      <c r="A436" s="13">
        <v>46032</v>
      </c>
      <c r="B436" s="14" t="s">
        <v>2806</v>
      </c>
      <c r="C436" s="16"/>
      <c r="D436" s="16"/>
      <c r="E436" s="15" t="s">
        <v>888</v>
      </c>
      <c r="F436" s="15" t="s">
        <v>1273</v>
      </c>
      <c r="G436" s="15" t="s">
        <v>480</v>
      </c>
      <c r="H436" s="15"/>
      <c r="I436" s="15" t="s">
        <v>2116</v>
      </c>
      <c r="J436" s="15" t="s">
        <v>2117</v>
      </c>
      <c r="K436" s="16"/>
      <c r="L436" s="14" t="s">
        <v>2832</v>
      </c>
      <c r="M436" s="16"/>
      <c r="N436" s="15" t="s">
        <v>1106</v>
      </c>
      <c r="O436" s="14">
        <v>45000</v>
      </c>
      <c r="P436" s="14" t="s">
        <v>2846</v>
      </c>
      <c r="Q436" s="14" cm="1">
        <f t="array" ref="Q436">_xlfn.IFS(P436="USD",O436,P436="VND",O436/26090,P436="JPY",O436/161)</f>
        <v>1.7247987734764278</v>
      </c>
      <c r="R436" s="14">
        <v>14</v>
      </c>
      <c r="S436" s="14">
        <v>1</v>
      </c>
      <c r="T436" s="14"/>
      <c r="U436" s="14" t="s">
        <v>2848</v>
      </c>
      <c r="V436" s="14" t="s">
        <v>2857</v>
      </c>
      <c r="W436" s="14" t="s">
        <v>2858</v>
      </c>
      <c r="X436" s="17">
        <v>0</v>
      </c>
      <c r="Y436" s="15" t="s">
        <v>2875</v>
      </c>
      <c r="Z436" s="18" t="s">
        <v>2914</v>
      </c>
      <c r="AA436" s="18"/>
      <c r="AB436" s="16"/>
      <c r="AC436" s="16"/>
      <c r="AD436" s="16"/>
      <c r="AE436" s="16" t="s">
        <v>2917</v>
      </c>
      <c r="AF436" s="16"/>
      <c r="AI436" s="3" t="str">
        <f t="shared" ca="1" si="6"/>
        <v>OK</v>
      </c>
    </row>
    <row r="437" spans="1:35" hidden="1" x14ac:dyDescent="0.3">
      <c r="A437" s="13">
        <v>46032</v>
      </c>
      <c r="B437" s="14" t="s">
        <v>2806</v>
      </c>
      <c r="C437" s="16"/>
      <c r="D437" s="16"/>
      <c r="E437" s="15" t="s">
        <v>888</v>
      </c>
      <c r="F437" s="15" t="s">
        <v>1273</v>
      </c>
      <c r="G437" s="15" t="s">
        <v>481</v>
      </c>
      <c r="H437" s="15"/>
      <c r="I437" s="15" t="s">
        <v>2118</v>
      </c>
      <c r="J437" s="15" t="s">
        <v>2117</v>
      </c>
      <c r="K437" s="16"/>
      <c r="L437" s="14" t="s">
        <v>2832</v>
      </c>
      <c r="M437" s="16"/>
      <c r="N437" s="15" t="s">
        <v>1106</v>
      </c>
      <c r="O437" s="14">
        <v>42000</v>
      </c>
      <c r="P437" s="14" t="s">
        <v>2846</v>
      </c>
      <c r="Q437" s="14" cm="1">
        <f t="array" ref="Q437">_xlfn.IFS(P437="USD",O437,P437="VND",O437/26090,P437="JPY",O437/161)</f>
        <v>1.6098121885779992</v>
      </c>
      <c r="R437" s="14">
        <v>14</v>
      </c>
      <c r="S437" s="14">
        <v>1</v>
      </c>
      <c r="T437" s="14"/>
      <c r="U437" s="14" t="s">
        <v>2848</v>
      </c>
      <c r="V437" s="14" t="s">
        <v>2857</v>
      </c>
      <c r="W437" s="14" t="s">
        <v>2858</v>
      </c>
      <c r="X437" s="17">
        <v>0</v>
      </c>
      <c r="Y437" s="15" t="s">
        <v>2875</v>
      </c>
      <c r="Z437" s="18" t="s">
        <v>2914</v>
      </c>
      <c r="AA437" s="18"/>
      <c r="AB437" s="16"/>
      <c r="AC437" s="16"/>
      <c r="AD437" s="16"/>
      <c r="AE437" s="16" t="s">
        <v>2917</v>
      </c>
      <c r="AF437" s="16"/>
      <c r="AI437" s="3" t="str">
        <f t="shared" ca="1" si="6"/>
        <v>OK</v>
      </c>
    </row>
    <row r="438" spans="1:35" x14ac:dyDescent="0.3">
      <c r="A438" s="13">
        <v>46032</v>
      </c>
      <c r="B438" s="14" t="s">
        <v>2806</v>
      </c>
      <c r="C438" s="16"/>
      <c r="D438" s="16"/>
      <c r="E438" s="15" t="s">
        <v>862</v>
      </c>
      <c r="F438" s="15" t="s">
        <v>1251</v>
      </c>
      <c r="G438" s="15" t="s">
        <v>482</v>
      </c>
      <c r="H438" s="15"/>
      <c r="I438" s="15" t="s">
        <v>2119</v>
      </c>
      <c r="J438" s="15" t="s">
        <v>2120</v>
      </c>
      <c r="K438" s="16"/>
      <c r="L438" s="14" t="s">
        <v>2825</v>
      </c>
      <c r="M438" s="16"/>
      <c r="N438" s="15" t="s">
        <v>1107</v>
      </c>
      <c r="O438" s="14">
        <v>130000</v>
      </c>
      <c r="P438" s="14" t="s">
        <v>2846</v>
      </c>
      <c r="Q438" s="14" cm="1">
        <f t="array" ref="Q438">_xlfn.IFS(P438="USD",O438,P438="VND",O438/26090,P438="JPY",O438/161)</f>
        <v>4.9827520122652356</v>
      </c>
      <c r="R438" s="14">
        <v>7</v>
      </c>
      <c r="S438" s="14">
        <v>10</v>
      </c>
      <c r="T438" s="14"/>
      <c r="U438" s="14" t="s">
        <v>2848</v>
      </c>
      <c r="V438" s="14" t="s">
        <v>2857</v>
      </c>
      <c r="W438" s="14" t="s">
        <v>2858</v>
      </c>
      <c r="X438" s="17">
        <v>0</v>
      </c>
      <c r="Y438" s="15" t="s">
        <v>2875</v>
      </c>
      <c r="Z438" s="18" t="s">
        <v>2929</v>
      </c>
      <c r="AA438" s="22" t="s">
        <v>2931</v>
      </c>
      <c r="AB438" s="16"/>
      <c r="AC438" s="16"/>
      <c r="AD438" s="16"/>
      <c r="AE438" s="16" t="s">
        <v>2933</v>
      </c>
      <c r="AF438" s="16"/>
      <c r="AI438" s="3" t="str">
        <f t="shared" ca="1" si="6"/>
        <v>OK</v>
      </c>
    </row>
    <row r="439" spans="1:35" x14ac:dyDescent="0.3">
      <c r="A439" s="13">
        <v>46032</v>
      </c>
      <c r="B439" s="14" t="s">
        <v>2806</v>
      </c>
      <c r="C439" s="16"/>
      <c r="D439" s="16"/>
      <c r="E439" s="15" t="s">
        <v>862</v>
      </c>
      <c r="F439" s="15" t="s">
        <v>1251</v>
      </c>
      <c r="G439" s="15" t="s">
        <v>483</v>
      </c>
      <c r="H439" s="15"/>
      <c r="I439" s="15" t="s">
        <v>2121</v>
      </c>
      <c r="J439" s="15" t="s">
        <v>2122</v>
      </c>
      <c r="K439" s="16"/>
      <c r="L439" s="14" t="s">
        <v>2823</v>
      </c>
      <c r="M439" s="16"/>
      <c r="N439" s="15" t="s">
        <v>1108</v>
      </c>
      <c r="O439" s="14">
        <v>44500</v>
      </c>
      <c r="P439" s="14" t="s">
        <v>2846</v>
      </c>
      <c r="Q439" s="14" cm="1">
        <f t="array" ref="Q439">_xlfn.IFS(P439="USD",O439,P439="VND",O439/26090,P439="JPY",O439/161)</f>
        <v>1.7056343426600229</v>
      </c>
      <c r="R439" s="14">
        <v>10</v>
      </c>
      <c r="S439" s="14">
        <v>30</v>
      </c>
      <c r="T439" s="14"/>
      <c r="U439" s="14" t="s">
        <v>2848</v>
      </c>
      <c r="V439" s="14" t="s">
        <v>2857</v>
      </c>
      <c r="W439" s="14" t="s">
        <v>2858</v>
      </c>
      <c r="X439" s="17">
        <v>0</v>
      </c>
      <c r="Y439" s="15" t="s">
        <v>2875</v>
      </c>
      <c r="Z439" s="18" t="s">
        <v>2929</v>
      </c>
      <c r="AA439" s="22" t="s">
        <v>2931</v>
      </c>
      <c r="AB439" s="16"/>
      <c r="AC439" s="16"/>
      <c r="AD439" s="16"/>
      <c r="AE439" s="16" t="s">
        <v>2933</v>
      </c>
      <c r="AF439" s="16"/>
      <c r="AI439" s="3" t="str">
        <f t="shared" ca="1" si="6"/>
        <v>OK</v>
      </c>
    </row>
    <row r="440" spans="1:35" hidden="1" x14ac:dyDescent="0.3">
      <c r="A440" s="13">
        <v>46032</v>
      </c>
      <c r="B440" s="14" t="s">
        <v>2806</v>
      </c>
      <c r="C440" s="16"/>
      <c r="D440" s="16"/>
      <c r="E440" s="15" t="s">
        <v>885</v>
      </c>
      <c r="F440" s="15" t="s">
        <v>1270</v>
      </c>
      <c r="G440" s="15" t="s">
        <v>484</v>
      </c>
      <c r="H440" s="15"/>
      <c r="I440" s="15" t="s">
        <v>2123</v>
      </c>
      <c r="J440" s="15" t="s">
        <v>2124</v>
      </c>
      <c r="K440" s="16"/>
      <c r="L440" s="14" t="s">
        <v>2823</v>
      </c>
      <c r="M440" s="16"/>
      <c r="N440" s="15" t="s">
        <v>1109</v>
      </c>
      <c r="O440" s="14">
        <v>24500</v>
      </c>
      <c r="P440" s="14" t="s">
        <v>2846</v>
      </c>
      <c r="Q440" s="14" cm="1">
        <f t="array" ref="Q440">_xlfn.IFS(P440="USD",O440,P440="VND",O440/26090,P440="JPY",O440/161)</f>
        <v>0.93905711000383285</v>
      </c>
      <c r="R440" s="14">
        <v>7</v>
      </c>
      <c r="S440" s="14">
        <v>1</v>
      </c>
      <c r="T440" s="14"/>
      <c r="U440" s="14" t="s">
        <v>2849</v>
      </c>
      <c r="V440" s="14" t="s">
        <v>2857</v>
      </c>
      <c r="W440" s="14" t="s">
        <v>2858</v>
      </c>
      <c r="X440" s="17">
        <v>0</v>
      </c>
      <c r="Y440" s="15" t="s">
        <v>2875</v>
      </c>
      <c r="Z440" s="20">
        <v>46057</v>
      </c>
      <c r="AA440" s="18"/>
      <c r="AB440" s="16"/>
      <c r="AC440" s="16"/>
      <c r="AD440" s="16"/>
      <c r="AE440" s="16" t="s">
        <v>3017</v>
      </c>
      <c r="AF440" s="16"/>
      <c r="AI440" s="3" t="str">
        <f t="shared" ca="1" si="6"/>
        <v>OK</v>
      </c>
    </row>
    <row r="441" spans="1:35" hidden="1" x14ac:dyDescent="0.3">
      <c r="A441" s="13">
        <v>46032</v>
      </c>
      <c r="B441" s="14" t="s">
        <v>2806</v>
      </c>
      <c r="C441" s="16"/>
      <c r="D441" s="16"/>
      <c r="E441" s="15" t="s">
        <v>857</v>
      </c>
      <c r="F441" s="15" t="s">
        <v>912</v>
      </c>
      <c r="G441" s="15" t="s">
        <v>485</v>
      </c>
      <c r="H441" s="15"/>
      <c r="I441" s="15" t="s">
        <v>2125</v>
      </c>
      <c r="J441" s="15" t="s">
        <v>2126</v>
      </c>
      <c r="K441" s="16"/>
      <c r="L441" s="14" t="s">
        <v>2831</v>
      </c>
      <c r="M441" s="16"/>
      <c r="N441" s="15" t="s">
        <v>1110</v>
      </c>
      <c r="O441" s="14">
        <v>75.5</v>
      </c>
      <c r="P441" s="14" t="s">
        <v>2845</v>
      </c>
      <c r="Q441" s="14" cm="1">
        <f t="array" ref="Q441">_xlfn.IFS(P441="USD",O441,P441="VND",O441/26090,P441="JPY",O441/161)</f>
        <v>75.5</v>
      </c>
      <c r="R441" s="14">
        <v>35</v>
      </c>
      <c r="S441" s="14">
        <v>1</v>
      </c>
      <c r="T441" s="14"/>
      <c r="U441" s="14" t="s">
        <v>2848</v>
      </c>
      <c r="V441" s="14" t="s">
        <v>2857</v>
      </c>
      <c r="W441" s="14" t="s">
        <v>2858</v>
      </c>
      <c r="X441" s="17">
        <v>0</v>
      </c>
      <c r="Y441" s="15" t="s">
        <v>2875</v>
      </c>
      <c r="Z441" s="20">
        <v>46243</v>
      </c>
      <c r="AA441" s="20">
        <v>46608</v>
      </c>
      <c r="AB441" s="16"/>
      <c r="AC441" s="16"/>
      <c r="AD441" s="16"/>
      <c r="AE441" s="16" t="s">
        <v>2957</v>
      </c>
      <c r="AF441" s="16"/>
      <c r="AI441" s="3" t="str">
        <f t="shared" ca="1" si="6"/>
        <v>OK</v>
      </c>
    </row>
    <row r="442" spans="1:35" x14ac:dyDescent="0.3">
      <c r="A442" s="13">
        <v>46032</v>
      </c>
      <c r="B442" s="14" t="s">
        <v>2806</v>
      </c>
      <c r="C442" s="16"/>
      <c r="D442" s="16"/>
      <c r="E442" s="15" t="s">
        <v>862</v>
      </c>
      <c r="F442" s="15" t="s">
        <v>1251</v>
      </c>
      <c r="G442" s="15" t="s">
        <v>486</v>
      </c>
      <c r="H442" s="15"/>
      <c r="I442" s="15" t="s">
        <v>2127</v>
      </c>
      <c r="J442" s="15" t="s">
        <v>2128</v>
      </c>
      <c r="K442" s="16"/>
      <c r="L442" s="14" t="s">
        <v>2823</v>
      </c>
      <c r="M442" s="16"/>
      <c r="N442" s="15" t="s">
        <v>1111</v>
      </c>
      <c r="O442" s="14">
        <v>180000</v>
      </c>
      <c r="P442" s="14" t="s">
        <v>2846</v>
      </c>
      <c r="Q442" s="14" cm="1">
        <f t="array" ref="Q442">_xlfn.IFS(P442="USD",O442,P442="VND",O442/26090,P442="JPY",O442/161)</f>
        <v>6.8991950939057114</v>
      </c>
      <c r="R442" s="14">
        <v>40</v>
      </c>
      <c r="S442" s="14">
        <v>100</v>
      </c>
      <c r="T442" s="14"/>
      <c r="U442" s="14" t="s">
        <v>2848</v>
      </c>
      <c r="V442" s="14" t="s">
        <v>2857</v>
      </c>
      <c r="W442" s="14" t="s">
        <v>2858</v>
      </c>
      <c r="X442" s="17">
        <v>0</v>
      </c>
      <c r="Y442" s="15" t="s">
        <v>2875</v>
      </c>
      <c r="Z442" s="18" t="s">
        <v>2929</v>
      </c>
      <c r="AA442" s="22" t="s">
        <v>2931</v>
      </c>
      <c r="AB442" s="16"/>
      <c r="AC442" s="16"/>
      <c r="AD442" s="16"/>
      <c r="AE442" s="16" t="s">
        <v>2933</v>
      </c>
      <c r="AF442" s="16"/>
      <c r="AI442" s="3" t="str">
        <f t="shared" ca="1" si="6"/>
        <v>OK</v>
      </c>
    </row>
    <row r="443" spans="1:35" hidden="1" x14ac:dyDescent="0.3">
      <c r="A443" s="13">
        <v>46032</v>
      </c>
      <c r="B443" s="14" t="s">
        <v>2806</v>
      </c>
      <c r="C443" s="16"/>
      <c r="D443" s="16"/>
      <c r="E443" s="15" t="s">
        <v>857</v>
      </c>
      <c r="F443" s="15" t="s">
        <v>912</v>
      </c>
      <c r="G443" s="15" t="s">
        <v>487</v>
      </c>
      <c r="H443" s="15"/>
      <c r="I443" s="15" t="s">
        <v>2129</v>
      </c>
      <c r="J443" s="15" t="s">
        <v>2130</v>
      </c>
      <c r="K443" s="16"/>
      <c r="L443" s="14" t="s">
        <v>2815</v>
      </c>
      <c r="M443" s="16"/>
      <c r="N443" s="15" t="s">
        <v>1112</v>
      </c>
      <c r="O443" s="14">
        <v>0.23</v>
      </c>
      <c r="P443" s="14" t="s">
        <v>2845</v>
      </c>
      <c r="Q443" s="14" cm="1">
        <f t="array" ref="Q443">_xlfn.IFS(P443="USD",O443,P443="VND",O443/26090,P443="JPY",O443/161)</f>
        <v>0.23</v>
      </c>
      <c r="R443" s="14">
        <v>30</v>
      </c>
      <c r="S443" s="14">
        <v>1</v>
      </c>
      <c r="T443" s="14"/>
      <c r="U443" s="14" t="s">
        <v>2848</v>
      </c>
      <c r="V443" s="14" t="s">
        <v>2857</v>
      </c>
      <c r="W443" s="14" t="s">
        <v>2858</v>
      </c>
      <c r="X443" s="17">
        <v>0</v>
      </c>
      <c r="Y443" s="15" t="s">
        <v>2875</v>
      </c>
      <c r="Z443" s="20">
        <v>46243</v>
      </c>
      <c r="AA443" s="20">
        <v>46608</v>
      </c>
      <c r="AB443" s="16"/>
      <c r="AC443" s="16"/>
      <c r="AD443" s="16"/>
      <c r="AE443" s="16" t="s">
        <v>2957</v>
      </c>
      <c r="AF443" s="16"/>
      <c r="AI443" s="3" t="str">
        <f t="shared" ca="1" si="6"/>
        <v>OK</v>
      </c>
    </row>
    <row r="444" spans="1:35" hidden="1" x14ac:dyDescent="0.3">
      <c r="A444" s="13">
        <v>46032</v>
      </c>
      <c r="B444" s="14" t="s">
        <v>2806</v>
      </c>
      <c r="C444" s="16"/>
      <c r="D444" s="16"/>
      <c r="E444" s="15" t="s">
        <v>849</v>
      </c>
      <c r="F444" s="15" t="s">
        <v>1243</v>
      </c>
      <c r="G444" s="15" t="s">
        <v>488</v>
      </c>
      <c r="H444" s="15"/>
      <c r="I444" s="15" t="s">
        <v>2131</v>
      </c>
      <c r="J444" s="15" t="s">
        <v>2132</v>
      </c>
      <c r="K444" s="16"/>
      <c r="L444" s="14" t="s">
        <v>2823</v>
      </c>
      <c r="M444" s="16"/>
      <c r="N444" s="15" t="s">
        <v>1113</v>
      </c>
      <c r="O444" s="14">
        <v>62.08</v>
      </c>
      <c r="P444" s="14" t="s">
        <v>2845</v>
      </c>
      <c r="Q444" s="14" cm="1">
        <f t="array" ref="Q444">_xlfn.IFS(P444="USD",O444,P444="VND",O444/26090,P444="JPY",O444/161)</f>
        <v>62.08</v>
      </c>
      <c r="R444" s="14">
        <v>25</v>
      </c>
      <c r="S444" s="14">
        <v>1</v>
      </c>
      <c r="T444" s="14"/>
      <c r="U444" s="14" t="s">
        <v>2849</v>
      </c>
      <c r="V444" s="14" t="s">
        <v>2857</v>
      </c>
      <c r="W444" s="14" t="s">
        <v>2858</v>
      </c>
      <c r="X444" s="17">
        <v>0</v>
      </c>
      <c r="Y444" s="15" t="s">
        <v>2875</v>
      </c>
      <c r="Z444" s="20">
        <v>46028</v>
      </c>
      <c r="AA444" s="20">
        <v>46393</v>
      </c>
      <c r="AB444" s="16"/>
      <c r="AC444" s="16"/>
      <c r="AD444" s="16"/>
      <c r="AE444" s="16" t="s">
        <v>2959</v>
      </c>
      <c r="AF444" s="16"/>
      <c r="AI444" s="3" t="str">
        <f t="shared" ca="1" si="6"/>
        <v>OK</v>
      </c>
    </row>
    <row r="445" spans="1:35" x14ac:dyDescent="0.3">
      <c r="A445" s="13">
        <v>46032</v>
      </c>
      <c r="B445" s="14" t="s">
        <v>2806</v>
      </c>
      <c r="C445" s="16"/>
      <c r="D445" s="16"/>
      <c r="E445" s="15" t="s">
        <v>886</v>
      </c>
      <c r="F445" s="15" t="s">
        <v>1271</v>
      </c>
      <c r="G445" s="15" t="s">
        <v>489</v>
      </c>
      <c r="H445" s="15"/>
      <c r="I445" s="15" t="s">
        <v>2133</v>
      </c>
      <c r="J445" s="15" t="s">
        <v>2134</v>
      </c>
      <c r="K445" s="16"/>
      <c r="L445" s="14" t="s">
        <v>2823</v>
      </c>
      <c r="M445" s="16"/>
      <c r="N445" s="15" t="s">
        <v>1114</v>
      </c>
      <c r="O445" s="14">
        <v>4.8</v>
      </c>
      <c r="P445" s="14" t="s">
        <v>2845</v>
      </c>
      <c r="Q445" s="14" cm="1">
        <f t="array" ref="Q445">_xlfn.IFS(P445="USD",O445,P445="VND",O445/26090,P445="JPY",O445/161)</f>
        <v>4.8</v>
      </c>
      <c r="R445" s="14">
        <v>15</v>
      </c>
      <c r="S445" s="14">
        <v>10</v>
      </c>
      <c r="T445" s="14"/>
      <c r="U445" s="14" t="s">
        <v>2850</v>
      </c>
      <c r="V445" s="14" t="s">
        <v>2859</v>
      </c>
      <c r="W445" s="14" t="s">
        <v>2860</v>
      </c>
      <c r="X445" s="17">
        <v>0</v>
      </c>
      <c r="Y445" s="15" t="s">
        <v>2899</v>
      </c>
      <c r="Z445" s="18" t="s">
        <v>3044</v>
      </c>
      <c r="AA445" s="22" t="s">
        <v>3045</v>
      </c>
      <c r="AB445" s="16"/>
      <c r="AC445" s="16"/>
      <c r="AD445" s="16"/>
      <c r="AE445" s="16" t="s">
        <v>3046</v>
      </c>
      <c r="AF445" s="16"/>
      <c r="AI445" s="3" t="str">
        <f t="shared" ca="1" si="6"/>
        <v>OK</v>
      </c>
    </row>
    <row r="446" spans="1:35" x14ac:dyDescent="0.3">
      <c r="A446" s="13">
        <v>46032</v>
      </c>
      <c r="B446" s="14" t="s">
        <v>2806</v>
      </c>
      <c r="C446" s="16"/>
      <c r="D446" s="16"/>
      <c r="E446" s="15" t="s">
        <v>886</v>
      </c>
      <c r="F446" s="15" t="s">
        <v>1271</v>
      </c>
      <c r="G446" s="15" t="s">
        <v>490</v>
      </c>
      <c r="H446" s="15"/>
      <c r="I446" s="15" t="s">
        <v>2133</v>
      </c>
      <c r="J446" s="15" t="s">
        <v>2135</v>
      </c>
      <c r="K446" s="16"/>
      <c r="L446" s="14" t="s">
        <v>2823</v>
      </c>
      <c r="M446" s="16"/>
      <c r="N446" s="15" t="s">
        <v>1114</v>
      </c>
      <c r="O446" s="14">
        <v>4.8</v>
      </c>
      <c r="P446" s="14" t="s">
        <v>2845</v>
      </c>
      <c r="Q446" s="14" cm="1">
        <f t="array" ref="Q446">_xlfn.IFS(P446="USD",O446,P446="VND",O446/26090,P446="JPY",O446/161)</f>
        <v>4.8</v>
      </c>
      <c r="R446" s="14">
        <v>15</v>
      </c>
      <c r="S446" s="14">
        <v>10</v>
      </c>
      <c r="T446" s="14"/>
      <c r="U446" s="14" t="s">
        <v>2850</v>
      </c>
      <c r="V446" s="14" t="s">
        <v>2859</v>
      </c>
      <c r="W446" s="14" t="s">
        <v>2860</v>
      </c>
      <c r="X446" s="17">
        <v>0</v>
      </c>
      <c r="Y446" s="15" t="s">
        <v>2899</v>
      </c>
      <c r="Z446" s="18" t="s">
        <v>3044</v>
      </c>
      <c r="AA446" s="22" t="s">
        <v>3045</v>
      </c>
      <c r="AB446" s="16"/>
      <c r="AC446" s="16"/>
      <c r="AD446" s="16"/>
      <c r="AE446" s="16" t="s">
        <v>3046</v>
      </c>
      <c r="AF446" s="16"/>
      <c r="AI446" s="3" t="str">
        <f t="shared" ca="1" si="6"/>
        <v>OK</v>
      </c>
    </row>
    <row r="447" spans="1:35" x14ac:dyDescent="0.3">
      <c r="A447" s="13">
        <v>46032</v>
      </c>
      <c r="B447" s="14" t="s">
        <v>2806</v>
      </c>
      <c r="C447" s="16"/>
      <c r="D447" s="16"/>
      <c r="E447" s="15" t="s">
        <v>862</v>
      </c>
      <c r="F447" s="15" t="s">
        <v>1251</v>
      </c>
      <c r="G447" s="15" t="s">
        <v>491</v>
      </c>
      <c r="H447" s="15"/>
      <c r="I447" s="15" t="s">
        <v>2136</v>
      </c>
      <c r="J447" s="15" t="s">
        <v>2137</v>
      </c>
      <c r="K447" s="16"/>
      <c r="L447" s="14" t="s">
        <v>2823</v>
      </c>
      <c r="M447" s="16"/>
      <c r="N447" s="15" t="s">
        <v>1115</v>
      </c>
      <c r="O447" s="14">
        <v>21500000</v>
      </c>
      <c r="P447" s="14" t="s">
        <v>2846</v>
      </c>
      <c r="Q447" s="14" cm="1">
        <f t="array" ref="Q447">_xlfn.IFS(P447="USD",O447,P447="VND",O447/26090,P447="JPY",O447/161)</f>
        <v>824.07052510540439</v>
      </c>
      <c r="R447" s="14">
        <v>20</v>
      </c>
      <c r="S447" s="14">
        <v>1</v>
      </c>
      <c r="T447" s="14"/>
      <c r="U447" s="14" t="s">
        <v>2848</v>
      </c>
      <c r="V447" s="14" t="s">
        <v>2857</v>
      </c>
      <c r="W447" s="14" t="s">
        <v>2858</v>
      </c>
      <c r="X447" s="17">
        <v>0</v>
      </c>
      <c r="Y447" s="15" t="s">
        <v>2875</v>
      </c>
      <c r="Z447" s="18" t="s">
        <v>2929</v>
      </c>
      <c r="AA447" s="22" t="s">
        <v>2931</v>
      </c>
      <c r="AB447" s="16"/>
      <c r="AC447" s="16"/>
      <c r="AD447" s="16"/>
      <c r="AE447" s="16" t="s">
        <v>2933</v>
      </c>
      <c r="AF447" s="16"/>
      <c r="AI447" s="3" t="str">
        <f t="shared" ca="1" si="6"/>
        <v>OK</v>
      </c>
    </row>
    <row r="448" spans="1:35" hidden="1" x14ac:dyDescent="0.3">
      <c r="A448" s="13">
        <v>46032</v>
      </c>
      <c r="B448" s="14" t="s">
        <v>2806</v>
      </c>
      <c r="C448" s="16"/>
      <c r="D448" s="16"/>
      <c r="E448" s="15" t="s">
        <v>857</v>
      </c>
      <c r="F448" s="15" t="s">
        <v>912</v>
      </c>
      <c r="G448" s="15" t="s">
        <v>492</v>
      </c>
      <c r="H448" s="15"/>
      <c r="I448" s="15" t="s">
        <v>2138</v>
      </c>
      <c r="J448" s="15" t="s">
        <v>2117</v>
      </c>
      <c r="K448" s="16"/>
      <c r="L448" s="14" t="s">
        <v>2832</v>
      </c>
      <c r="M448" s="16"/>
      <c r="N448" s="15" t="s">
        <v>1116</v>
      </c>
      <c r="O448" s="14">
        <v>0.86</v>
      </c>
      <c r="P448" s="14" t="s">
        <v>2845</v>
      </c>
      <c r="Q448" s="14" cm="1">
        <f t="array" ref="Q448">_xlfn.IFS(P448="USD",O448,P448="VND",O448/26090,P448="JPY",O448/161)</f>
        <v>0.86</v>
      </c>
      <c r="R448" s="14">
        <v>30</v>
      </c>
      <c r="S448" s="14">
        <v>1</v>
      </c>
      <c r="T448" s="14"/>
      <c r="U448" s="14" t="s">
        <v>2848</v>
      </c>
      <c r="V448" s="14" t="s">
        <v>2857</v>
      </c>
      <c r="W448" s="14" t="s">
        <v>2858</v>
      </c>
      <c r="X448" s="17">
        <v>0</v>
      </c>
      <c r="Y448" s="15" t="s">
        <v>2875</v>
      </c>
      <c r="Z448" s="20">
        <v>46243</v>
      </c>
      <c r="AA448" s="20">
        <v>46608</v>
      </c>
      <c r="AB448" s="16"/>
      <c r="AC448" s="16"/>
      <c r="AD448" s="16"/>
      <c r="AE448" s="16" t="s">
        <v>2957</v>
      </c>
      <c r="AF448" s="16"/>
      <c r="AI448" s="3" t="str">
        <f t="shared" ca="1" si="6"/>
        <v>OK</v>
      </c>
    </row>
    <row r="449" spans="1:35" hidden="1" x14ac:dyDescent="0.3">
      <c r="A449" s="13">
        <v>46032</v>
      </c>
      <c r="B449" s="14" t="s">
        <v>2806</v>
      </c>
      <c r="C449" s="16"/>
      <c r="D449" s="16"/>
      <c r="E449" s="15" t="s">
        <v>857</v>
      </c>
      <c r="F449" s="15" t="s">
        <v>912</v>
      </c>
      <c r="G449" s="15" t="s">
        <v>493</v>
      </c>
      <c r="H449" s="15"/>
      <c r="I449" s="15" t="s">
        <v>2139</v>
      </c>
      <c r="J449" s="15" t="s">
        <v>2117</v>
      </c>
      <c r="K449" s="16"/>
      <c r="L449" s="14" t="s">
        <v>2832</v>
      </c>
      <c r="M449" s="16"/>
      <c r="N449" s="15" t="s">
        <v>1116</v>
      </c>
      <c r="O449" s="14">
        <v>1.08</v>
      </c>
      <c r="P449" s="14" t="s">
        <v>2845</v>
      </c>
      <c r="Q449" s="14" cm="1">
        <f t="array" ref="Q449">_xlfn.IFS(P449="USD",O449,P449="VND",O449/26090,P449="JPY",O449/161)</f>
        <v>1.08</v>
      </c>
      <c r="R449" s="14">
        <v>30</v>
      </c>
      <c r="S449" s="14">
        <v>1</v>
      </c>
      <c r="T449" s="14"/>
      <c r="U449" s="14" t="s">
        <v>2848</v>
      </c>
      <c r="V449" s="14" t="s">
        <v>2857</v>
      </c>
      <c r="W449" s="14" t="s">
        <v>2858</v>
      </c>
      <c r="X449" s="17">
        <v>0</v>
      </c>
      <c r="Y449" s="15" t="s">
        <v>2875</v>
      </c>
      <c r="Z449" s="20">
        <v>46243</v>
      </c>
      <c r="AA449" s="20">
        <v>46608</v>
      </c>
      <c r="AB449" s="16"/>
      <c r="AC449" s="16"/>
      <c r="AD449" s="16"/>
      <c r="AE449" s="16" t="s">
        <v>2957</v>
      </c>
      <c r="AF449" s="16"/>
      <c r="AI449" s="3" t="str">
        <f t="shared" ca="1" si="6"/>
        <v>OK</v>
      </c>
    </row>
    <row r="450" spans="1:35" hidden="1" x14ac:dyDescent="0.3">
      <c r="A450" s="13">
        <v>46032</v>
      </c>
      <c r="B450" s="14" t="s">
        <v>2806</v>
      </c>
      <c r="C450" s="16"/>
      <c r="D450" s="16"/>
      <c r="E450" s="15" t="s">
        <v>857</v>
      </c>
      <c r="F450" s="15" t="s">
        <v>912</v>
      </c>
      <c r="G450" s="15" t="s">
        <v>494</v>
      </c>
      <c r="H450" s="15"/>
      <c r="I450" s="15" t="s">
        <v>2140</v>
      </c>
      <c r="J450" s="15" t="s">
        <v>2117</v>
      </c>
      <c r="K450" s="16"/>
      <c r="L450" s="14" t="s">
        <v>2832</v>
      </c>
      <c r="M450" s="16"/>
      <c r="N450" s="15" t="s">
        <v>1116</v>
      </c>
      <c r="O450" s="14">
        <v>1.08</v>
      </c>
      <c r="P450" s="14" t="s">
        <v>2845</v>
      </c>
      <c r="Q450" s="14" cm="1">
        <f t="array" ref="Q450">_xlfn.IFS(P450="USD",O450,P450="VND",O450/26090,P450="JPY",O450/161)</f>
        <v>1.08</v>
      </c>
      <c r="R450" s="14">
        <v>30</v>
      </c>
      <c r="S450" s="14">
        <v>1</v>
      </c>
      <c r="T450" s="14"/>
      <c r="U450" s="14" t="s">
        <v>2848</v>
      </c>
      <c r="V450" s="14" t="s">
        <v>2857</v>
      </c>
      <c r="W450" s="14" t="s">
        <v>2858</v>
      </c>
      <c r="X450" s="17">
        <v>0</v>
      </c>
      <c r="Y450" s="15" t="s">
        <v>2875</v>
      </c>
      <c r="Z450" s="20">
        <v>46243</v>
      </c>
      <c r="AA450" s="20">
        <v>46608</v>
      </c>
      <c r="AB450" s="16"/>
      <c r="AC450" s="16"/>
      <c r="AD450" s="16"/>
      <c r="AE450" s="16" t="s">
        <v>2957</v>
      </c>
      <c r="AF450" s="16"/>
      <c r="AI450" s="3" t="str">
        <f t="shared" ca="1" si="6"/>
        <v>OK</v>
      </c>
    </row>
    <row r="451" spans="1:35" hidden="1" x14ac:dyDescent="0.3">
      <c r="A451" s="13">
        <v>46032</v>
      </c>
      <c r="B451" s="14" t="s">
        <v>2806</v>
      </c>
      <c r="C451" s="16"/>
      <c r="D451" s="16"/>
      <c r="E451" s="15" t="s">
        <v>857</v>
      </c>
      <c r="F451" s="15" t="s">
        <v>912</v>
      </c>
      <c r="G451" s="15" t="s">
        <v>495</v>
      </c>
      <c r="H451" s="15"/>
      <c r="I451" s="15" t="s">
        <v>2141</v>
      </c>
      <c r="J451" s="15" t="s">
        <v>2117</v>
      </c>
      <c r="K451" s="16"/>
      <c r="L451" s="14" t="s">
        <v>2823</v>
      </c>
      <c r="M451" s="16"/>
      <c r="N451" s="15" t="s">
        <v>1116</v>
      </c>
      <c r="O451" s="14">
        <v>0.86</v>
      </c>
      <c r="P451" s="14" t="s">
        <v>2845</v>
      </c>
      <c r="Q451" s="14" cm="1">
        <f t="array" ref="Q451">_xlfn.IFS(P451="USD",O451,P451="VND",O451/26090,P451="JPY",O451/161)</f>
        <v>0.86</v>
      </c>
      <c r="R451" s="14">
        <v>30</v>
      </c>
      <c r="S451" s="14">
        <v>1</v>
      </c>
      <c r="T451" s="14"/>
      <c r="U451" s="14" t="s">
        <v>2848</v>
      </c>
      <c r="V451" s="14" t="s">
        <v>2857</v>
      </c>
      <c r="W451" s="14" t="s">
        <v>2858</v>
      </c>
      <c r="X451" s="17">
        <v>0</v>
      </c>
      <c r="Y451" s="15" t="s">
        <v>2875</v>
      </c>
      <c r="Z451" s="20">
        <v>46243</v>
      </c>
      <c r="AA451" s="20">
        <v>46608</v>
      </c>
      <c r="AB451" s="16"/>
      <c r="AC451" s="16"/>
      <c r="AD451" s="16"/>
      <c r="AE451" s="16" t="s">
        <v>2957</v>
      </c>
      <c r="AF451" s="16"/>
      <c r="AI451" s="3" t="str">
        <f t="shared" ref="AI451:AI514" ca="1" si="7">IF(AA451="","OK",IF(AA451&lt;TODAY(),"NG","OK"))</f>
        <v>OK</v>
      </c>
    </row>
    <row r="452" spans="1:35" hidden="1" x14ac:dyDescent="0.3">
      <c r="A452" s="13">
        <v>46032</v>
      </c>
      <c r="B452" s="14" t="s">
        <v>2806</v>
      </c>
      <c r="C452" s="16"/>
      <c r="D452" s="16"/>
      <c r="E452" s="15" t="s">
        <v>857</v>
      </c>
      <c r="F452" s="15" t="s">
        <v>912</v>
      </c>
      <c r="G452" s="15" t="s">
        <v>496</v>
      </c>
      <c r="H452" s="15"/>
      <c r="I452" s="15" t="s">
        <v>2142</v>
      </c>
      <c r="J452" s="15" t="s">
        <v>2143</v>
      </c>
      <c r="K452" s="16"/>
      <c r="L452" s="14" t="s">
        <v>2817</v>
      </c>
      <c r="M452" s="16"/>
      <c r="N452" s="15" t="s">
        <v>1117</v>
      </c>
      <c r="O452" s="14">
        <v>91.4</v>
      </c>
      <c r="P452" s="14" t="s">
        <v>2845</v>
      </c>
      <c r="Q452" s="14" cm="1">
        <f t="array" ref="Q452">_xlfn.IFS(P452="USD",O452,P452="VND",O452/26090,P452="JPY",O452/161)</f>
        <v>91.4</v>
      </c>
      <c r="R452" s="14">
        <v>35</v>
      </c>
      <c r="S452" s="14">
        <v>1</v>
      </c>
      <c r="T452" s="14"/>
      <c r="U452" s="14" t="s">
        <v>2848</v>
      </c>
      <c r="V452" s="14" t="s">
        <v>2857</v>
      </c>
      <c r="W452" s="14" t="s">
        <v>2858</v>
      </c>
      <c r="X452" s="17">
        <v>0</v>
      </c>
      <c r="Y452" s="15" t="s">
        <v>2875</v>
      </c>
      <c r="Z452" s="20">
        <v>46243</v>
      </c>
      <c r="AA452" s="20">
        <v>46608</v>
      </c>
      <c r="AB452" s="16"/>
      <c r="AC452" s="16"/>
      <c r="AD452" s="16"/>
      <c r="AE452" s="16" t="s">
        <v>2957</v>
      </c>
      <c r="AF452" s="16"/>
      <c r="AI452" s="3" t="str">
        <f t="shared" ca="1" si="7"/>
        <v>OK</v>
      </c>
    </row>
    <row r="453" spans="1:35" hidden="1" x14ac:dyDescent="0.3">
      <c r="A453" s="13">
        <v>46032</v>
      </c>
      <c r="B453" s="14" t="s">
        <v>2806</v>
      </c>
      <c r="C453" s="16"/>
      <c r="D453" s="16"/>
      <c r="E453" s="15" t="s">
        <v>885</v>
      </c>
      <c r="F453" s="15" t="s">
        <v>1270</v>
      </c>
      <c r="G453" s="15" t="s">
        <v>497</v>
      </c>
      <c r="H453" s="15"/>
      <c r="I453" s="15" t="s">
        <v>2144</v>
      </c>
      <c r="J453" s="15" t="s">
        <v>2145</v>
      </c>
      <c r="K453" s="16"/>
      <c r="L453" s="14" t="s">
        <v>2823</v>
      </c>
      <c r="M453" s="16"/>
      <c r="N453" s="15" t="s">
        <v>1021</v>
      </c>
      <c r="O453" s="14">
        <v>5700</v>
      </c>
      <c r="P453" s="14" t="s">
        <v>2846</v>
      </c>
      <c r="Q453" s="14" cm="1">
        <f t="array" ref="Q453">_xlfn.IFS(P453="USD",O453,P453="VND",O453/26090,P453="JPY",O453/161)</f>
        <v>0.21847451130701417</v>
      </c>
      <c r="R453" s="14">
        <v>7</v>
      </c>
      <c r="S453" s="14">
        <v>1</v>
      </c>
      <c r="T453" s="14"/>
      <c r="U453" s="14" t="s">
        <v>2849</v>
      </c>
      <c r="V453" s="14" t="s">
        <v>2857</v>
      </c>
      <c r="W453" s="14" t="s">
        <v>2858</v>
      </c>
      <c r="X453" s="17">
        <v>0</v>
      </c>
      <c r="Y453" s="15" t="s">
        <v>2875</v>
      </c>
      <c r="Z453" s="20">
        <v>46057</v>
      </c>
      <c r="AA453" s="18"/>
      <c r="AB453" s="16"/>
      <c r="AC453" s="16"/>
      <c r="AD453" s="16"/>
      <c r="AE453" s="16" t="s">
        <v>3017</v>
      </c>
      <c r="AF453" s="16"/>
      <c r="AI453" s="3" t="str">
        <f t="shared" ca="1" si="7"/>
        <v>OK</v>
      </c>
    </row>
    <row r="454" spans="1:35" hidden="1" x14ac:dyDescent="0.3">
      <c r="A454" s="13">
        <v>46032</v>
      </c>
      <c r="B454" s="14" t="s">
        <v>2806</v>
      </c>
      <c r="C454" s="16"/>
      <c r="D454" s="16"/>
      <c r="E454" s="15" t="s">
        <v>862</v>
      </c>
      <c r="F454" s="15" t="s">
        <v>1251</v>
      </c>
      <c r="G454" s="15" t="s">
        <v>498</v>
      </c>
      <c r="H454" s="15"/>
      <c r="I454" s="15" t="s">
        <v>2146</v>
      </c>
      <c r="J454" s="15" t="s">
        <v>2147</v>
      </c>
      <c r="K454" s="16"/>
      <c r="L454" s="14" t="s">
        <v>2823</v>
      </c>
      <c r="M454" s="16"/>
      <c r="N454" s="15" t="s">
        <v>1118</v>
      </c>
      <c r="O454" s="14">
        <v>495000</v>
      </c>
      <c r="P454" s="14" t="s">
        <v>2846</v>
      </c>
      <c r="Q454" s="14" cm="1">
        <f t="array" ref="Q454">_xlfn.IFS(P454="USD",O454,P454="VND",O454/26090,P454="JPY",O454/161)</f>
        <v>18.972786508240706</v>
      </c>
      <c r="R454" s="14">
        <v>15</v>
      </c>
      <c r="S454" s="14">
        <v>10</v>
      </c>
      <c r="T454" s="14"/>
      <c r="U454" s="14" t="s">
        <v>2848</v>
      </c>
      <c r="V454" s="14" t="s">
        <v>2857</v>
      </c>
      <c r="W454" s="14" t="s">
        <v>2858</v>
      </c>
      <c r="X454" s="17">
        <v>0</v>
      </c>
      <c r="Y454" s="15" t="s">
        <v>2875</v>
      </c>
      <c r="Z454" s="18" t="s">
        <v>2929</v>
      </c>
      <c r="AA454" s="18" t="s">
        <v>2931</v>
      </c>
      <c r="AB454" s="16"/>
      <c r="AC454" s="16"/>
      <c r="AD454" s="16"/>
      <c r="AE454" s="16" t="s">
        <v>2933</v>
      </c>
      <c r="AF454" s="16"/>
      <c r="AI454" s="3" t="str">
        <f t="shared" ca="1" si="7"/>
        <v>OK</v>
      </c>
    </row>
    <row r="455" spans="1:35" hidden="1" x14ac:dyDescent="0.3">
      <c r="A455" s="13">
        <v>46032</v>
      </c>
      <c r="B455" s="14" t="s">
        <v>2806</v>
      </c>
      <c r="C455" s="16"/>
      <c r="D455" s="16"/>
      <c r="E455" s="15" t="s">
        <v>872</v>
      </c>
      <c r="F455" s="15" t="s">
        <v>1258</v>
      </c>
      <c r="G455" s="15" t="s">
        <v>499</v>
      </c>
      <c r="H455" s="15"/>
      <c r="I455" s="15" t="s">
        <v>2148</v>
      </c>
      <c r="J455" s="15" t="s">
        <v>2149</v>
      </c>
      <c r="K455" s="16"/>
      <c r="L455" s="14" t="s">
        <v>2823</v>
      </c>
      <c r="M455" s="16"/>
      <c r="N455" s="15" t="s">
        <v>1099</v>
      </c>
      <c r="O455" s="14">
        <v>197.5</v>
      </c>
      <c r="P455" s="14" t="s">
        <v>2845</v>
      </c>
      <c r="Q455" s="14" cm="1">
        <f t="array" ref="Q455">_xlfn.IFS(P455="USD",O455,P455="VND",O455/26090,P455="JPY",O455/161)</f>
        <v>197.5</v>
      </c>
      <c r="R455" s="14">
        <v>14</v>
      </c>
      <c r="S455" s="14">
        <v>1</v>
      </c>
      <c r="T455" s="14"/>
      <c r="U455" s="14" t="s">
        <v>2849</v>
      </c>
      <c r="V455" s="14" t="s">
        <v>2857</v>
      </c>
      <c r="W455" s="14" t="s">
        <v>2858</v>
      </c>
      <c r="X455" s="17">
        <v>0</v>
      </c>
      <c r="Y455" s="15" t="s">
        <v>2893</v>
      </c>
      <c r="Z455" s="18" t="s">
        <v>2930</v>
      </c>
      <c r="AA455" s="18"/>
      <c r="AB455" s="16"/>
      <c r="AC455" s="16"/>
      <c r="AD455" s="16"/>
      <c r="AE455" s="16" t="s">
        <v>2953</v>
      </c>
      <c r="AF455" s="16"/>
      <c r="AI455" s="3" t="str">
        <f t="shared" ca="1" si="7"/>
        <v>OK</v>
      </c>
    </row>
    <row r="456" spans="1:35" x14ac:dyDescent="0.3">
      <c r="A456" s="13">
        <v>46032</v>
      </c>
      <c r="B456" s="14" t="s">
        <v>2806</v>
      </c>
      <c r="C456" s="16"/>
      <c r="D456" s="16"/>
      <c r="E456" s="15" t="s">
        <v>876</v>
      </c>
      <c r="F456" s="15" t="s">
        <v>1262</v>
      </c>
      <c r="G456" s="15" t="s">
        <v>500</v>
      </c>
      <c r="H456" s="15"/>
      <c r="I456" s="15" t="s">
        <v>2088</v>
      </c>
      <c r="J456" s="15" t="s">
        <v>2150</v>
      </c>
      <c r="K456" s="16"/>
      <c r="L456" s="14" t="s">
        <v>2829</v>
      </c>
      <c r="M456" s="16"/>
      <c r="N456" s="15" t="s">
        <v>1097</v>
      </c>
      <c r="O456" s="14">
        <v>8408400</v>
      </c>
      <c r="P456" s="14" t="s">
        <v>2846</v>
      </c>
      <c r="Q456" s="14" cm="1">
        <f t="array" ref="Q456">_xlfn.IFS(P456="USD",O456,P456="VND",O456/26090,P456="JPY",O456/161)</f>
        <v>322.28440015331546</v>
      </c>
      <c r="R456" s="14">
        <v>45</v>
      </c>
      <c r="S456" s="14">
        <v>1</v>
      </c>
      <c r="T456" s="14"/>
      <c r="U456" s="14" t="s">
        <v>2848</v>
      </c>
      <c r="V456" s="14" t="s">
        <v>2857</v>
      </c>
      <c r="W456" s="14" t="s">
        <v>2858</v>
      </c>
      <c r="X456" s="17">
        <v>0</v>
      </c>
      <c r="Y456" s="15" t="s">
        <v>2875</v>
      </c>
      <c r="Z456" s="18" t="s">
        <v>2944</v>
      </c>
      <c r="AA456" s="22" t="s">
        <v>2949</v>
      </c>
      <c r="AB456" s="16"/>
      <c r="AC456" s="16"/>
      <c r="AD456" s="16"/>
      <c r="AE456" s="16" t="s">
        <v>2950</v>
      </c>
      <c r="AF456" s="16"/>
      <c r="AI456" s="3" t="str">
        <f t="shared" ca="1" si="7"/>
        <v>OK</v>
      </c>
    </row>
    <row r="457" spans="1:35" x14ac:dyDescent="0.3">
      <c r="A457" s="13">
        <v>46032</v>
      </c>
      <c r="B457" s="14" t="s">
        <v>2806</v>
      </c>
      <c r="C457" s="16"/>
      <c r="D457" s="16"/>
      <c r="E457" s="15" t="s">
        <v>862</v>
      </c>
      <c r="F457" s="15" t="s">
        <v>1251</v>
      </c>
      <c r="G457" s="15" t="s">
        <v>501</v>
      </c>
      <c r="H457" s="15"/>
      <c r="I457" s="15" t="s">
        <v>2151</v>
      </c>
      <c r="J457" s="15" t="s">
        <v>2152</v>
      </c>
      <c r="K457" s="16"/>
      <c r="L457" s="14" t="s">
        <v>2823</v>
      </c>
      <c r="M457" s="16"/>
      <c r="N457" s="15" t="s">
        <v>1119</v>
      </c>
      <c r="O457" s="14">
        <v>25000</v>
      </c>
      <c r="P457" s="14" t="s">
        <v>2846</v>
      </c>
      <c r="Q457" s="14" cm="1">
        <f t="array" ref="Q457">_xlfn.IFS(P457="USD",O457,P457="VND",O457/26090,P457="JPY",O457/161)</f>
        <v>0.95822154082023769</v>
      </c>
      <c r="R457" s="14">
        <v>7</v>
      </c>
      <c r="S457" s="14">
        <v>50</v>
      </c>
      <c r="T457" s="14"/>
      <c r="U457" s="14" t="s">
        <v>2848</v>
      </c>
      <c r="V457" s="14" t="s">
        <v>2857</v>
      </c>
      <c r="W457" s="14" t="s">
        <v>2858</v>
      </c>
      <c r="X457" s="17">
        <v>0</v>
      </c>
      <c r="Y457" s="15" t="s">
        <v>2875</v>
      </c>
      <c r="Z457" s="18" t="s">
        <v>2929</v>
      </c>
      <c r="AA457" s="22" t="s">
        <v>2931</v>
      </c>
      <c r="AB457" s="16"/>
      <c r="AC457" s="16"/>
      <c r="AD457" s="16"/>
      <c r="AE457" s="16" t="s">
        <v>2933</v>
      </c>
      <c r="AF457" s="16"/>
      <c r="AI457" s="3" t="str">
        <f t="shared" ca="1" si="7"/>
        <v>OK</v>
      </c>
    </row>
    <row r="458" spans="1:35" hidden="1" x14ac:dyDescent="0.3">
      <c r="A458" s="13">
        <v>46032</v>
      </c>
      <c r="B458" s="14" t="s">
        <v>2806</v>
      </c>
      <c r="C458" s="16"/>
      <c r="D458" s="16"/>
      <c r="E458" s="15" t="s">
        <v>872</v>
      </c>
      <c r="F458" s="15" t="s">
        <v>1258</v>
      </c>
      <c r="G458" s="15" t="s">
        <v>502</v>
      </c>
      <c r="H458" s="15"/>
      <c r="I458" s="15" t="s">
        <v>2153</v>
      </c>
      <c r="J458" s="15" t="s">
        <v>2154</v>
      </c>
      <c r="K458" s="16"/>
      <c r="L458" s="14" t="s">
        <v>2823</v>
      </c>
      <c r="M458" s="16"/>
      <c r="N458" s="15" t="s">
        <v>1120</v>
      </c>
      <c r="O458" s="14">
        <v>5.58</v>
      </c>
      <c r="P458" s="14" t="s">
        <v>2845</v>
      </c>
      <c r="Q458" s="14" cm="1">
        <f t="array" ref="Q458">_xlfn.IFS(P458="USD",O458,P458="VND",O458/26090,P458="JPY",O458/161)</f>
        <v>5.58</v>
      </c>
      <c r="R458" s="14">
        <v>14</v>
      </c>
      <c r="S458" s="14">
        <v>1</v>
      </c>
      <c r="T458" s="14"/>
      <c r="U458" s="14" t="s">
        <v>2849</v>
      </c>
      <c r="V458" s="14" t="s">
        <v>2857</v>
      </c>
      <c r="W458" s="14" t="s">
        <v>2858</v>
      </c>
      <c r="X458" s="17">
        <v>0</v>
      </c>
      <c r="Y458" s="15" t="s">
        <v>2893</v>
      </c>
      <c r="Z458" s="18" t="s">
        <v>2930</v>
      </c>
      <c r="AA458" s="18"/>
      <c r="AB458" s="16"/>
      <c r="AC458" s="16"/>
      <c r="AD458" s="16"/>
      <c r="AE458" s="16" t="s">
        <v>2953</v>
      </c>
      <c r="AF458" s="16"/>
      <c r="AI458" s="3" t="str">
        <f t="shared" ca="1" si="7"/>
        <v>OK</v>
      </c>
    </row>
    <row r="459" spans="1:35" hidden="1" x14ac:dyDescent="0.3">
      <c r="A459" s="13">
        <v>46032</v>
      </c>
      <c r="B459" s="14" t="s">
        <v>2806</v>
      </c>
      <c r="C459" s="16"/>
      <c r="D459" s="16"/>
      <c r="E459" s="15" t="s">
        <v>872</v>
      </c>
      <c r="F459" s="15" t="s">
        <v>1258</v>
      </c>
      <c r="G459" s="15" t="s">
        <v>503</v>
      </c>
      <c r="H459" s="15"/>
      <c r="I459" s="15" t="s">
        <v>2155</v>
      </c>
      <c r="J459" s="15" t="s">
        <v>2156</v>
      </c>
      <c r="K459" s="16"/>
      <c r="L459" s="14" t="s">
        <v>2823</v>
      </c>
      <c r="M459" s="16"/>
      <c r="N459" s="15" t="s">
        <v>1121</v>
      </c>
      <c r="O459" s="14">
        <v>10.5</v>
      </c>
      <c r="P459" s="14" t="s">
        <v>2845</v>
      </c>
      <c r="Q459" s="14" cm="1">
        <f t="array" ref="Q459">_xlfn.IFS(P459="USD",O459,P459="VND",O459/26090,P459="JPY",O459/161)</f>
        <v>10.5</v>
      </c>
      <c r="R459" s="14">
        <v>14</v>
      </c>
      <c r="S459" s="14">
        <v>1</v>
      </c>
      <c r="T459" s="14"/>
      <c r="U459" s="14" t="s">
        <v>2849</v>
      </c>
      <c r="V459" s="14" t="s">
        <v>2857</v>
      </c>
      <c r="W459" s="14" t="s">
        <v>2858</v>
      </c>
      <c r="X459" s="17">
        <v>0</v>
      </c>
      <c r="Y459" s="15" t="s">
        <v>2893</v>
      </c>
      <c r="Z459" s="18" t="s">
        <v>2930</v>
      </c>
      <c r="AA459" s="18"/>
      <c r="AB459" s="16"/>
      <c r="AC459" s="16"/>
      <c r="AD459" s="16"/>
      <c r="AE459" s="16" t="s">
        <v>2953</v>
      </c>
      <c r="AF459" s="16"/>
      <c r="AI459" s="3" t="str">
        <f t="shared" ca="1" si="7"/>
        <v>OK</v>
      </c>
    </row>
    <row r="460" spans="1:35" hidden="1" x14ac:dyDescent="0.3">
      <c r="A460" s="13">
        <v>46032</v>
      </c>
      <c r="B460" s="14" t="s">
        <v>2806</v>
      </c>
      <c r="C460" s="16"/>
      <c r="D460" s="16"/>
      <c r="E460" s="15" t="s">
        <v>857</v>
      </c>
      <c r="F460" s="15" t="s">
        <v>912</v>
      </c>
      <c r="G460" s="15" t="s">
        <v>504</v>
      </c>
      <c r="H460" s="15"/>
      <c r="I460" s="15" t="s">
        <v>2157</v>
      </c>
      <c r="J460" s="15" t="s">
        <v>2126</v>
      </c>
      <c r="K460" s="16"/>
      <c r="L460" s="14" t="s">
        <v>2831</v>
      </c>
      <c r="M460" s="16"/>
      <c r="N460" s="15" t="s">
        <v>1110</v>
      </c>
      <c r="O460" s="14">
        <v>45.8</v>
      </c>
      <c r="P460" s="14" t="s">
        <v>2845</v>
      </c>
      <c r="Q460" s="14" cm="1">
        <f t="array" ref="Q460">_xlfn.IFS(P460="USD",O460,P460="VND",O460/26090,P460="JPY",O460/161)</f>
        <v>45.8</v>
      </c>
      <c r="R460" s="14">
        <v>35</v>
      </c>
      <c r="S460" s="14">
        <v>1</v>
      </c>
      <c r="T460" s="14"/>
      <c r="U460" s="14" t="s">
        <v>2848</v>
      </c>
      <c r="V460" s="14" t="s">
        <v>2857</v>
      </c>
      <c r="W460" s="14" t="s">
        <v>2858</v>
      </c>
      <c r="X460" s="17">
        <v>0</v>
      </c>
      <c r="Y460" s="15" t="s">
        <v>2875</v>
      </c>
      <c r="Z460" s="20">
        <v>46243</v>
      </c>
      <c r="AA460" s="20">
        <v>46608</v>
      </c>
      <c r="AB460" s="16"/>
      <c r="AC460" s="16"/>
      <c r="AD460" s="16"/>
      <c r="AE460" s="16" t="s">
        <v>2957</v>
      </c>
      <c r="AF460" s="16"/>
      <c r="AI460" s="3" t="str">
        <f t="shared" ca="1" si="7"/>
        <v>OK</v>
      </c>
    </row>
    <row r="461" spans="1:35" hidden="1" x14ac:dyDescent="0.3">
      <c r="A461" s="13">
        <v>46032</v>
      </c>
      <c r="B461" s="14" t="s">
        <v>2806</v>
      </c>
      <c r="C461" s="16"/>
      <c r="D461" s="16"/>
      <c r="E461" s="15" t="s">
        <v>857</v>
      </c>
      <c r="F461" s="15" t="s">
        <v>912</v>
      </c>
      <c r="G461" s="15" t="s">
        <v>505</v>
      </c>
      <c r="H461" s="15"/>
      <c r="I461" s="15" t="s">
        <v>2158</v>
      </c>
      <c r="J461" s="15" t="s">
        <v>2159</v>
      </c>
      <c r="K461" s="16"/>
      <c r="L461" s="14" t="s">
        <v>2823</v>
      </c>
      <c r="M461" s="16"/>
      <c r="N461" s="15" t="s">
        <v>1122</v>
      </c>
      <c r="O461" s="14">
        <v>146.52000000000001</v>
      </c>
      <c r="P461" s="14" t="s">
        <v>2845</v>
      </c>
      <c r="Q461" s="14" cm="1">
        <f t="array" ref="Q461">_xlfn.IFS(P461="USD",O461,P461="VND",O461/26090,P461="JPY",O461/161)</f>
        <v>146.52000000000001</v>
      </c>
      <c r="R461" s="14">
        <v>35</v>
      </c>
      <c r="S461" s="14">
        <v>1</v>
      </c>
      <c r="T461" s="14"/>
      <c r="U461" s="14" t="s">
        <v>2848</v>
      </c>
      <c r="V461" s="14" t="s">
        <v>2857</v>
      </c>
      <c r="W461" s="14" t="s">
        <v>2858</v>
      </c>
      <c r="X461" s="17">
        <v>0</v>
      </c>
      <c r="Y461" s="15" t="s">
        <v>2875</v>
      </c>
      <c r="Z461" s="20">
        <v>46243</v>
      </c>
      <c r="AA461" s="20">
        <v>46608</v>
      </c>
      <c r="AB461" s="16"/>
      <c r="AC461" s="16"/>
      <c r="AD461" s="16"/>
      <c r="AE461" s="16" t="s">
        <v>2957</v>
      </c>
      <c r="AF461" s="16"/>
      <c r="AI461" s="3" t="str">
        <f t="shared" ca="1" si="7"/>
        <v>OK</v>
      </c>
    </row>
    <row r="462" spans="1:35" hidden="1" x14ac:dyDescent="0.3">
      <c r="A462" s="13">
        <v>46032</v>
      </c>
      <c r="B462" s="14" t="s">
        <v>2806</v>
      </c>
      <c r="C462" s="16"/>
      <c r="D462" s="16"/>
      <c r="E462" s="15" t="s">
        <v>885</v>
      </c>
      <c r="F462" s="15" t="s">
        <v>1270</v>
      </c>
      <c r="G462" s="15" t="s">
        <v>506</v>
      </c>
      <c r="H462" s="15"/>
      <c r="I462" s="15" t="s">
        <v>2160</v>
      </c>
      <c r="J462" s="15" t="s">
        <v>2161</v>
      </c>
      <c r="K462" s="16"/>
      <c r="L462" s="14" t="s">
        <v>2823</v>
      </c>
      <c r="M462" s="16"/>
      <c r="N462" s="15" t="s">
        <v>1123</v>
      </c>
      <c r="O462" s="14">
        <v>3750</v>
      </c>
      <c r="P462" s="14" t="s">
        <v>2846</v>
      </c>
      <c r="Q462" s="14" cm="1">
        <f t="array" ref="Q462">_xlfn.IFS(P462="USD",O462,P462="VND",O462/26090,P462="JPY",O462/161)</f>
        <v>0.14373323112303565</v>
      </c>
      <c r="R462" s="14">
        <v>7</v>
      </c>
      <c r="S462" s="14">
        <v>1</v>
      </c>
      <c r="T462" s="14"/>
      <c r="U462" s="14" t="s">
        <v>2849</v>
      </c>
      <c r="V462" s="14" t="s">
        <v>2857</v>
      </c>
      <c r="W462" s="14" t="s">
        <v>2858</v>
      </c>
      <c r="X462" s="17">
        <v>0</v>
      </c>
      <c r="Y462" s="15" t="s">
        <v>2875</v>
      </c>
      <c r="Z462" s="20">
        <v>46057</v>
      </c>
      <c r="AA462" s="18"/>
      <c r="AB462" s="16"/>
      <c r="AC462" s="16"/>
      <c r="AD462" s="16"/>
      <c r="AE462" s="16" t="s">
        <v>3017</v>
      </c>
      <c r="AF462" s="16"/>
      <c r="AI462" s="3" t="str">
        <f t="shared" ca="1" si="7"/>
        <v>OK</v>
      </c>
    </row>
    <row r="463" spans="1:35" x14ac:dyDescent="0.3">
      <c r="A463" s="13">
        <v>46032</v>
      </c>
      <c r="B463" s="14" t="s">
        <v>2806</v>
      </c>
      <c r="C463" s="16"/>
      <c r="D463" s="16"/>
      <c r="E463" s="15" t="s">
        <v>862</v>
      </c>
      <c r="F463" s="15" t="s">
        <v>1251</v>
      </c>
      <c r="G463" s="15" t="s">
        <v>507</v>
      </c>
      <c r="H463" s="15"/>
      <c r="I463" s="15" t="s">
        <v>2162</v>
      </c>
      <c r="J463" s="15" t="s">
        <v>1784</v>
      </c>
      <c r="K463" s="16"/>
      <c r="L463" s="14" t="s">
        <v>2814</v>
      </c>
      <c r="M463" s="16"/>
      <c r="N463" s="15" t="s">
        <v>1124</v>
      </c>
      <c r="O463" s="14">
        <v>42000</v>
      </c>
      <c r="P463" s="14" t="s">
        <v>2846</v>
      </c>
      <c r="Q463" s="14" cm="1">
        <f t="array" ref="Q463">_xlfn.IFS(P463="USD",O463,P463="VND",O463/26090,P463="JPY",O463/161)</f>
        <v>1.6098121885779992</v>
      </c>
      <c r="R463" s="14">
        <v>7</v>
      </c>
      <c r="S463" s="14">
        <v>100</v>
      </c>
      <c r="T463" s="14"/>
      <c r="U463" s="14" t="s">
        <v>2848</v>
      </c>
      <c r="V463" s="14" t="s">
        <v>2857</v>
      </c>
      <c r="W463" s="14" t="s">
        <v>2858</v>
      </c>
      <c r="X463" s="17">
        <v>0</v>
      </c>
      <c r="Y463" s="15" t="s">
        <v>2875</v>
      </c>
      <c r="Z463" s="18" t="s">
        <v>2929</v>
      </c>
      <c r="AA463" s="22" t="s">
        <v>2931</v>
      </c>
      <c r="AB463" s="16"/>
      <c r="AC463" s="16"/>
      <c r="AD463" s="16"/>
      <c r="AE463" s="16" t="s">
        <v>2933</v>
      </c>
      <c r="AF463" s="16"/>
      <c r="AI463" s="3" t="str">
        <f t="shared" ca="1" si="7"/>
        <v>OK</v>
      </c>
    </row>
    <row r="464" spans="1:35" hidden="1" x14ac:dyDescent="0.3">
      <c r="A464" s="13">
        <v>46032</v>
      </c>
      <c r="B464" s="14" t="s">
        <v>2806</v>
      </c>
      <c r="C464" s="16"/>
      <c r="D464" s="16"/>
      <c r="E464" s="15" t="s">
        <v>872</v>
      </c>
      <c r="F464" s="15" t="s">
        <v>1258</v>
      </c>
      <c r="G464" s="15" t="s">
        <v>508</v>
      </c>
      <c r="H464" s="15"/>
      <c r="I464" s="15" t="s">
        <v>2163</v>
      </c>
      <c r="J464" s="15" t="s">
        <v>2164</v>
      </c>
      <c r="K464" s="16"/>
      <c r="L464" s="14" t="s">
        <v>2823</v>
      </c>
      <c r="M464" s="16"/>
      <c r="N464" s="15" t="s">
        <v>1098</v>
      </c>
      <c r="O464" s="14">
        <v>425.5</v>
      </c>
      <c r="P464" s="14" t="s">
        <v>2845</v>
      </c>
      <c r="Q464" s="14" cm="1">
        <f t="array" ref="Q464">_xlfn.IFS(P464="USD",O464,P464="VND",O464/26090,P464="JPY",O464/161)</f>
        <v>425.5</v>
      </c>
      <c r="R464" s="14">
        <v>14</v>
      </c>
      <c r="S464" s="14">
        <v>1</v>
      </c>
      <c r="T464" s="14"/>
      <c r="U464" s="14" t="s">
        <v>2849</v>
      </c>
      <c r="V464" s="14" t="s">
        <v>2857</v>
      </c>
      <c r="W464" s="14" t="s">
        <v>2858</v>
      </c>
      <c r="X464" s="17">
        <v>0</v>
      </c>
      <c r="Y464" s="15" t="s">
        <v>2893</v>
      </c>
      <c r="Z464" s="18" t="s">
        <v>2930</v>
      </c>
      <c r="AA464" s="18"/>
      <c r="AB464" s="16"/>
      <c r="AC464" s="16"/>
      <c r="AD464" s="16"/>
      <c r="AE464" s="16" t="s">
        <v>2953</v>
      </c>
      <c r="AF464" s="16"/>
      <c r="AI464" s="3" t="str">
        <f t="shared" ca="1" si="7"/>
        <v>OK</v>
      </c>
    </row>
    <row r="465" spans="1:35" hidden="1" x14ac:dyDescent="0.3">
      <c r="A465" s="13">
        <v>46032</v>
      </c>
      <c r="B465" s="14" t="s">
        <v>2806</v>
      </c>
      <c r="C465" s="16"/>
      <c r="D465" s="16"/>
      <c r="E465" s="15" t="s">
        <v>872</v>
      </c>
      <c r="F465" s="15" t="s">
        <v>1258</v>
      </c>
      <c r="G465" s="15" t="s">
        <v>509</v>
      </c>
      <c r="H465" s="15"/>
      <c r="I465" s="15" t="s">
        <v>2165</v>
      </c>
      <c r="J465" s="15" t="s">
        <v>2166</v>
      </c>
      <c r="K465" s="16"/>
      <c r="L465" s="14" t="s">
        <v>2829</v>
      </c>
      <c r="M465" s="16"/>
      <c r="N465" s="15" t="s">
        <v>1125</v>
      </c>
      <c r="O465" s="14">
        <v>20.2</v>
      </c>
      <c r="P465" s="14" t="s">
        <v>2845</v>
      </c>
      <c r="Q465" s="14" cm="1">
        <f t="array" ref="Q465">_xlfn.IFS(P465="USD",O465,P465="VND",O465/26090,P465="JPY",O465/161)</f>
        <v>20.2</v>
      </c>
      <c r="R465" s="14">
        <v>7</v>
      </c>
      <c r="S465" s="14">
        <v>1</v>
      </c>
      <c r="T465" s="14"/>
      <c r="U465" s="14" t="s">
        <v>2849</v>
      </c>
      <c r="V465" s="14" t="s">
        <v>2857</v>
      </c>
      <c r="W465" s="14" t="s">
        <v>2858</v>
      </c>
      <c r="X465" s="17">
        <v>0</v>
      </c>
      <c r="Y465" s="15" t="s">
        <v>2893</v>
      </c>
      <c r="Z465" s="18" t="s">
        <v>2930</v>
      </c>
      <c r="AA465" s="18"/>
      <c r="AB465" s="16"/>
      <c r="AC465" s="16"/>
      <c r="AD465" s="16"/>
      <c r="AE465" s="16" t="s">
        <v>2953</v>
      </c>
      <c r="AF465" s="16"/>
      <c r="AI465" s="3" t="str">
        <f t="shared" ca="1" si="7"/>
        <v>OK</v>
      </c>
    </row>
    <row r="466" spans="1:35" hidden="1" x14ac:dyDescent="0.3">
      <c r="A466" s="13">
        <v>46032</v>
      </c>
      <c r="B466" s="14" t="s">
        <v>2806</v>
      </c>
      <c r="C466" s="16"/>
      <c r="D466" s="16"/>
      <c r="E466" s="15" t="s">
        <v>884</v>
      </c>
      <c r="F466" s="15" t="s">
        <v>1269</v>
      </c>
      <c r="G466" s="15" t="s">
        <v>510</v>
      </c>
      <c r="H466" s="15"/>
      <c r="I466" s="15" t="s">
        <v>2167</v>
      </c>
      <c r="J466" s="15" t="s">
        <v>2168</v>
      </c>
      <c r="K466" s="16"/>
      <c r="L466" s="14" t="s">
        <v>2823</v>
      </c>
      <c r="M466" s="16"/>
      <c r="N466" s="15" t="s">
        <v>1126</v>
      </c>
      <c r="O466" s="14">
        <v>437.9</v>
      </c>
      <c r="P466" s="14" t="s">
        <v>2845</v>
      </c>
      <c r="Q466" s="14" cm="1">
        <f t="array" ref="Q466">_xlfn.IFS(P466="USD",O466,P466="VND",O466/26090,P466="JPY",O466/161)</f>
        <v>437.9</v>
      </c>
      <c r="R466" s="14">
        <v>60</v>
      </c>
      <c r="S466" s="14" t="s">
        <v>2911</v>
      </c>
      <c r="T466" s="14"/>
      <c r="U466" s="14" t="s">
        <v>2848</v>
      </c>
      <c r="V466" s="14" t="s">
        <v>2857</v>
      </c>
      <c r="W466" s="14" t="s">
        <v>2858</v>
      </c>
      <c r="X466" s="17">
        <v>0</v>
      </c>
      <c r="Y466" s="15" t="s">
        <v>2898</v>
      </c>
      <c r="Z466" s="20">
        <v>45754</v>
      </c>
      <c r="AA466" s="18"/>
      <c r="AB466" s="16"/>
      <c r="AC466" s="16"/>
      <c r="AD466" s="16"/>
      <c r="AE466" s="16" t="s">
        <v>2951</v>
      </c>
      <c r="AF466" s="16"/>
      <c r="AI466" s="3" t="str">
        <f t="shared" ca="1" si="7"/>
        <v>OK</v>
      </c>
    </row>
    <row r="467" spans="1:35" hidden="1" x14ac:dyDescent="0.3">
      <c r="A467" s="13">
        <v>46032</v>
      </c>
      <c r="B467" s="14" t="s">
        <v>2806</v>
      </c>
      <c r="C467" s="16"/>
      <c r="D467" s="16"/>
      <c r="E467" s="15" t="s">
        <v>875</v>
      </c>
      <c r="F467" s="15" t="s">
        <v>1261</v>
      </c>
      <c r="G467" s="15" t="s">
        <v>511</v>
      </c>
      <c r="H467" s="15"/>
      <c r="I467" s="15" t="s">
        <v>2169</v>
      </c>
      <c r="J467" s="15" t="s">
        <v>2170</v>
      </c>
      <c r="K467" s="16"/>
      <c r="L467" s="14" t="s">
        <v>2823</v>
      </c>
      <c r="M467" s="16"/>
      <c r="N467" s="15" t="s">
        <v>1033</v>
      </c>
      <c r="O467" s="14">
        <v>375.86</v>
      </c>
      <c r="P467" s="14" t="s">
        <v>2845</v>
      </c>
      <c r="Q467" s="14" cm="1">
        <f t="array" ref="Q467">_xlfn.IFS(P467="USD",O467,P467="VND",O467/26090,P467="JPY",O467/161)</f>
        <v>375.86</v>
      </c>
      <c r="R467" s="14">
        <v>42</v>
      </c>
      <c r="S467" s="14">
        <v>1</v>
      </c>
      <c r="T467" s="14"/>
      <c r="U467" s="14" t="s">
        <v>2848</v>
      </c>
      <c r="V467" s="14" t="s">
        <v>2857</v>
      </c>
      <c r="W467" s="14" t="s">
        <v>2858</v>
      </c>
      <c r="X467" s="17">
        <v>0</v>
      </c>
      <c r="Y467" s="15" t="s">
        <v>2875</v>
      </c>
      <c r="Z467" s="18" t="s">
        <v>2935</v>
      </c>
      <c r="AA467" s="18"/>
      <c r="AB467" s="16"/>
      <c r="AC467" s="16"/>
      <c r="AD467" s="16"/>
      <c r="AE467" s="16" t="s">
        <v>2999</v>
      </c>
      <c r="AF467" s="16"/>
      <c r="AI467" s="3" t="str">
        <f t="shared" ca="1" si="7"/>
        <v>OK</v>
      </c>
    </row>
    <row r="468" spans="1:35" hidden="1" x14ac:dyDescent="0.3">
      <c r="A468" s="13">
        <v>46032</v>
      </c>
      <c r="B468" s="14" t="s">
        <v>2806</v>
      </c>
      <c r="C468" s="16"/>
      <c r="D468" s="16"/>
      <c r="E468" s="15" t="s">
        <v>875</v>
      </c>
      <c r="F468" s="15" t="s">
        <v>1261</v>
      </c>
      <c r="G468" s="15" t="s">
        <v>512</v>
      </c>
      <c r="H468" s="15"/>
      <c r="I468" s="15" t="s">
        <v>2171</v>
      </c>
      <c r="J468" s="15" t="s">
        <v>2172</v>
      </c>
      <c r="K468" s="16"/>
      <c r="L468" s="14" t="s">
        <v>2823</v>
      </c>
      <c r="M468" s="16"/>
      <c r="N468" s="15" t="s">
        <v>1033</v>
      </c>
      <c r="O468" s="14">
        <v>411.34</v>
      </c>
      <c r="P468" s="14" t="s">
        <v>2845</v>
      </c>
      <c r="Q468" s="14" cm="1">
        <f t="array" ref="Q468">_xlfn.IFS(P468="USD",O468,P468="VND",O468/26090,P468="JPY",O468/161)</f>
        <v>411.34</v>
      </c>
      <c r="R468" s="14">
        <v>42</v>
      </c>
      <c r="S468" s="14">
        <v>1</v>
      </c>
      <c r="T468" s="14"/>
      <c r="U468" s="14" t="s">
        <v>2848</v>
      </c>
      <c r="V468" s="14" t="s">
        <v>2857</v>
      </c>
      <c r="W468" s="14" t="s">
        <v>2858</v>
      </c>
      <c r="X468" s="17">
        <v>0</v>
      </c>
      <c r="Y468" s="15" t="s">
        <v>2875</v>
      </c>
      <c r="Z468" s="18" t="s">
        <v>2935</v>
      </c>
      <c r="AA468" s="18"/>
      <c r="AB468" s="16"/>
      <c r="AC468" s="16"/>
      <c r="AD468" s="16"/>
      <c r="AE468" s="16" t="s">
        <v>2999</v>
      </c>
      <c r="AF468" s="16"/>
      <c r="AI468" s="3" t="str">
        <f t="shared" ca="1" si="7"/>
        <v>OK</v>
      </c>
    </row>
    <row r="469" spans="1:35" hidden="1" x14ac:dyDescent="0.3">
      <c r="A469" s="13">
        <v>46032</v>
      </c>
      <c r="B469" s="14" t="s">
        <v>2806</v>
      </c>
      <c r="C469" s="16"/>
      <c r="D469" s="16"/>
      <c r="E469" s="15" t="s">
        <v>875</v>
      </c>
      <c r="F469" s="15" t="s">
        <v>1261</v>
      </c>
      <c r="G469" s="15" t="s">
        <v>513</v>
      </c>
      <c r="H469" s="15"/>
      <c r="I469" s="15" t="s">
        <v>2173</v>
      </c>
      <c r="J469" s="15" t="s">
        <v>2174</v>
      </c>
      <c r="K469" s="16"/>
      <c r="L469" s="14" t="s">
        <v>2823</v>
      </c>
      <c r="M469" s="16"/>
      <c r="N469" s="15" t="s">
        <v>1033</v>
      </c>
      <c r="O469" s="14">
        <v>40.450000000000003</v>
      </c>
      <c r="P469" s="14" t="s">
        <v>2845</v>
      </c>
      <c r="Q469" s="14" cm="1">
        <f t="array" ref="Q469">_xlfn.IFS(P469="USD",O469,P469="VND",O469/26090,P469="JPY",O469/161)</f>
        <v>40.450000000000003</v>
      </c>
      <c r="R469" s="14">
        <v>42</v>
      </c>
      <c r="S469" s="14">
        <v>1</v>
      </c>
      <c r="T469" s="14"/>
      <c r="U469" s="14" t="s">
        <v>2848</v>
      </c>
      <c r="V469" s="14" t="s">
        <v>2857</v>
      </c>
      <c r="W469" s="14" t="s">
        <v>2858</v>
      </c>
      <c r="X469" s="17">
        <v>0</v>
      </c>
      <c r="Y469" s="15" t="s">
        <v>2875</v>
      </c>
      <c r="Z469" s="18" t="s">
        <v>2935</v>
      </c>
      <c r="AA469" s="18"/>
      <c r="AB469" s="16"/>
      <c r="AC469" s="16"/>
      <c r="AD469" s="16"/>
      <c r="AE469" s="16" t="s">
        <v>2999</v>
      </c>
      <c r="AF469" s="16"/>
      <c r="AI469" s="3" t="str">
        <f t="shared" ca="1" si="7"/>
        <v>OK</v>
      </c>
    </row>
    <row r="470" spans="1:35" hidden="1" x14ac:dyDescent="0.3">
      <c r="A470" s="13">
        <v>46032</v>
      </c>
      <c r="B470" s="14" t="s">
        <v>2806</v>
      </c>
      <c r="C470" s="16"/>
      <c r="D470" s="16"/>
      <c r="E470" s="15" t="s">
        <v>875</v>
      </c>
      <c r="F470" s="15" t="s">
        <v>1261</v>
      </c>
      <c r="G470" s="15" t="s">
        <v>514</v>
      </c>
      <c r="H470" s="15"/>
      <c r="I470" s="15" t="s">
        <v>2175</v>
      </c>
      <c r="J470" s="15" t="s">
        <v>2176</v>
      </c>
      <c r="K470" s="16"/>
      <c r="L470" s="14" t="s">
        <v>2823</v>
      </c>
      <c r="M470" s="16"/>
      <c r="N470" s="15" t="s">
        <v>1033</v>
      </c>
      <c r="O470" s="14">
        <v>27.85</v>
      </c>
      <c r="P470" s="14" t="s">
        <v>2845</v>
      </c>
      <c r="Q470" s="14" cm="1">
        <f t="array" ref="Q470">_xlfn.IFS(P470="USD",O470,P470="VND",O470/26090,P470="JPY",O470/161)</f>
        <v>27.85</v>
      </c>
      <c r="R470" s="14">
        <v>42</v>
      </c>
      <c r="S470" s="14">
        <v>1</v>
      </c>
      <c r="T470" s="14"/>
      <c r="U470" s="14" t="s">
        <v>2848</v>
      </c>
      <c r="V470" s="14" t="s">
        <v>2857</v>
      </c>
      <c r="W470" s="14" t="s">
        <v>2858</v>
      </c>
      <c r="X470" s="17">
        <v>0</v>
      </c>
      <c r="Y470" s="15" t="s">
        <v>2875</v>
      </c>
      <c r="Z470" s="18" t="s">
        <v>2935</v>
      </c>
      <c r="AA470" s="18"/>
      <c r="AB470" s="16"/>
      <c r="AC470" s="16"/>
      <c r="AD470" s="16"/>
      <c r="AE470" s="16" t="s">
        <v>2999</v>
      </c>
      <c r="AF470" s="16"/>
      <c r="AI470" s="3" t="str">
        <f t="shared" ca="1" si="7"/>
        <v>OK</v>
      </c>
    </row>
    <row r="471" spans="1:35" hidden="1" x14ac:dyDescent="0.3">
      <c r="A471" s="13">
        <v>46032</v>
      </c>
      <c r="B471" s="14" t="s">
        <v>2806</v>
      </c>
      <c r="C471" s="16"/>
      <c r="D471" s="16"/>
      <c r="E471" s="15" t="s">
        <v>872</v>
      </c>
      <c r="F471" s="15" t="s">
        <v>1258</v>
      </c>
      <c r="G471" s="15" t="s">
        <v>515</v>
      </c>
      <c r="H471" s="15"/>
      <c r="I471" s="15" t="s">
        <v>2177</v>
      </c>
      <c r="J471" s="15" t="s">
        <v>2178</v>
      </c>
      <c r="K471" s="16"/>
      <c r="L471" s="14" t="s">
        <v>2823</v>
      </c>
      <c r="M471" s="16"/>
      <c r="N471" s="15" t="s">
        <v>1127</v>
      </c>
      <c r="O471" s="14">
        <v>15.2</v>
      </c>
      <c r="P471" s="14" t="s">
        <v>2845</v>
      </c>
      <c r="Q471" s="14" cm="1">
        <f t="array" ref="Q471">_xlfn.IFS(P471="USD",O471,P471="VND",O471/26090,P471="JPY",O471/161)</f>
        <v>15.2</v>
      </c>
      <c r="R471" s="14">
        <v>21</v>
      </c>
      <c r="S471" s="14">
        <v>1</v>
      </c>
      <c r="T471" s="14"/>
      <c r="U471" s="14" t="s">
        <v>2849</v>
      </c>
      <c r="V471" s="14" t="s">
        <v>2857</v>
      </c>
      <c r="W471" s="14" t="s">
        <v>2858</v>
      </c>
      <c r="X471" s="17">
        <v>0</v>
      </c>
      <c r="Y471" s="15" t="s">
        <v>2893</v>
      </c>
      <c r="Z471" s="18" t="s">
        <v>2930</v>
      </c>
      <c r="AA471" s="18"/>
      <c r="AB471" s="16"/>
      <c r="AC471" s="16"/>
      <c r="AD471" s="16"/>
      <c r="AE471" s="16" t="s">
        <v>2953</v>
      </c>
      <c r="AF471" s="16"/>
      <c r="AI471" s="3" t="str">
        <f t="shared" ca="1" si="7"/>
        <v>OK</v>
      </c>
    </row>
    <row r="472" spans="1:35" hidden="1" x14ac:dyDescent="0.3">
      <c r="A472" s="13">
        <v>46032</v>
      </c>
      <c r="B472" s="14" t="s">
        <v>2806</v>
      </c>
      <c r="C472" s="16"/>
      <c r="D472" s="16"/>
      <c r="E472" s="15" t="s">
        <v>849</v>
      </c>
      <c r="F472" s="15" t="s">
        <v>1243</v>
      </c>
      <c r="G472" s="15" t="s">
        <v>516</v>
      </c>
      <c r="H472" s="15"/>
      <c r="I472" s="15" t="s">
        <v>2179</v>
      </c>
      <c r="J472" s="15" t="s">
        <v>2180</v>
      </c>
      <c r="K472" s="16"/>
      <c r="L472" s="14" t="s">
        <v>2818</v>
      </c>
      <c r="M472" s="16"/>
      <c r="N472" s="15" t="s">
        <v>1009</v>
      </c>
      <c r="O472" s="14">
        <v>7.5</v>
      </c>
      <c r="P472" s="14" t="s">
        <v>2845</v>
      </c>
      <c r="Q472" s="14" cm="1">
        <f t="array" ref="Q472">_xlfn.IFS(P472="USD",O472,P472="VND",O472/26090,P472="JPY",O472/161)</f>
        <v>7.5</v>
      </c>
      <c r="R472" s="14">
        <v>25</v>
      </c>
      <c r="S472" s="14">
        <v>1</v>
      </c>
      <c r="T472" s="14"/>
      <c r="U472" s="14" t="s">
        <v>2849</v>
      </c>
      <c r="V472" s="14" t="s">
        <v>2857</v>
      </c>
      <c r="W472" s="14" t="s">
        <v>2858</v>
      </c>
      <c r="X472" s="17">
        <v>0</v>
      </c>
      <c r="Y472" s="15" t="s">
        <v>2875</v>
      </c>
      <c r="Z472" s="20">
        <v>46028</v>
      </c>
      <c r="AA472" s="20">
        <v>46393</v>
      </c>
      <c r="AB472" s="16"/>
      <c r="AC472" s="16"/>
      <c r="AD472" s="16"/>
      <c r="AE472" s="16" t="s">
        <v>2959</v>
      </c>
      <c r="AF472" s="16"/>
      <c r="AI472" s="3" t="str">
        <f t="shared" ca="1" si="7"/>
        <v>OK</v>
      </c>
    </row>
    <row r="473" spans="1:35" hidden="1" x14ac:dyDescent="0.3">
      <c r="A473" s="13">
        <v>46032</v>
      </c>
      <c r="B473" s="14" t="s">
        <v>2806</v>
      </c>
      <c r="C473" s="16"/>
      <c r="D473" s="16"/>
      <c r="E473" s="15" t="s">
        <v>849</v>
      </c>
      <c r="F473" s="15" t="s">
        <v>1243</v>
      </c>
      <c r="G473" s="15" t="s">
        <v>517</v>
      </c>
      <c r="H473" s="15"/>
      <c r="I473" s="15" t="s">
        <v>2181</v>
      </c>
      <c r="J473" s="15" t="s">
        <v>2182</v>
      </c>
      <c r="K473" s="16"/>
      <c r="L473" s="14" t="s">
        <v>2808</v>
      </c>
      <c r="M473" s="16"/>
      <c r="N473" s="15" t="s">
        <v>1128</v>
      </c>
      <c r="O473" s="14">
        <v>400</v>
      </c>
      <c r="P473" s="14" t="s">
        <v>2845</v>
      </c>
      <c r="Q473" s="14" cm="1">
        <f t="array" ref="Q473">_xlfn.IFS(P473="USD",O473,P473="VND",O473/26090,P473="JPY",O473/161)</f>
        <v>400</v>
      </c>
      <c r="R473" s="14">
        <v>60</v>
      </c>
      <c r="S473" s="14">
        <v>1</v>
      </c>
      <c r="T473" s="14"/>
      <c r="U473" s="14" t="s">
        <v>2849</v>
      </c>
      <c r="V473" s="14" t="s">
        <v>2857</v>
      </c>
      <c r="W473" s="14" t="s">
        <v>2858</v>
      </c>
      <c r="X473" s="17">
        <v>0</v>
      </c>
      <c r="Y473" s="15" t="s">
        <v>2875</v>
      </c>
      <c r="Z473" s="20">
        <v>46028</v>
      </c>
      <c r="AA473" s="20">
        <v>46393</v>
      </c>
      <c r="AB473" s="16"/>
      <c r="AC473" s="16"/>
      <c r="AD473" s="16"/>
      <c r="AE473" s="16" t="s">
        <v>2959</v>
      </c>
      <c r="AF473" s="16"/>
      <c r="AI473" s="3" t="str">
        <f t="shared" ca="1" si="7"/>
        <v>OK</v>
      </c>
    </row>
    <row r="474" spans="1:35" hidden="1" x14ac:dyDescent="0.3">
      <c r="A474" s="13">
        <v>46032</v>
      </c>
      <c r="B474" s="14" t="s">
        <v>2806</v>
      </c>
      <c r="C474" s="16"/>
      <c r="D474" s="16"/>
      <c r="E474" s="15" t="s">
        <v>872</v>
      </c>
      <c r="F474" s="15" t="s">
        <v>1258</v>
      </c>
      <c r="G474" s="15" t="s">
        <v>518</v>
      </c>
      <c r="H474" s="15"/>
      <c r="I474" s="15" t="s">
        <v>2183</v>
      </c>
      <c r="J474" s="15" t="s">
        <v>2184</v>
      </c>
      <c r="K474" s="16"/>
      <c r="L474" s="14" t="s">
        <v>2823</v>
      </c>
      <c r="M474" s="16"/>
      <c r="N474" s="15" t="s">
        <v>1129</v>
      </c>
      <c r="O474" s="14">
        <v>283.60000000000002</v>
      </c>
      <c r="P474" s="14" t="s">
        <v>2845</v>
      </c>
      <c r="Q474" s="14" cm="1">
        <f t="array" ref="Q474">_xlfn.IFS(P474="USD",O474,P474="VND",O474/26090,P474="JPY",O474/161)</f>
        <v>283.60000000000002</v>
      </c>
      <c r="R474" s="14">
        <v>21</v>
      </c>
      <c r="S474" s="14">
        <v>1</v>
      </c>
      <c r="T474" s="14"/>
      <c r="U474" s="14" t="s">
        <v>2849</v>
      </c>
      <c r="V474" s="14" t="s">
        <v>2857</v>
      </c>
      <c r="W474" s="14" t="s">
        <v>2858</v>
      </c>
      <c r="X474" s="17">
        <v>0</v>
      </c>
      <c r="Y474" s="15" t="s">
        <v>2893</v>
      </c>
      <c r="Z474" s="18" t="s">
        <v>2930</v>
      </c>
      <c r="AA474" s="18"/>
      <c r="AB474" s="16"/>
      <c r="AC474" s="16"/>
      <c r="AD474" s="16"/>
      <c r="AE474" s="16" t="s">
        <v>2953</v>
      </c>
      <c r="AF474" s="16"/>
      <c r="AI474" s="3" t="str">
        <f t="shared" ca="1" si="7"/>
        <v>OK</v>
      </c>
    </row>
    <row r="475" spans="1:35" x14ac:dyDescent="0.3">
      <c r="A475" s="13">
        <v>46032</v>
      </c>
      <c r="B475" s="14" t="s">
        <v>2806</v>
      </c>
      <c r="C475" s="16"/>
      <c r="D475" s="16"/>
      <c r="E475" s="15" t="s">
        <v>862</v>
      </c>
      <c r="F475" s="15" t="s">
        <v>1251</v>
      </c>
      <c r="G475" s="15" t="s">
        <v>519</v>
      </c>
      <c r="H475" s="15"/>
      <c r="I475" s="15" t="s">
        <v>2185</v>
      </c>
      <c r="J475" s="15" t="s">
        <v>2186</v>
      </c>
      <c r="K475" s="16"/>
      <c r="L475" s="14" t="s">
        <v>2823</v>
      </c>
      <c r="M475" s="16"/>
      <c r="N475" s="15" t="s">
        <v>1067</v>
      </c>
      <c r="O475" s="14">
        <v>25740000</v>
      </c>
      <c r="P475" s="14" t="s">
        <v>2846</v>
      </c>
      <c r="Q475" s="14" cm="1">
        <f t="array" ref="Q475">_xlfn.IFS(P475="USD",O475,P475="VND",O475/26090,P475="JPY",O475/161)</f>
        <v>986.58489842851668</v>
      </c>
      <c r="R475" s="14">
        <v>25</v>
      </c>
      <c r="S475" s="14">
        <v>1</v>
      </c>
      <c r="T475" s="14"/>
      <c r="U475" s="14" t="s">
        <v>2848</v>
      </c>
      <c r="V475" s="14" t="s">
        <v>2857</v>
      </c>
      <c r="W475" s="14" t="s">
        <v>2858</v>
      </c>
      <c r="X475" s="17">
        <v>0</v>
      </c>
      <c r="Y475" s="15" t="s">
        <v>2875</v>
      </c>
      <c r="Z475" s="18" t="s">
        <v>2929</v>
      </c>
      <c r="AA475" s="22" t="s">
        <v>2931</v>
      </c>
      <c r="AB475" s="16"/>
      <c r="AC475" s="16"/>
      <c r="AD475" s="16"/>
      <c r="AE475" s="16" t="s">
        <v>2933</v>
      </c>
      <c r="AF475" s="16"/>
      <c r="AI475" s="3" t="str">
        <f t="shared" ca="1" si="7"/>
        <v>OK</v>
      </c>
    </row>
    <row r="476" spans="1:35" hidden="1" x14ac:dyDescent="0.3">
      <c r="A476" s="13">
        <v>46032</v>
      </c>
      <c r="B476" s="14" t="s">
        <v>2806</v>
      </c>
      <c r="C476" s="16"/>
      <c r="D476" s="16"/>
      <c r="E476" s="15" t="s">
        <v>849</v>
      </c>
      <c r="F476" s="15" t="s">
        <v>1243</v>
      </c>
      <c r="G476" s="15" t="s">
        <v>520</v>
      </c>
      <c r="H476" s="15"/>
      <c r="I476" s="15" t="s">
        <v>2187</v>
      </c>
      <c r="J476" s="15" t="s">
        <v>2188</v>
      </c>
      <c r="K476" s="16"/>
      <c r="L476" s="14" t="s">
        <v>2823</v>
      </c>
      <c r="M476" s="16"/>
      <c r="N476" s="15" t="s">
        <v>1130</v>
      </c>
      <c r="O476" s="14">
        <v>1.8</v>
      </c>
      <c r="P476" s="14" t="s">
        <v>2845</v>
      </c>
      <c r="Q476" s="14" cm="1">
        <f t="array" ref="Q476">_xlfn.IFS(P476="USD",O476,P476="VND",O476/26090,P476="JPY",O476/161)</f>
        <v>1.8</v>
      </c>
      <c r="R476" s="14">
        <v>60</v>
      </c>
      <c r="S476" s="14">
        <v>1</v>
      </c>
      <c r="T476" s="14"/>
      <c r="U476" s="14" t="s">
        <v>2849</v>
      </c>
      <c r="V476" s="14" t="s">
        <v>2857</v>
      </c>
      <c r="W476" s="14" t="s">
        <v>2858</v>
      </c>
      <c r="X476" s="17">
        <v>0</v>
      </c>
      <c r="Y476" s="15" t="s">
        <v>2875</v>
      </c>
      <c r="Z476" s="20">
        <v>46028</v>
      </c>
      <c r="AA476" s="20">
        <v>46393</v>
      </c>
      <c r="AB476" s="16"/>
      <c r="AC476" s="16"/>
      <c r="AD476" s="16"/>
      <c r="AE476" s="16" t="s">
        <v>2959</v>
      </c>
      <c r="AF476" s="16"/>
      <c r="AI476" s="3" t="str">
        <f t="shared" ca="1" si="7"/>
        <v>OK</v>
      </c>
    </row>
    <row r="477" spans="1:35" hidden="1" x14ac:dyDescent="0.3">
      <c r="A477" s="13">
        <v>46032</v>
      </c>
      <c r="B477" s="14" t="s">
        <v>2806</v>
      </c>
      <c r="C477" s="16"/>
      <c r="D477" s="16"/>
      <c r="E477" s="15" t="s">
        <v>872</v>
      </c>
      <c r="F477" s="15" t="s">
        <v>1258</v>
      </c>
      <c r="G477" s="15" t="s">
        <v>521</v>
      </c>
      <c r="H477" s="15"/>
      <c r="I477" s="15" t="s">
        <v>2189</v>
      </c>
      <c r="J477" s="15" t="s">
        <v>2190</v>
      </c>
      <c r="K477" s="16"/>
      <c r="L477" s="14" t="s">
        <v>2823</v>
      </c>
      <c r="M477" s="16"/>
      <c r="N477" s="15" t="s">
        <v>1125</v>
      </c>
      <c r="O477" s="14">
        <v>6.2</v>
      </c>
      <c r="P477" s="14" t="s">
        <v>2845</v>
      </c>
      <c r="Q477" s="14" cm="1">
        <f t="array" ref="Q477">_xlfn.IFS(P477="USD",O477,P477="VND",O477/26090,P477="JPY",O477/161)</f>
        <v>6.2</v>
      </c>
      <c r="R477" s="14">
        <v>21</v>
      </c>
      <c r="S477" s="14">
        <v>1</v>
      </c>
      <c r="T477" s="14"/>
      <c r="U477" s="14" t="s">
        <v>2849</v>
      </c>
      <c r="V477" s="14" t="s">
        <v>2857</v>
      </c>
      <c r="W477" s="14" t="s">
        <v>2858</v>
      </c>
      <c r="X477" s="17">
        <v>0</v>
      </c>
      <c r="Y477" s="15" t="s">
        <v>2893</v>
      </c>
      <c r="Z477" s="18" t="s">
        <v>2930</v>
      </c>
      <c r="AA477" s="18"/>
      <c r="AB477" s="16"/>
      <c r="AC477" s="16"/>
      <c r="AD477" s="16"/>
      <c r="AE477" s="16" t="s">
        <v>2953</v>
      </c>
      <c r="AF477" s="16"/>
      <c r="AI477" s="3" t="str">
        <f t="shared" ca="1" si="7"/>
        <v>OK</v>
      </c>
    </row>
    <row r="478" spans="1:35" x14ac:dyDescent="0.3">
      <c r="A478" s="13">
        <v>46032</v>
      </c>
      <c r="B478" s="14" t="s">
        <v>2806</v>
      </c>
      <c r="C478" s="16"/>
      <c r="D478" s="16"/>
      <c r="E478" s="15" t="s">
        <v>891</v>
      </c>
      <c r="F478" s="15" t="s">
        <v>1276</v>
      </c>
      <c r="G478" s="15" t="s">
        <v>522</v>
      </c>
      <c r="H478" s="15"/>
      <c r="I478" s="15" t="s">
        <v>2191</v>
      </c>
      <c r="J478" s="15" t="s">
        <v>2192</v>
      </c>
      <c r="K478" s="16"/>
      <c r="L478" s="14" t="s">
        <v>2823</v>
      </c>
      <c r="M478" s="16"/>
      <c r="N478" s="15" t="s">
        <v>1087</v>
      </c>
      <c r="O478" s="14">
        <v>1.46</v>
      </c>
      <c r="P478" s="14" t="s">
        <v>2845</v>
      </c>
      <c r="Q478" s="14" cm="1">
        <f t="array" ref="Q478">_xlfn.IFS(P478="USD",O478,P478="VND",O478/26090,P478="JPY",O478/161)</f>
        <v>1.46</v>
      </c>
      <c r="R478" s="14">
        <v>42</v>
      </c>
      <c r="S478" s="14">
        <v>60</v>
      </c>
      <c r="T478" s="14"/>
      <c r="U478" s="14" t="s">
        <v>2848</v>
      </c>
      <c r="V478" s="14" t="s">
        <v>2857</v>
      </c>
      <c r="W478" s="14" t="s">
        <v>2858</v>
      </c>
      <c r="X478" s="17">
        <v>0</v>
      </c>
      <c r="Y478" s="15" t="s">
        <v>2901</v>
      </c>
      <c r="Z478" s="18" t="s">
        <v>2937</v>
      </c>
      <c r="AA478" s="22" t="s">
        <v>2938</v>
      </c>
      <c r="AB478" s="16"/>
      <c r="AC478" s="16"/>
      <c r="AD478" s="16"/>
      <c r="AE478" s="16" t="s">
        <v>2939</v>
      </c>
      <c r="AF478" s="16"/>
      <c r="AI478" s="3" t="str">
        <f t="shared" ca="1" si="7"/>
        <v>OK</v>
      </c>
    </row>
    <row r="479" spans="1:35" x14ac:dyDescent="0.3">
      <c r="A479" s="13">
        <v>46032</v>
      </c>
      <c r="B479" s="14" t="s">
        <v>2806</v>
      </c>
      <c r="C479" s="16"/>
      <c r="D479" s="16"/>
      <c r="E479" s="15" t="s">
        <v>891</v>
      </c>
      <c r="F479" s="15" t="s">
        <v>1276</v>
      </c>
      <c r="G479" s="15" t="s">
        <v>523</v>
      </c>
      <c r="H479" s="15"/>
      <c r="I479" s="15" t="s">
        <v>2193</v>
      </c>
      <c r="J479" s="15" t="s">
        <v>2194</v>
      </c>
      <c r="K479" s="16"/>
      <c r="L479" s="14" t="s">
        <v>2823</v>
      </c>
      <c r="M479" s="16"/>
      <c r="N479" s="15" t="s">
        <v>1087</v>
      </c>
      <c r="O479" s="14">
        <v>2.25</v>
      </c>
      <c r="P479" s="14" t="s">
        <v>2845</v>
      </c>
      <c r="Q479" s="14" cm="1">
        <f t="array" ref="Q479">_xlfn.IFS(P479="USD",O479,P479="VND",O479/26090,P479="JPY",O479/161)</f>
        <v>2.25</v>
      </c>
      <c r="R479" s="14">
        <v>42</v>
      </c>
      <c r="S479" s="14">
        <v>50</v>
      </c>
      <c r="T479" s="14"/>
      <c r="U479" s="14" t="s">
        <v>2848</v>
      </c>
      <c r="V479" s="14" t="s">
        <v>2857</v>
      </c>
      <c r="W479" s="14" t="s">
        <v>2858</v>
      </c>
      <c r="X479" s="17">
        <v>0</v>
      </c>
      <c r="Y479" s="15" t="s">
        <v>2901</v>
      </c>
      <c r="Z479" s="18" t="s">
        <v>2937</v>
      </c>
      <c r="AA479" s="22" t="s">
        <v>2938</v>
      </c>
      <c r="AB479" s="16"/>
      <c r="AC479" s="16"/>
      <c r="AD479" s="16"/>
      <c r="AE479" s="16" t="s">
        <v>2939</v>
      </c>
      <c r="AF479" s="16"/>
      <c r="AI479" s="3" t="str">
        <f t="shared" ca="1" si="7"/>
        <v>OK</v>
      </c>
    </row>
    <row r="480" spans="1:35" x14ac:dyDescent="0.3">
      <c r="A480" s="13">
        <v>46032</v>
      </c>
      <c r="B480" s="14" t="s">
        <v>2806</v>
      </c>
      <c r="C480" s="16"/>
      <c r="D480" s="16"/>
      <c r="E480" s="15" t="s">
        <v>891</v>
      </c>
      <c r="F480" s="15" t="s">
        <v>1276</v>
      </c>
      <c r="G480" s="15" t="s">
        <v>524</v>
      </c>
      <c r="H480" s="15"/>
      <c r="I480" s="15" t="s">
        <v>2195</v>
      </c>
      <c r="J480" s="15" t="s">
        <v>2196</v>
      </c>
      <c r="K480" s="16"/>
      <c r="L480" s="14" t="s">
        <v>2823</v>
      </c>
      <c r="M480" s="16"/>
      <c r="N480" s="15" t="s">
        <v>1087</v>
      </c>
      <c r="O480" s="14">
        <v>1.1399999999999999</v>
      </c>
      <c r="P480" s="14" t="s">
        <v>2845</v>
      </c>
      <c r="Q480" s="14" cm="1">
        <f t="array" ref="Q480">_xlfn.IFS(P480="USD",O480,P480="VND",O480/26090,P480="JPY",O480/161)</f>
        <v>1.1399999999999999</v>
      </c>
      <c r="R480" s="14">
        <v>42</v>
      </c>
      <c r="S480" s="14">
        <v>50</v>
      </c>
      <c r="T480" s="14"/>
      <c r="U480" s="14" t="s">
        <v>2848</v>
      </c>
      <c r="V480" s="14" t="s">
        <v>2857</v>
      </c>
      <c r="W480" s="14" t="s">
        <v>2858</v>
      </c>
      <c r="X480" s="17">
        <v>0</v>
      </c>
      <c r="Y480" s="15" t="s">
        <v>2901</v>
      </c>
      <c r="Z480" s="18" t="s">
        <v>2937</v>
      </c>
      <c r="AA480" s="22" t="s">
        <v>2938</v>
      </c>
      <c r="AB480" s="16"/>
      <c r="AC480" s="16"/>
      <c r="AD480" s="16"/>
      <c r="AE480" s="16" t="s">
        <v>2939</v>
      </c>
      <c r="AF480" s="16"/>
      <c r="AI480" s="3" t="str">
        <f t="shared" ca="1" si="7"/>
        <v>OK</v>
      </c>
    </row>
    <row r="481" spans="1:35" hidden="1" x14ac:dyDescent="0.3">
      <c r="A481" s="13">
        <v>46032</v>
      </c>
      <c r="B481" s="14" t="s">
        <v>2806</v>
      </c>
      <c r="C481" s="16"/>
      <c r="D481" s="16"/>
      <c r="E481" s="15" t="s">
        <v>875</v>
      </c>
      <c r="F481" s="15" t="s">
        <v>1261</v>
      </c>
      <c r="G481" s="15" t="s">
        <v>525</v>
      </c>
      <c r="H481" s="15"/>
      <c r="I481" s="15" t="s">
        <v>2197</v>
      </c>
      <c r="J481" s="15" t="s">
        <v>2198</v>
      </c>
      <c r="K481" s="16"/>
      <c r="L481" s="14" t="s">
        <v>2823</v>
      </c>
      <c r="M481" s="16"/>
      <c r="N481" s="15" t="s">
        <v>1033</v>
      </c>
      <c r="O481" s="14">
        <v>1.43</v>
      </c>
      <c r="P481" s="14" t="s">
        <v>2845</v>
      </c>
      <c r="Q481" s="14" cm="1">
        <f t="array" ref="Q481">_xlfn.IFS(P481="USD",O481,P481="VND",O481/26090,P481="JPY",O481/161)</f>
        <v>1.43</v>
      </c>
      <c r="R481" s="14">
        <v>42</v>
      </c>
      <c r="S481" s="14">
        <v>1</v>
      </c>
      <c r="T481" s="14"/>
      <c r="U481" s="14" t="s">
        <v>2848</v>
      </c>
      <c r="V481" s="14" t="s">
        <v>2857</v>
      </c>
      <c r="W481" s="14" t="s">
        <v>2858</v>
      </c>
      <c r="X481" s="17">
        <v>0</v>
      </c>
      <c r="Y481" s="15" t="s">
        <v>2875</v>
      </c>
      <c r="Z481" s="18" t="s">
        <v>2935</v>
      </c>
      <c r="AA481" s="18"/>
      <c r="AB481" s="16"/>
      <c r="AC481" s="16"/>
      <c r="AD481" s="16"/>
      <c r="AE481" s="16" t="s">
        <v>2999</v>
      </c>
      <c r="AF481" s="16"/>
      <c r="AI481" s="3" t="str">
        <f t="shared" ca="1" si="7"/>
        <v>OK</v>
      </c>
    </row>
    <row r="482" spans="1:35" hidden="1" x14ac:dyDescent="0.3">
      <c r="A482" s="13">
        <v>46032</v>
      </c>
      <c r="B482" s="14" t="s">
        <v>2806</v>
      </c>
      <c r="C482" s="16"/>
      <c r="D482" s="16"/>
      <c r="E482" s="15" t="s">
        <v>875</v>
      </c>
      <c r="F482" s="15" t="s">
        <v>1261</v>
      </c>
      <c r="G482" s="15" t="s">
        <v>526</v>
      </c>
      <c r="H482" s="15"/>
      <c r="I482" s="15" t="s">
        <v>2199</v>
      </c>
      <c r="J482" s="15" t="s">
        <v>2200</v>
      </c>
      <c r="K482" s="16"/>
      <c r="L482" s="14" t="s">
        <v>2823</v>
      </c>
      <c r="M482" s="16"/>
      <c r="N482" s="15" t="s">
        <v>1033</v>
      </c>
      <c r="O482" s="14">
        <v>9.6999999999999993</v>
      </c>
      <c r="P482" s="14" t="s">
        <v>2845</v>
      </c>
      <c r="Q482" s="14" cm="1">
        <f t="array" ref="Q482">_xlfn.IFS(P482="USD",O482,P482="VND",O482/26090,P482="JPY",O482/161)</f>
        <v>9.6999999999999993</v>
      </c>
      <c r="R482" s="14">
        <v>42</v>
      </c>
      <c r="S482" s="14">
        <v>1</v>
      </c>
      <c r="T482" s="14"/>
      <c r="U482" s="14" t="s">
        <v>2848</v>
      </c>
      <c r="V482" s="14" t="s">
        <v>2857</v>
      </c>
      <c r="W482" s="14" t="s">
        <v>2858</v>
      </c>
      <c r="X482" s="17">
        <v>0</v>
      </c>
      <c r="Y482" s="15" t="s">
        <v>2875</v>
      </c>
      <c r="Z482" s="18" t="s">
        <v>2935</v>
      </c>
      <c r="AA482" s="18"/>
      <c r="AB482" s="16"/>
      <c r="AC482" s="16"/>
      <c r="AD482" s="16"/>
      <c r="AE482" s="16" t="s">
        <v>2999</v>
      </c>
      <c r="AF482" s="16"/>
      <c r="AI482" s="3" t="str">
        <f t="shared" ca="1" si="7"/>
        <v>OK</v>
      </c>
    </row>
    <row r="483" spans="1:35" hidden="1" x14ac:dyDescent="0.3">
      <c r="A483" s="13">
        <v>46032</v>
      </c>
      <c r="B483" s="14" t="s">
        <v>2806</v>
      </c>
      <c r="C483" s="16"/>
      <c r="D483" s="16"/>
      <c r="E483" s="15" t="s">
        <v>849</v>
      </c>
      <c r="F483" s="15" t="s">
        <v>1243</v>
      </c>
      <c r="G483" s="15" t="s">
        <v>527</v>
      </c>
      <c r="H483" s="15"/>
      <c r="I483" s="15" t="s">
        <v>2201</v>
      </c>
      <c r="J483" s="15" t="s">
        <v>2202</v>
      </c>
      <c r="K483" s="16"/>
      <c r="L483" s="14" t="s">
        <v>2823</v>
      </c>
      <c r="M483" s="16"/>
      <c r="N483" s="15" t="s">
        <v>1042</v>
      </c>
      <c r="O483" s="14">
        <v>3.09</v>
      </c>
      <c r="P483" s="14" t="s">
        <v>2845</v>
      </c>
      <c r="Q483" s="14" cm="1">
        <f t="array" ref="Q483">_xlfn.IFS(P483="USD",O483,P483="VND",O483/26090,P483="JPY",O483/161)</f>
        <v>3.09</v>
      </c>
      <c r="R483" s="14">
        <v>45</v>
      </c>
      <c r="S483" s="14">
        <v>1</v>
      </c>
      <c r="T483" s="14"/>
      <c r="U483" s="14" t="s">
        <v>2849</v>
      </c>
      <c r="V483" s="14" t="s">
        <v>2857</v>
      </c>
      <c r="W483" s="14" t="s">
        <v>2858</v>
      </c>
      <c r="X483" s="17">
        <v>0</v>
      </c>
      <c r="Y483" s="15" t="s">
        <v>2875</v>
      </c>
      <c r="Z483" s="20">
        <v>46028</v>
      </c>
      <c r="AA483" s="20">
        <v>46393</v>
      </c>
      <c r="AB483" s="16"/>
      <c r="AC483" s="16"/>
      <c r="AD483" s="16"/>
      <c r="AE483" s="16" t="s">
        <v>2959</v>
      </c>
      <c r="AF483" s="16"/>
      <c r="AI483" s="3" t="str">
        <f t="shared" ca="1" si="7"/>
        <v>OK</v>
      </c>
    </row>
    <row r="484" spans="1:35" hidden="1" x14ac:dyDescent="0.3">
      <c r="A484" s="13">
        <v>46032</v>
      </c>
      <c r="B484" s="14" t="s">
        <v>2806</v>
      </c>
      <c r="C484" s="16"/>
      <c r="D484" s="16"/>
      <c r="E484" s="15" t="s">
        <v>849</v>
      </c>
      <c r="F484" s="15" t="s">
        <v>1243</v>
      </c>
      <c r="G484" s="15" t="s">
        <v>528</v>
      </c>
      <c r="H484" s="15"/>
      <c r="I484" s="15" t="s">
        <v>2203</v>
      </c>
      <c r="J484" s="15" t="s">
        <v>2204</v>
      </c>
      <c r="K484" s="16"/>
      <c r="L484" s="14" t="s">
        <v>2823</v>
      </c>
      <c r="M484" s="16"/>
      <c r="N484" s="15" t="s">
        <v>1042</v>
      </c>
      <c r="O484" s="14">
        <v>2.3199999999999998</v>
      </c>
      <c r="P484" s="14" t="s">
        <v>2845</v>
      </c>
      <c r="Q484" s="14" cm="1">
        <f t="array" ref="Q484">_xlfn.IFS(P484="USD",O484,P484="VND",O484/26090,P484="JPY",O484/161)</f>
        <v>2.3199999999999998</v>
      </c>
      <c r="R484" s="14">
        <v>45</v>
      </c>
      <c r="S484" s="14">
        <v>1</v>
      </c>
      <c r="T484" s="14"/>
      <c r="U484" s="14" t="s">
        <v>2849</v>
      </c>
      <c r="V484" s="14" t="s">
        <v>2857</v>
      </c>
      <c r="W484" s="14" t="s">
        <v>2858</v>
      </c>
      <c r="X484" s="17">
        <v>0</v>
      </c>
      <c r="Y484" s="15" t="s">
        <v>2875</v>
      </c>
      <c r="Z484" s="20">
        <v>46028</v>
      </c>
      <c r="AA484" s="20">
        <v>46393</v>
      </c>
      <c r="AB484" s="16"/>
      <c r="AC484" s="16"/>
      <c r="AD484" s="16"/>
      <c r="AE484" s="16" t="s">
        <v>2959</v>
      </c>
      <c r="AF484" s="16"/>
      <c r="AI484" s="3" t="str">
        <f t="shared" ca="1" si="7"/>
        <v>OK</v>
      </c>
    </row>
    <row r="485" spans="1:35" hidden="1" x14ac:dyDescent="0.3">
      <c r="A485" s="13">
        <v>46032</v>
      </c>
      <c r="B485" s="14" t="s">
        <v>2806</v>
      </c>
      <c r="C485" s="16"/>
      <c r="D485" s="16"/>
      <c r="E485" s="15" t="s">
        <v>849</v>
      </c>
      <c r="F485" s="15" t="s">
        <v>1243</v>
      </c>
      <c r="G485" s="15" t="s">
        <v>529</v>
      </c>
      <c r="H485" s="15"/>
      <c r="I485" s="15" t="s">
        <v>2205</v>
      </c>
      <c r="J485" s="15" t="s">
        <v>2206</v>
      </c>
      <c r="K485" s="16"/>
      <c r="L485" s="14" t="s">
        <v>2808</v>
      </c>
      <c r="M485" s="16"/>
      <c r="N485" s="15" t="s">
        <v>1042</v>
      </c>
      <c r="O485" s="14">
        <v>22.44</v>
      </c>
      <c r="P485" s="14" t="s">
        <v>2845</v>
      </c>
      <c r="Q485" s="14" cm="1">
        <f t="array" ref="Q485">_xlfn.IFS(P485="USD",O485,P485="VND",O485/26090,P485="JPY",O485/161)</f>
        <v>22.44</v>
      </c>
      <c r="R485" s="14">
        <v>45</v>
      </c>
      <c r="S485" s="14">
        <v>1</v>
      </c>
      <c r="T485" s="14"/>
      <c r="U485" s="14" t="s">
        <v>2849</v>
      </c>
      <c r="V485" s="14" t="s">
        <v>2857</v>
      </c>
      <c r="W485" s="14" t="s">
        <v>2858</v>
      </c>
      <c r="X485" s="17">
        <v>0</v>
      </c>
      <c r="Y485" s="15" t="s">
        <v>2875</v>
      </c>
      <c r="Z485" s="20">
        <v>46028</v>
      </c>
      <c r="AA485" s="20">
        <v>46393</v>
      </c>
      <c r="AB485" s="16"/>
      <c r="AC485" s="16"/>
      <c r="AD485" s="16"/>
      <c r="AE485" s="16" t="s">
        <v>2959</v>
      </c>
      <c r="AF485" s="16"/>
      <c r="AI485" s="3" t="str">
        <f t="shared" ca="1" si="7"/>
        <v>OK</v>
      </c>
    </row>
    <row r="486" spans="1:35" hidden="1" x14ac:dyDescent="0.3">
      <c r="A486" s="13">
        <v>46032</v>
      </c>
      <c r="B486" s="14" t="s">
        <v>2806</v>
      </c>
      <c r="C486" s="16"/>
      <c r="D486" s="16"/>
      <c r="E486" s="15" t="s">
        <v>858</v>
      </c>
      <c r="F486" s="15" t="s">
        <v>1248</v>
      </c>
      <c r="G486" s="15" t="s">
        <v>530</v>
      </c>
      <c r="H486" s="15"/>
      <c r="I486" s="15" t="s">
        <v>2207</v>
      </c>
      <c r="J486" s="15" t="s">
        <v>2208</v>
      </c>
      <c r="K486" s="16"/>
      <c r="L486" s="14" t="s">
        <v>2834</v>
      </c>
      <c r="M486" s="16"/>
      <c r="N486" s="15" t="s">
        <v>1090</v>
      </c>
      <c r="O486" s="14">
        <v>4.26</v>
      </c>
      <c r="P486" s="14" t="s">
        <v>2845</v>
      </c>
      <c r="Q486" s="14" cm="1">
        <f t="array" ref="Q486">_xlfn.IFS(P486="USD",O486,P486="VND",O486/26090,P486="JPY",O486/161)</f>
        <v>4.26</v>
      </c>
      <c r="R486" s="14">
        <v>21</v>
      </c>
      <c r="S486" s="14">
        <v>1</v>
      </c>
      <c r="T486" s="14"/>
      <c r="U486" s="14" t="s">
        <v>2852</v>
      </c>
      <c r="V486" s="14" t="s">
        <v>2864</v>
      </c>
      <c r="W486" s="14" t="s">
        <v>2860</v>
      </c>
      <c r="X486" s="17">
        <v>0</v>
      </c>
      <c r="Y486" s="15" t="s">
        <v>2880</v>
      </c>
      <c r="Z486" s="18" t="s">
        <v>3050</v>
      </c>
      <c r="AA486" s="18"/>
      <c r="AB486" s="16"/>
      <c r="AC486" s="16"/>
      <c r="AD486" s="16"/>
      <c r="AE486" s="16" t="s">
        <v>3049</v>
      </c>
      <c r="AF486" s="16"/>
      <c r="AI486" s="3" t="str">
        <f t="shared" ca="1" si="7"/>
        <v>OK</v>
      </c>
    </row>
    <row r="487" spans="1:35" hidden="1" x14ac:dyDescent="0.3">
      <c r="A487" s="13">
        <v>46032</v>
      </c>
      <c r="B487" s="14" t="s">
        <v>2806</v>
      </c>
      <c r="C487" s="16"/>
      <c r="D487" s="16"/>
      <c r="E487" s="15" t="s">
        <v>857</v>
      </c>
      <c r="F487" s="15" t="s">
        <v>912</v>
      </c>
      <c r="G487" s="15" t="s">
        <v>531</v>
      </c>
      <c r="H487" s="15"/>
      <c r="I487" s="15" t="s">
        <v>2209</v>
      </c>
      <c r="J487" s="15" t="s">
        <v>2210</v>
      </c>
      <c r="K487" s="16"/>
      <c r="L487" s="14" t="s">
        <v>2823</v>
      </c>
      <c r="M487" s="16"/>
      <c r="N487" s="15" t="s">
        <v>1131</v>
      </c>
      <c r="O487" s="14">
        <v>124</v>
      </c>
      <c r="P487" s="14" t="s">
        <v>2845</v>
      </c>
      <c r="Q487" s="14" cm="1">
        <f t="array" ref="Q487">_xlfn.IFS(P487="USD",O487,P487="VND",O487/26090,P487="JPY",O487/161)</f>
        <v>124</v>
      </c>
      <c r="R487" s="14">
        <v>35</v>
      </c>
      <c r="S487" s="14">
        <v>1</v>
      </c>
      <c r="T487" s="14"/>
      <c r="U487" s="14" t="s">
        <v>2848</v>
      </c>
      <c r="V487" s="14" t="s">
        <v>2857</v>
      </c>
      <c r="W487" s="14" t="s">
        <v>2858</v>
      </c>
      <c r="X487" s="17">
        <v>0</v>
      </c>
      <c r="Y487" s="15" t="s">
        <v>2875</v>
      </c>
      <c r="Z487" s="20">
        <v>46243</v>
      </c>
      <c r="AA487" s="20">
        <v>46608</v>
      </c>
      <c r="AB487" s="16"/>
      <c r="AC487" s="16"/>
      <c r="AD487" s="16"/>
      <c r="AE487" s="16" t="s">
        <v>2957</v>
      </c>
      <c r="AF487" s="16"/>
      <c r="AI487" s="3" t="str">
        <f t="shared" ca="1" si="7"/>
        <v>OK</v>
      </c>
    </row>
    <row r="488" spans="1:35" hidden="1" x14ac:dyDescent="0.3">
      <c r="A488" s="13">
        <v>46032</v>
      </c>
      <c r="B488" s="14" t="s">
        <v>2806</v>
      </c>
      <c r="C488" s="16"/>
      <c r="D488" s="16"/>
      <c r="E488" s="15" t="s">
        <v>892</v>
      </c>
      <c r="F488" s="15" t="s">
        <v>1277</v>
      </c>
      <c r="G488" s="15" t="s">
        <v>532</v>
      </c>
      <c r="H488" s="15"/>
      <c r="I488" s="15" t="s">
        <v>2211</v>
      </c>
      <c r="J488" s="15" t="s">
        <v>2212</v>
      </c>
      <c r="K488" s="16"/>
      <c r="L488" s="14" t="s">
        <v>2832</v>
      </c>
      <c r="M488" s="16"/>
      <c r="N488" s="15" t="s">
        <v>1132</v>
      </c>
      <c r="O488" s="14">
        <v>44000</v>
      </c>
      <c r="P488" s="14" t="s">
        <v>2846</v>
      </c>
      <c r="Q488" s="14" cm="1">
        <f t="array" ref="Q488">_xlfn.IFS(P488="USD",O488,P488="VND",O488/26090,P488="JPY",O488/161)</f>
        <v>1.6864699118436182</v>
      </c>
      <c r="R488" s="14">
        <v>21</v>
      </c>
      <c r="S488" s="14">
        <v>1</v>
      </c>
      <c r="T488" s="14"/>
      <c r="U488" s="14" t="s">
        <v>2848</v>
      </c>
      <c r="V488" s="14" t="s">
        <v>2857</v>
      </c>
      <c r="W488" s="14" t="s">
        <v>2858</v>
      </c>
      <c r="X488" s="17">
        <v>0</v>
      </c>
      <c r="Y488" s="15" t="s">
        <v>2875</v>
      </c>
      <c r="Z488" s="20">
        <v>46212</v>
      </c>
      <c r="AA488" s="20">
        <v>46213</v>
      </c>
      <c r="AB488" s="16"/>
      <c r="AC488" s="16"/>
      <c r="AD488" s="16"/>
      <c r="AE488" s="16" t="s">
        <v>2971</v>
      </c>
      <c r="AF488" s="16"/>
      <c r="AI488" s="3" t="str">
        <f t="shared" ca="1" si="7"/>
        <v>NG</v>
      </c>
    </row>
    <row r="489" spans="1:35" hidden="1" x14ac:dyDescent="0.3">
      <c r="A489" s="13">
        <v>46032</v>
      </c>
      <c r="B489" s="14" t="s">
        <v>2806</v>
      </c>
      <c r="C489" s="16"/>
      <c r="D489" s="16"/>
      <c r="E489" s="15" t="s">
        <v>849</v>
      </c>
      <c r="F489" s="15" t="s">
        <v>1243</v>
      </c>
      <c r="G489" s="15" t="s">
        <v>533</v>
      </c>
      <c r="H489" s="15"/>
      <c r="I489" s="15" t="s">
        <v>2213</v>
      </c>
      <c r="J489" s="15" t="s">
        <v>2214</v>
      </c>
      <c r="K489" s="16"/>
      <c r="L489" s="14" t="s">
        <v>2823</v>
      </c>
      <c r="M489" s="16"/>
      <c r="N489" s="15" t="s">
        <v>1077</v>
      </c>
      <c r="O489" s="14">
        <v>3.56</v>
      </c>
      <c r="P489" s="14" t="s">
        <v>2845</v>
      </c>
      <c r="Q489" s="14" cm="1">
        <f t="array" ref="Q489">_xlfn.IFS(P489="USD",O489,P489="VND",O489/26090,P489="JPY",O489/161)</f>
        <v>3.56</v>
      </c>
      <c r="R489" s="14">
        <v>60</v>
      </c>
      <c r="S489" s="14">
        <v>1</v>
      </c>
      <c r="T489" s="14"/>
      <c r="U489" s="14" t="s">
        <v>2849</v>
      </c>
      <c r="V489" s="14" t="s">
        <v>2857</v>
      </c>
      <c r="W489" s="14" t="s">
        <v>2858</v>
      </c>
      <c r="X489" s="17">
        <v>0</v>
      </c>
      <c r="Y489" s="15" t="s">
        <v>2875</v>
      </c>
      <c r="Z489" s="20">
        <v>46028</v>
      </c>
      <c r="AA489" s="20">
        <v>46393</v>
      </c>
      <c r="AB489" s="16"/>
      <c r="AC489" s="16"/>
      <c r="AD489" s="16"/>
      <c r="AE489" s="16" t="s">
        <v>2959</v>
      </c>
      <c r="AF489" s="16"/>
      <c r="AI489" s="3" t="str">
        <f t="shared" ca="1" si="7"/>
        <v>OK</v>
      </c>
    </row>
    <row r="490" spans="1:35" hidden="1" x14ac:dyDescent="0.3">
      <c r="A490" s="13">
        <v>46032</v>
      </c>
      <c r="B490" s="14" t="s">
        <v>2806</v>
      </c>
      <c r="C490" s="16"/>
      <c r="D490" s="16"/>
      <c r="E490" s="15" t="s">
        <v>849</v>
      </c>
      <c r="F490" s="15" t="s">
        <v>1243</v>
      </c>
      <c r="G490" s="15" t="s">
        <v>534</v>
      </c>
      <c r="H490" s="15"/>
      <c r="I490" s="15" t="s">
        <v>2215</v>
      </c>
      <c r="J490" s="15" t="s">
        <v>2216</v>
      </c>
      <c r="K490" s="16"/>
      <c r="L490" s="14" t="s">
        <v>2823</v>
      </c>
      <c r="M490" s="16"/>
      <c r="N490" s="15" t="s">
        <v>1074</v>
      </c>
      <c r="O490" s="14">
        <v>18.899999999999999</v>
      </c>
      <c r="P490" s="14" t="s">
        <v>2845</v>
      </c>
      <c r="Q490" s="14" cm="1">
        <f t="array" ref="Q490">_xlfn.IFS(P490="USD",O490,P490="VND",O490/26090,P490="JPY",O490/161)</f>
        <v>18.899999999999999</v>
      </c>
      <c r="R490" s="14">
        <v>60</v>
      </c>
      <c r="S490" s="14">
        <v>1</v>
      </c>
      <c r="T490" s="14"/>
      <c r="U490" s="14" t="s">
        <v>2849</v>
      </c>
      <c r="V490" s="14" t="s">
        <v>2857</v>
      </c>
      <c r="W490" s="14" t="s">
        <v>2858</v>
      </c>
      <c r="X490" s="17">
        <v>0</v>
      </c>
      <c r="Y490" s="15" t="s">
        <v>2875</v>
      </c>
      <c r="Z490" s="20">
        <v>46028</v>
      </c>
      <c r="AA490" s="20">
        <v>46393</v>
      </c>
      <c r="AB490" s="16"/>
      <c r="AC490" s="16"/>
      <c r="AD490" s="16"/>
      <c r="AE490" s="16" t="s">
        <v>2959</v>
      </c>
      <c r="AF490" s="16"/>
      <c r="AI490" s="3" t="str">
        <f t="shared" ca="1" si="7"/>
        <v>OK</v>
      </c>
    </row>
    <row r="491" spans="1:35" x14ac:dyDescent="0.3">
      <c r="A491" s="13">
        <v>46032</v>
      </c>
      <c r="B491" s="14" t="s">
        <v>2806</v>
      </c>
      <c r="C491" s="16"/>
      <c r="D491" s="16"/>
      <c r="E491" s="15" t="s">
        <v>891</v>
      </c>
      <c r="F491" s="15" t="s">
        <v>1276</v>
      </c>
      <c r="G491" s="15" t="s">
        <v>535</v>
      </c>
      <c r="H491" s="15"/>
      <c r="I491" s="15" t="s">
        <v>2217</v>
      </c>
      <c r="J491" s="15" t="s">
        <v>2218</v>
      </c>
      <c r="K491" s="16"/>
      <c r="L491" s="14" t="s">
        <v>2823</v>
      </c>
      <c r="M491" s="16"/>
      <c r="N491" s="15" t="s">
        <v>1087</v>
      </c>
      <c r="O491" s="14">
        <v>1.43</v>
      </c>
      <c r="P491" s="14" t="s">
        <v>2845</v>
      </c>
      <c r="Q491" s="14" cm="1">
        <f t="array" ref="Q491">_xlfn.IFS(P491="USD",O491,P491="VND",O491/26090,P491="JPY",O491/161)</f>
        <v>1.43</v>
      </c>
      <c r="R491" s="14">
        <v>42</v>
      </c>
      <c r="S491" s="14">
        <v>60</v>
      </c>
      <c r="T491" s="14"/>
      <c r="U491" s="14" t="s">
        <v>2848</v>
      </c>
      <c r="V491" s="14" t="s">
        <v>2857</v>
      </c>
      <c r="W491" s="14" t="s">
        <v>2858</v>
      </c>
      <c r="X491" s="17">
        <v>0</v>
      </c>
      <c r="Y491" s="15" t="s">
        <v>2901</v>
      </c>
      <c r="Z491" s="18" t="s">
        <v>2937</v>
      </c>
      <c r="AA491" s="22" t="s">
        <v>2938</v>
      </c>
      <c r="AB491" s="16"/>
      <c r="AC491" s="16"/>
      <c r="AD491" s="16"/>
      <c r="AE491" s="16" t="s">
        <v>2939</v>
      </c>
      <c r="AF491" s="16"/>
      <c r="AI491" s="3" t="str">
        <f t="shared" ca="1" si="7"/>
        <v>OK</v>
      </c>
    </row>
    <row r="492" spans="1:35" hidden="1" x14ac:dyDescent="0.3">
      <c r="A492" s="13">
        <v>46032</v>
      </c>
      <c r="B492" s="14" t="s">
        <v>2806</v>
      </c>
      <c r="C492" s="16"/>
      <c r="D492" s="16"/>
      <c r="E492" s="15" t="s">
        <v>849</v>
      </c>
      <c r="F492" s="15" t="s">
        <v>1243</v>
      </c>
      <c r="G492" s="15" t="s">
        <v>536</v>
      </c>
      <c r="H492" s="15"/>
      <c r="I492" s="15" t="s">
        <v>2219</v>
      </c>
      <c r="J492" s="15" t="s">
        <v>2220</v>
      </c>
      <c r="K492" s="16"/>
      <c r="L492" s="14" t="s">
        <v>2823</v>
      </c>
      <c r="M492" s="16"/>
      <c r="N492" s="15" t="s">
        <v>1133</v>
      </c>
      <c r="O492" s="14">
        <v>2.94</v>
      </c>
      <c r="P492" s="14" t="s">
        <v>2845</v>
      </c>
      <c r="Q492" s="14" cm="1">
        <f t="array" ref="Q492">_xlfn.IFS(P492="USD",O492,P492="VND",O492/26090,P492="JPY",O492/161)</f>
        <v>2.94</v>
      </c>
      <c r="R492" s="14">
        <v>60</v>
      </c>
      <c r="S492" s="14">
        <v>1</v>
      </c>
      <c r="T492" s="14"/>
      <c r="U492" s="14" t="s">
        <v>2849</v>
      </c>
      <c r="V492" s="14" t="s">
        <v>2857</v>
      </c>
      <c r="W492" s="14" t="s">
        <v>2858</v>
      </c>
      <c r="X492" s="17">
        <v>0</v>
      </c>
      <c r="Y492" s="15" t="s">
        <v>2875</v>
      </c>
      <c r="Z492" s="20">
        <v>46028</v>
      </c>
      <c r="AA492" s="20">
        <v>46393</v>
      </c>
      <c r="AB492" s="16"/>
      <c r="AC492" s="16"/>
      <c r="AD492" s="16"/>
      <c r="AE492" s="16" t="s">
        <v>2959</v>
      </c>
      <c r="AF492" s="16"/>
      <c r="AI492" s="3" t="str">
        <f t="shared" ca="1" si="7"/>
        <v>OK</v>
      </c>
    </row>
    <row r="493" spans="1:35" x14ac:dyDescent="0.3">
      <c r="A493" s="13">
        <v>46032</v>
      </c>
      <c r="B493" s="14" t="s">
        <v>2806</v>
      </c>
      <c r="C493" s="16"/>
      <c r="D493" s="16"/>
      <c r="E493" s="15" t="s">
        <v>862</v>
      </c>
      <c r="F493" s="15" t="s">
        <v>1251</v>
      </c>
      <c r="G493" s="15" t="s">
        <v>537</v>
      </c>
      <c r="H493" s="15"/>
      <c r="I493" s="15" t="s">
        <v>2221</v>
      </c>
      <c r="J493" s="15" t="s">
        <v>2222</v>
      </c>
      <c r="K493" s="16"/>
      <c r="L493" s="14" t="s">
        <v>2823</v>
      </c>
      <c r="M493" s="16"/>
      <c r="N493" s="15" t="s">
        <v>1134</v>
      </c>
      <c r="O493" s="14">
        <v>82000</v>
      </c>
      <c r="P493" s="14" t="s">
        <v>2846</v>
      </c>
      <c r="Q493" s="14" cm="1">
        <f t="array" ref="Q493">_xlfn.IFS(P493="USD",O493,P493="VND",O493/26090,P493="JPY",O493/161)</f>
        <v>3.1429666538903795</v>
      </c>
      <c r="R493" s="14">
        <v>7</v>
      </c>
      <c r="S493" s="14">
        <v>100</v>
      </c>
      <c r="T493" s="14"/>
      <c r="U493" s="14" t="s">
        <v>2848</v>
      </c>
      <c r="V493" s="14" t="s">
        <v>2857</v>
      </c>
      <c r="W493" s="14" t="s">
        <v>2858</v>
      </c>
      <c r="X493" s="17">
        <v>0</v>
      </c>
      <c r="Y493" s="15" t="s">
        <v>2875</v>
      </c>
      <c r="Z493" s="18" t="s">
        <v>2929</v>
      </c>
      <c r="AA493" s="22" t="s">
        <v>2931</v>
      </c>
      <c r="AB493" s="16"/>
      <c r="AC493" s="16"/>
      <c r="AD493" s="16"/>
      <c r="AE493" s="16" t="s">
        <v>2933</v>
      </c>
      <c r="AF493" s="16"/>
      <c r="AI493" s="3" t="str">
        <f t="shared" ca="1" si="7"/>
        <v>OK</v>
      </c>
    </row>
    <row r="494" spans="1:35" x14ac:dyDescent="0.3">
      <c r="A494" s="13">
        <v>46032</v>
      </c>
      <c r="B494" s="14" t="s">
        <v>2806</v>
      </c>
      <c r="C494" s="16"/>
      <c r="D494" s="16"/>
      <c r="E494" s="15" t="s">
        <v>862</v>
      </c>
      <c r="F494" s="15" t="s">
        <v>1251</v>
      </c>
      <c r="G494" s="15" t="s">
        <v>538</v>
      </c>
      <c r="H494" s="15"/>
      <c r="I494" s="15" t="s">
        <v>2223</v>
      </c>
      <c r="J494" s="15" t="s">
        <v>2224</v>
      </c>
      <c r="K494" s="16"/>
      <c r="L494" s="14" t="s">
        <v>2823</v>
      </c>
      <c r="M494" s="16"/>
      <c r="N494" s="15" t="s">
        <v>1135</v>
      </c>
      <c r="O494" s="14">
        <v>170000</v>
      </c>
      <c r="P494" s="14" t="s">
        <v>2846</v>
      </c>
      <c r="Q494" s="14" cm="1">
        <f t="array" ref="Q494">_xlfn.IFS(P494="USD",O494,P494="VND",O494/26090,P494="JPY",O494/161)</f>
        <v>6.5159064775776159</v>
      </c>
      <c r="R494" s="14">
        <v>7</v>
      </c>
      <c r="S494" s="14">
        <v>70</v>
      </c>
      <c r="T494" s="14"/>
      <c r="U494" s="14" t="s">
        <v>2848</v>
      </c>
      <c r="V494" s="14" t="s">
        <v>2857</v>
      </c>
      <c r="W494" s="14" t="s">
        <v>2858</v>
      </c>
      <c r="X494" s="17">
        <v>0</v>
      </c>
      <c r="Y494" s="15" t="s">
        <v>2875</v>
      </c>
      <c r="Z494" s="18" t="s">
        <v>2929</v>
      </c>
      <c r="AA494" s="22" t="s">
        <v>2931</v>
      </c>
      <c r="AB494" s="16"/>
      <c r="AC494" s="16"/>
      <c r="AD494" s="16"/>
      <c r="AE494" s="16" t="s">
        <v>2933</v>
      </c>
      <c r="AF494" s="16"/>
      <c r="AI494" s="3" t="str">
        <f t="shared" ca="1" si="7"/>
        <v>OK</v>
      </c>
    </row>
    <row r="495" spans="1:35" hidden="1" x14ac:dyDescent="0.3">
      <c r="A495" s="13">
        <v>46032</v>
      </c>
      <c r="B495" s="14" t="s">
        <v>2806</v>
      </c>
      <c r="C495" s="16"/>
      <c r="D495" s="16"/>
      <c r="E495" s="15" t="s">
        <v>857</v>
      </c>
      <c r="F495" s="15" t="s">
        <v>912</v>
      </c>
      <c r="G495" s="15" t="s">
        <v>539</v>
      </c>
      <c r="H495" s="15"/>
      <c r="I495" s="15" t="s">
        <v>2225</v>
      </c>
      <c r="J495" s="15" t="s">
        <v>2226</v>
      </c>
      <c r="K495" s="16"/>
      <c r="L495" s="14" t="s">
        <v>2823</v>
      </c>
      <c r="M495" s="16"/>
      <c r="N495" s="15" t="s">
        <v>1136</v>
      </c>
      <c r="O495" s="14">
        <v>55.1</v>
      </c>
      <c r="P495" s="14" t="s">
        <v>2845</v>
      </c>
      <c r="Q495" s="14" cm="1">
        <f t="array" ref="Q495">_xlfn.IFS(P495="USD",O495,P495="VND",O495/26090,P495="JPY",O495/161)</f>
        <v>55.1</v>
      </c>
      <c r="R495" s="14">
        <v>35</v>
      </c>
      <c r="S495" s="14">
        <v>1</v>
      </c>
      <c r="T495" s="14"/>
      <c r="U495" s="14" t="s">
        <v>2848</v>
      </c>
      <c r="V495" s="14" t="s">
        <v>2857</v>
      </c>
      <c r="W495" s="14" t="s">
        <v>2858</v>
      </c>
      <c r="X495" s="17">
        <v>0</v>
      </c>
      <c r="Y495" s="15" t="s">
        <v>2875</v>
      </c>
      <c r="Z495" s="20">
        <v>46243</v>
      </c>
      <c r="AA495" s="20">
        <v>46608</v>
      </c>
      <c r="AB495" s="16"/>
      <c r="AC495" s="16"/>
      <c r="AD495" s="16"/>
      <c r="AE495" s="16" t="s">
        <v>2957</v>
      </c>
      <c r="AF495" s="16"/>
      <c r="AI495" s="3" t="str">
        <f t="shared" ca="1" si="7"/>
        <v>OK</v>
      </c>
    </row>
    <row r="496" spans="1:35" hidden="1" x14ac:dyDescent="0.3">
      <c r="A496" s="13">
        <v>46032</v>
      </c>
      <c r="B496" s="14" t="s">
        <v>2806</v>
      </c>
      <c r="C496" s="16"/>
      <c r="D496" s="16"/>
      <c r="E496" s="15" t="s">
        <v>893</v>
      </c>
      <c r="F496" s="15" t="s">
        <v>1278</v>
      </c>
      <c r="G496" s="15" t="s">
        <v>540</v>
      </c>
      <c r="H496" s="15"/>
      <c r="I496" s="15" t="s">
        <v>2227</v>
      </c>
      <c r="J496" s="15" t="s">
        <v>2228</v>
      </c>
      <c r="K496" s="16"/>
      <c r="L496" s="14" t="s">
        <v>2842</v>
      </c>
      <c r="M496" s="16"/>
      <c r="N496" s="15" t="s">
        <v>1137</v>
      </c>
      <c r="O496" s="14">
        <v>105.5</v>
      </c>
      <c r="P496" s="14" t="s">
        <v>2845</v>
      </c>
      <c r="Q496" s="14" cm="1">
        <f t="array" ref="Q496">_xlfn.IFS(P496="USD",O496,P496="VND",O496/26090,P496="JPY",O496/161)</f>
        <v>105.5</v>
      </c>
      <c r="R496" s="14">
        <v>30</v>
      </c>
      <c r="S496" s="14">
        <v>300</v>
      </c>
      <c r="T496" s="14"/>
      <c r="U496" s="14" t="s">
        <v>2848</v>
      </c>
      <c r="V496" s="14" t="s">
        <v>2857</v>
      </c>
      <c r="W496" s="14" t="s">
        <v>2858</v>
      </c>
      <c r="X496" s="17">
        <v>0</v>
      </c>
      <c r="Y496" s="15" t="s">
        <v>2900</v>
      </c>
      <c r="Z496" s="18" t="s">
        <v>3041</v>
      </c>
      <c r="AA496" s="18"/>
      <c r="AB496" s="16"/>
      <c r="AC496" s="16"/>
      <c r="AD496" s="16"/>
      <c r="AE496" s="16" t="s">
        <v>3040</v>
      </c>
      <c r="AF496" s="16"/>
      <c r="AI496" s="3" t="str">
        <f t="shared" ca="1" si="7"/>
        <v>OK</v>
      </c>
    </row>
    <row r="497" spans="1:35" hidden="1" x14ac:dyDescent="0.3">
      <c r="A497" s="13">
        <v>46032</v>
      </c>
      <c r="B497" s="14" t="s">
        <v>2806</v>
      </c>
      <c r="C497" s="16"/>
      <c r="D497" s="16"/>
      <c r="E497" s="15" t="s">
        <v>894</v>
      </c>
      <c r="F497" s="15" t="s">
        <v>1279</v>
      </c>
      <c r="G497" s="15" t="s">
        <v>541</v>
      </c>
      <c r="H497" s="15"/>
      <c r="I497" s="15" t="s">
        <v>2229</v>
      </c>
      <c r="J497" s="15" t="s">
        <v>2230</v>
      </c>
      <c r="K497" s="16"/>
      <c r="L497" s="14" t="s">
        <v>2823</v>
      </c>
      <c r="M497" s="16"/>
      <c r="N497" s="15" t="s">
        <v>1138</v>
      </c>
      <c r="O497" s="14">
        <v>0.5</v>
      </c>
      <c r="P497" s="14" t="s">
        <v>2845</v>
      </c>
      <c r="Q497" s="14" cm="1">
        <f t="array" ref="Q497">_xlfn.IFS(P497="USD",O497,P497="VND",O497/26090,P497="JPY",O497/161)</f>
        <v>0.5</v>
      </c>
      <c r="R497" s="14">
        <v>90</v>
      </c>
      <c r="S497" s="14">
        <v>500</v>
      </c>
      <c r="T497" s="14"/>
      <c r="U497" s="14" t="s">
        <v>2852</v>
      </c>
      <c r="V497" s="14" t="s">
        <v>2857</v>
      </c>
      <c r="W497" s="14" t="s">
        <v>2858</v>
      </c>
      <c r="X497" s="17">
        <v>0</v>
      </c>
      <c r="Y497" s="15" t="s">
        <v>2902</v>
      </c>
      <c r="Z497" s="20">
        <v>45424</v>
      </c>
      <c r="AA497" s="18"/>
      <c r="AB497" s="16"/>
      <c r="AC497" s="16"/>
      <c r="AD497" s="16"/>
      <c r="AE497" s="16" t="s">
        <v>2974</v>
      </c>
      <c r="AF497" s="16"/>
      <c r="AI497" s="3" t="str">
        <f t="shared" ca="1" si="7"/>
        <v>OK</v>
      </c>
    </row>
    <row r="498" spans="1:35" x14ac:dyDescent="0.3">
      <c r="A498" s="13">
        <v>46032</v>
      </c>
      <c r="B498" s="14" t="s">
        <v>2806</v>
      </c>
      <c r="C498" s="16"/>
      <c r="D498" s="16"/>
      <c r="E498" s="15" t="s">
        <v>862</v>
      </c>
      <c r="F498" s="15" t="s">
        <v>1251</v>
      </c>
      <c r="G498" s="15" t="s">
        <v>542</v>
      </c>
      <c r="H498" s="15"/>
      <c r="I498" s="15" t="s">
        <v>2231</v>
      </c>
      <c r="J498" s="15" t="s">
        <v>2232</v>
      </c>
      <c r="K498" s="16"/>
      <c r="L498" s="14" t="s">
        <v>2823</v>
      </c>
      <c r="M498" s="16"/>
      <c r="N498" s="15" t="s">
        <v>1139</v>
      </c>
      <c r="O498" s="14">
        <v>43500</v>
      </c>
      <c r="P498" s="14" t="s">
        <v>2846</v>
      </c>
      <c r="Q498" s="14" cm="1">
        <f t="array" ref="Q498">_xlfn.IFS(P498="USD",O498,P498="VND",O498/26090,P498="JPY",O498/161)</f>
        <v>1.6673054810272134</v>
      </c>
      <c r="R498" s="14">
        <v>15</v>
      </c>
      <c r="S498" s="14">
        <v>100</v>
      </c>
      <c r="T498" s="14"/>
      <c r="U498" s="14" t="s">
        <v>2848</v>
      </c>
      <c r="V498" s="14" t="s">
        <v>2857</v>
      </c>
      <c r="W498" s="14" t="s">
        <v>2858</v>
      </c>
      <c r="X498" s="17">
        <v>0</v>
      </c>
      <c r="Y498" s="15" t="s">
        <v>2875</v>
      </c>
      <c r="Z498" s="18" t="s">
        <v>2929</v>
      </c>
      <c r="AA498" s="22" t="s">
        <v>2931</v>
      </c>
      <c r="AB498" s="16"/>
      <c r="AC498" s="16"/>
      <c r="AD498" s="16"/>
      <c r="AE498" s="16" t="s">
        <v>2933</v>
      </c>
      <c r="AF498" s="16"/>
      <c r="AI498" s="3" t="str">
        <f t="shared" ca="1" si="7"/>
        <v>OK</v>
      </c>
    </row>
    <row r="499" spans="1:35" hidden="1" x14ac:dyDescent="0.3">
      <c r="A499" s="13">
        <v>46032</v>
      </c>
      <c r="B499" s="14" t="s">
        <v>2806</v>
      </c>
      <c r="C499" s="16"/>
      <c r="D499" s="16"/>
      <c r="E499" s="15" t="s">
        <v>849</v>
      </c>
      <c r="F499" s="15" t="s">
        <v>1243</v>
      </c>
      <c r="G499" s="15" t="s">
        <v>543</v>
      </c>
      <c r="H499" s="15"/>
      <c r="I499" s="15" t="s">
        <v>2233</v>
      </c>
      <c r="J499" s="15" t="s">
        <v>2234</v>
      </c>
      <c r="K499" s="16"/>
      <c r="L499" s="14" t="s">
        <v>2823</v>
      </c>
      <c r="M499" s="16"/>
      <c r="N499" s="15" t="s">
        <v>1048</v>
      </c>
      <c r="O499" s="14">
        <v>1.63</v>
      </c>
      <c r="P499" s="14" t="s">
        <v>2845</v>
      </c>
      <c r="Q499" s="14" cm="1">
        <f t="array" ref="Q499">_xlfn.IFS(P499="USD",O499,P499="VND",O499/26090,P499="JPY",O499/161)</f>
        <v>1.63</v>
      </c>
      <c r="R499" s="14">
        <v>30</v>
      </c>
      <c r="S499" s="14">
        <v>1</v>
      </c>
      <c r="T499" s="14"/>
      <c r="U499" s="14" t="s">
        <v>2849</v>
      </c>
      <c r="V499" s="14" t="s">
        <v>2857</v>
      </c>
      <c r="W499" s="14" t="s">
        <v>2858</v>
      </c>
      <c r="X499" s="17">
        <v>0</v>
      </c>
      <c r="Y499" s="15" t="s">
        <v>2875</v>
      </c>
      <c r="Z499" s="20">
        <v>46028</v>
      </c>
      <c r="AA499" s="20">
        <v>46393</v>
      </c>
      <c r="AB499" s="16"/>
      <c r="AC499" s="16"/>
      <c r="AD499" s="16"/>
      <c r="AE499" s="16" t="s">
        <v>2959</v>
      </c>
      <c r="AF499" s="16"/>
      <c r="AI499" s="3" t="str">
        <f t="shared" ca="1" si="7"/>
        <v>OK</v>
      </c>
    </row>
    <row r="500" spans="1:35" hidden="1" x14ac:dyDescent="0.3">
      <c r="A500" s="13">
        <v>46032</v>
      </c>
      <c r="B500" s="14" t="s">
        <v>2806</v>
      </c>
      <c r="C500" s="16"/>
      <c r="D500" s="16"/>
      <c r="E500" s="15" t="s">
        <v>849</v>
      </c>
      <c r="F500" s="15" t="s">
        <v>1243</v>
      </c>
      <c r="G500" s="15" t="s">
        <v>544</v>
      </c>
      <c r="H500" s="15"/>
      <c r="I500" s="15" t="s">
        <v>2235</v>
      </c>
      <c r="J500" s="15" t="s">
        <v>2236</v>
      </c>
      <c r="K500" s="16"/>
      <c r="L500" s="14" t="s">
        <v>2823</v>
      </c>
      <c r="M500" s="16"/>
      <c r="N500" s="15" t="s">
        <v>1140</v>
      </c>
      <c r="O500" s="14">
        <v>1.1100000000000001</v>
      </c>
      <c r="P500" s="14" t="s">
        <v>2845</v>
      </c>
      <c r="Q500" s="14" cm="1">
        <f t="array" ref="Q500">_xlfn.IFS(P500="USD",O500,P500="VND",O500/26090,P500="JPY",O500/161)</f>
        <v>1.1100000000000001</v>
      </c>
      <c r="R500" s="14">
        <v>30</v>
      </c>
      <c r="S500" s="14">
        <v>1</v>
      </c>
      <c r="T500" s="14"/>
      <c r="U500" s="14" t="s">
        <v>2849</v>
      </c>
      <c r="V500" s="14" t="s">
        <v>2857</v>
      </c>
      <c r="W500" s="14" t="s">
        <v>2858</v>
      </c>
      <c r="X500" s="17">
        <v>0</v>
      </c>
      <c r="Y500" s="15" t="s">
        <v>2875</v>
      </c>
      <c r="Z500" s="20">
        <v>46028</v>
      </c>
      <c r="AA500" s="20">
        <v>46393</v>
      </c>
      <c r="AB500" s="16"/>
      <c r="AC500" s="16"/>
      <c r="AD500" s="16"/>
      <c r="AE500" s="16" t="s">
        <v>2959</v>
      </c>
      <c r="AF500" s="16"/>
      <c r="AI500" s="3" t="str">
        <f t="shared" ca="1" si="7"/>
        <v>OK</v>
      </c>
    </row>
    <row r="501" spans="1:35" hidden="1" x14ac:dyDescent="0.3">
      <c r="A501" s="13">
        <v>46032</v>
      </c>
      <c r="B501" s="14" t="s">
        <v>2806</v>
      </c>
      <c r="C501" s="16"/>
      <c r="D501" s="16"/>
      <c r="E501" s="15" t="s">
        <v>872</v>
      </c>
      <c r="F501" s="15" t="s">
        <v>1258</v>
      </c>
      <c r="G501" s="15" t="s">
        <v>545</v>
      </c>
      <c r="H501" s="15"/>
      <c r="I501" s="15" t="s">
        <v>2237</v>
      </c>
      <c r="J501" s="15" t="s">
        <v>2238</v>
      </c>
      <c r="K501" s="16"/>
      <c r="L501" s="14" t="s">
        <v>2809</v>
      </c>
      <c r="M501" s="16"/>
      <c r="N501" s="15" t="s">
        <v>1141</v>
      </c>
      <c r="O501" s="14">
        <v>2.81</v>
      </c>
      <c r="P501" s="14" t="s">
        <v>2845</v>
      </c>
      <c r="Q501" s="14" cm="1">
        <f t="array" ref="Q501">_xlfn.IFS(P501="USD",O501,P501="VND",O501/26090,P501="JPY",O501/161)</f>
        <v>2.81</v>
      </c>
      <c r="R501" s="14">
        <v>7</v>
      </c>
      <c r="S501" s="14">
        <v>1</v>
      </c>
      <c r="T501" s="14"/>
      <c r="U501" s="14" t="s">
        <v>2849</v>
      </c>
      <c r="V501" s="14" t="s">
        <v>2857</v>
      </c>
      <c r="W501" s="14" t="s">
        <v>2858</v>
      </c>
      <c r="X501" s="17">
        <v>0</v>
      </c>
      <c r="Y501" s="15" t="s">
        <v>2893</v>
      </c>
      <c r="Z501" s="18" t="s">
        <v>2930</v>
      </c>
      <c r="AA501" s="18"/>
      <c r="AB501" s="16"/>
      <c r="AC501" s="16"/>
      <c r="AD501" s="16"/>
      <c r="AE501" s="16" t="s">
        <v>2953</v>
      </c>
      <c r="AF501" s="16"/>
      <c r="AI501" s="3" t="str">
        <f t="shared" ca="1" si="7"/>
        <v>OK</v>
      </c>
    </row>
    <row r="502" spans="1:35" hidden="1" x14ac:dyDescent="0.3">
      <c r="A502" s="13">
        <v>46032</v>
      </c>
      <c r="B502" s="14" t="s">
        <v>2806</v>
      </c>
      <c r="C502" s="16"/>
      <c r="D502" s="16"/>
      <c r="E502" s="15" t="s">
        <v>872</v>
      </c>
      <c r="F502" s="15" t="s">
        <v>1258</v>
      </c>
      <c r="G502" s="15" t="s">
        <v>546</v>
      </c>
      <c r="H502" s="15"/>
      <c r="I502" s="15" t="s">
        <v>2239</v>
      </c>
      <c r="J502" s="15" t="s">
        <v>2240</v>
      </c>
      <c r="K502" s="16"/>
      <c r="L502" s="14" t="s">
        <v>2831</v>
      </c>
      <c r="M502" s="16"/>
      <c r="N502" s="15" t="s">
        <v>1141</v>
      </c>
      <c r="O502" s="14">
        <v>3.2</v>
      </c>
      <c r="P502" s="14" t="s">
        <v>2845</v>
      </c>
      <c r="Q502" s="14" cm="1">
        <f t="array" ref="Q502">_xlfn.IFS(P502="USD",O502,P502="VND",O502/26090,P502="JPY",O502/161)</f>
        <v>3.2</v>
      </c>
      <c r="R502" s="14">
        <v>7</v>
      </c>
      <c r="S502" s="14">
        <v>1</v>
      </c>
      <c r="T502" s="14"/>
      <c r="U502" s="14" t="s">
        <v>2849</v>
      </c>
      <c r="V502" s="14" t="s">
        <v>2857</v>
      </c>
      <c r="W502" s="14" t="s">
        <v>2858</v>
      </c>
      <c r="X502" s="17">
        <v>0</v>
      </c>
      <c r="Y502" s="15" t="s">
        <v>2893</v>
      </c>
      <c r="Z502" s="18" t="s">
        <v>2930</v>
      </c>
      <c r="AA502" s="18"/>
      <c r="AB502" s="16"/>
      <c r="AC502" s="16"/>
      <c r="AD502" s="16"/>
      <c r="AE502" s="16" t="s">
        <v>2953</v>
      </c>
      <c r="AF502" s="16"/>
      <c r="AI502" s="3" t="str">
        <f t="shared" ca="1" si="7"/>
        <v>OK</v>
      </c>
    </row>
    <row r="503" spans="1:35" hidden="1" x14ac:dyDescent="0.3">
      <c r="A503" s="13">
        <v>46032</v>
      </c>
      <c r="B503" s="14" t="s">
        <v>2806</v>
      </c>
      <c r="C503" s="16"/>
      <c r="D503" s="16"/>
      <c r="E503" s="15" t="s">
        <v>857</v>
      </c>
      <c r="F503" s="15" t="s">
        <v>912</v>
      </c>
      <c r="G503" s="15" t="s">
        <v>547</v>
      </c>
      <c r="H503" s="15"/>
      <c r="I503" s="15" t="s">
        <v>2241</v>
      </c>
      <c r="J503" s="15" t="s">
        <v>2242</v>
      </c>
      <c r="K503" s="16"/>
      <c r="L503" s="14" t="s">
        <v>2817</v>
      </c>
      <c r="M503" s="16"/>
      <c r="N503" s="15" t="s">
        <v>1079</v>
      </c>
      <c r="O503" s="14">
        <v>82.1</v>
      </c>
      <c r="P503" s="14" t="s">
        <v>2845</v>
      </c>
      <c r="Q503" s="14" cm="1">
        <f t="array" ref="Q503">_xlfn.IFS(P503="USD",O503,P503="VND",O503/26090,P503="JPY",O503/161)</f>
        <v>82.1</v>
      </c>
      <c r="R503" s="14">
        <v>35</v>
      </c>
      <c r="S503" s="14">
        <v>1</v>
      </c>
      <c r="T503" s="14"/>
      <c r="U503" s="14" t="s">
        <v>2848</v>
      </c>
      <c r="V503" s="14" t="s">
        <v>2857</v>
      </c>
      <c r="W503" s="14" t="s">
        <v>2858</v>
      </c>
      <c r="X503" s="17">
        <v>0</v>
      </c>
      <c r="Y503" s="15" t="s">
        <v>2875</v>
      </c>
      <c r="Z503" s="20">
        <v>46243</v>
      </c>
      <c r="AA503" s="20">
        <v>46608</v>
      </c>
      <c r="AB503" s="16"/>
      <c r="AC503" s="16"/>
      <c r="AD503" s="16"/>
      <c r="AE503" s="16" t="s">
        <v>2957</v>
      </c>
      <c r="AF503" s="16"/>
      <c r="AI503" s="3" t="str">
        <f t="shared" ca="1" si="7"/>
        <v>OK</v>
      </c>
    </row>
    <row r="504" spans="1:35" hidden="1" x14ac:dyDescent="0.3">
      <c r="A504" s="13">
        <v>46032</v>
      </c>
      <c r="B504" s="14" t="s">
        <v>2806</v>
      </c>
      <c r="C504" s="16"/>
      <c r="D504" s="16"/>
      <c r="E504" s="15" t="s">
        <v>872</v>
      </c>
      <c r="F504" s="15" t="s">
        <v>1258</v>
      </c>
      <c r="G504" s="15" t="s">
        <v>548</v>
      </c>
      <c r="H504" s="15"/>
      <c r="I504" s="15" t="s">
        <v>2243</v>
      </c>
      <c r="J504" s="15" t="s">
        <v>2244</v>
      </c>
      <c r="K504" s="16"/>
      <c r="L504" s="14" t="s">
        <v>2829</v>
      </c>
      <c r="M504" s="16"/>
      <c r="N504" s="15" t="s">
        <v>1142</v>
      </c>
      <c r="O504" s="14">
        <v>21.6</v>
      </c>
      <c r="P504" s="14" t="s">
        <v>2845</v>
      </c>
      <c r="Q504" s="14" cm="1">
        <f t="array" ref="Q504">_xlfn.IFS(P504="USD",O504,P504="VND",O504/26090,P504="JPY",O504/161)</f>
        <v>21.6</v>
      </c>
      <c r="R504" s="14">
        <v>7</v>
      </c>
      <c r="S504" s="14">
        <v>1</v>
      </c>
      <c r="T504" s="14"/>
      <c r="U504" s="14" t="s">
        <v>2849</v>
      </c>
      <c r="V504" s="14" t="s">
        <v>2857</v>
      </c>
      <c r="W504" s="14" t="s">
        <v>2858</v>
      </c>
      <c r="X504" s="17">
        <v>0</v>
      </c>
      <c r="Y504" s="15" t="s">
        <v>2893</v>
      </c>
      <c r="Z504" s="18" t="s">
        <v>2930</v>
      </c>
      <c r="AA504" s="18"/>
      <c r="AB504" s="16"/>
      <c r="AC504" s="16"/>
      <c r="AD504" s="16"/>
      <c r="AE504" s="16" t="s">
        <v>2953</v>
      </c>
      <c r="AF504" s="16"/>
      <c r="AI504" s="3" t="str">
        <f t="shared" ca="1" si="7"/>
        <v>OK</v>
      </c>
    </row>
    <row r="505" spans="1:35" hidden="1" x14ac:dyDescent="0.3">
      <c r="A505" s="13">
        <v>46032</v>
      </c>
      <c r="B505" s="14" t="s">
        <v>2806</v>
      </c>
      <c r="C505" s="16"/>
      <c r="D505" s="16"/>
      <c r="E505" s="15" t="s">
        <v>857</v>
      </c>
      <c r="F505" s="15" t="s">
        <v>912</v>
      </c>
      <c r="G505" s="15" t="s">
        <v>549</v>
      </c>
      <c r="H505" s="15"/>
      <c r="I505" s="15" t="s">
        <v>2245</v>
      </c>
      <c r="J505" s="15" t="s">
        <v>2246</v>
      </c>
      <c r="K505" s="16"/>
      <c r="L505" s="14" t="s">
        <v>2823</v>
      </c>
      <c r="M505" s="16"/>
      <c r="N505" s="15" t="s">
        <v>1143</v>
      </c>
      <c r="O505" s="14">
        <v>8.6</v>
      </c>
      <c r="P505" s="14" t="s">
        <v>2845</v>
      </c>
      <c r="Q505" s="14" cm="1">
        <f t="array" ref="Q505">_xlfn.IFS(P505="USD",O505,P505="VND",O505/26090,P505="JPY",O505/161)</f>
        <v>8.6</v>
      </c>
      <c r="R505" s="14">
        <v>35</v>
      </c>
      <c r="S505" s="14">
        <v>1</v>
      </c>
      <c r="T505" s="14"/>
      <c r="U505" s="14" t="s">
        <v>2848</v>
      </c>
      <c r="V505" s="14" t="s">
        <v>2857</v>
      </c>
      <c r="W505" s="14" t="s">
        <v>2858</v>
      </c>
      <c r="X505" s="17">
        <v>0</v>
      </c>
      <c r="Y505" s="15" t="s">
        <v>2875</v>
      </c>
      <c r="Z505" s="20">
        <v>46243</v>
      </c>
      <c r="AA505" s="20">
        <v>46608</v>
      </c>
      <c r="AB505" s="16"/>
      <c r="AC505" s="16"/>
      <c r="AD505" s="16"/>
      <c r="AE505" s="16" t="s">
        <v>2957</v>
      </c>
      <c r="AF505" s="16"/>
      <c r="AI505" s="3" t="str">
        <f t="shared" ca="1" si="7"/>
        <v>OK</v>
      </c>
    </row>
    <row r="506" spans="1:35" hidden="1" x14ac:dyDescent="0.3">
      <c r="A506" s="13">
        <v>46032</v>
      </c>
      <c r="B506" s="14" t="s">
        <v>2806</v>
      </c>
      <c r="C506" s="16"/>
      <c r="D506" s="16"/>
      <c r="E506" s="15" t="s">
        <v>857</v>
      </c>
      <c r="F506" s="15" t="s">
        <v>912</v>
      </c>
      <c r="G506" s="15" t="s">
        <v>550</v>
      </c>
      <c r="H506" s="15"/>
      <c r="I506" s="15" t="s">
        <v>2247</v>
      </c>
      <c r="J506" s="15" t="s">
        <v>2248</v>
      </c>
      <c r="K506" s="16"/>
      <c r="L506" s="14" t="s">
        <v>2823</v>
      </c>
      <c r="M506" s="16"/>
      <c r="N506" s="15" t="s">
        <v>1143</v>
      </c>
      <c r="O506" s="14">
        <v>6.22</v>
      </c>
      <c r="P506" s="14" t="s">
        <v>2845</v>
      </c>
      <c r="Q506" s="14" cm="1">
        <f t="array" ref="Q506">_xlfn.IFS(P506="USD",O506,P506="VND",O506/26090,P506="JPY",O506/161)</f>
        <v>6.22</v>
      </c>
      <c r="R506" s="14">
        <v>35</v>
      </c>
      <c r="S506" s="14">
        <v>1</v>
      </c>
      <c r="T506" s="14"/>
      <c r="U506" s="14" t="s">
        <v>2848</v>
      </c>
      <c r="V506" s="14" t="s">
        <v>2857</v>
      </c>
      <c r="W506" s="14" t="s">
        <v>2858</v>
      </c>
      <c r="X506" s="17">
        <v>0</v>
      </c>
      <c r="Y506" s="15" t="s">
        <v>2875</v>
      </c>
      <c r="Z506" s="20">
        <v>46243</v>
      </c>
      <c r="AA506" s="20">
        <v>46608</v>
      </c>
      <c r="AB506" s="16"/>
      <c r="AC506" s="16"/>
      <c r="AD506" s="16"/>
      <c r="AE506" s="16" t="s">
        <v>2957</v>
      </c>
      <c r="AF506" s="16"/>
      <c r="AI506" s="3" t="str">
        <f t="shared" ca="1" si="7"/>
        <v>OK</v>
      </c>
    </row>
    <row r="507" spans="1:35" hidden="1" x14ac:dyDescent="0.3">
      <c r="A507" s="13">
        <v>46032</v>
      </c>
      <c r="B507" s="14" t="s">
        <v>2806</v>
      </c>
      <c r="C507" s="16"/>
      <c r="D507" s="16"/>
      <c r="E507" s="15" t="s">
        <v>862</v>
      </c>
      <c r="F507" s="15" t="s">
        <v>1251</v>
      </c>
      <c r="G507" s="15" t="s">
        <v>551</v>
      </c>
      <c r="H507" s="15"/>
      <c r="I507" s="15" t="s">
        <v>2249</v>
      </c>
      <c r="J507" s="15" t="s">
        <v>2250</v>
      </c>
      <c r="K507" s="16"/>
      <c r="L507" s="14" t="s">
        <v>2831</v>
      </c>
      <c r="M507" s="16"/>
      <c r="N507" s="15" t="s">
        <v>1144</v>
      </c>
      <c r="O507" s="14">
        <v>235000</v>
      </c>
      <c r="P507" s="14" t="s">
        <v>2846</v>
      </c>
      <c r="Q507" s="14" cm="1">
        <f t="array" ref="Q507">_xlfn.IFS(P507="USD",O507,P507="VND",O507/26090,P507="JPY",O507/161)</f>
        <v>9.0072824837102345</v>
      </c>
      <c r="R507" s="14">
        <v>15</v>
      </c>
      <c r="S507" s="14">
        <v>300</v>
      </c>
      <c r="T507" s="14"/>
      <c r="U507" s="14" t="s">
        <v>2848</v>
      </c>
      <c r="V507" s="14" t="s">
        <v>2857</v>
      </c>
      <c r="W507" s="14" t="s">
        <v>2858</v>
      </c>
      <c r="X507" s="17">
        <v>0</v>
      </c>
      <c r="Y507" s="15" t="s">
        <v>2875</v>
      </c>
      <c r="Z507" s="18" t="s">
        <v>2929</v>
      </c>
      <c r="AA507" s="18" t="s">
        <v>2931</v>
      </c>
      <c r="AB507" s="16"/>
      <c r="AC507" s="16"/>
      <c r="AD507" s="16"/>
      <c r="AE507" s="16" t="s">
        <v>2933</v>
      </c>
      <c r="AF507" s="16"/>
      <c r="AI507" s="3" t="str">
        <f t="shared" ca="1" si="7"/>
        <v>OK</v>
      </c>
    </row>
    <row r="508" spans="1:35" hidden="1" x14ac:dyDescent="0.3">
      <c r="A508" s="13">
        <v>46032</v>
      </c>
      <c r="B508" s="14" t="s">
        <v>2806</v>
      </c>
      <c r="C508" s="16"/>
      <c r="D508" s="16"/>
      <c r="E508" s="15" t="s">
        <v>862</v>
      </c>
      <c r="F508" s="15" t="s">
        <v>1251</v>
      </c>
      <c r="G508" s="15" t="s">
        <v>552</v>
      </c>
      <c r="H508" s="15"/>
      <c r="I508" s="15" t="s">
        <v>2251</v>
      </c>
      <c r="J508" s="15" t="s">
        <v>2252</v>
      </c>
      <c r="K508" s="16"/>
      <c r="L508" s="14" t="s">
        <v>2831</v>
      </c>
      <c r="M508" s="16"/>
      <c r="N508" s="15" t="s">
        <v>1144</v>
      </c>
      <c r="O508" s="14">
        <v>145000</v>
      </c>
      <c r="P508" s="14" t="s">
        <v>2846</v>
      </c>
      <c r="Q508" s="14" cm="1">
        <f t="array" ref="Q508">_xlfn.IFS(P508="USD",O508,P508="VND",O508/26090,P508="JPY",O508/161)</f>
        <v>5.5576849367573784</v>
      </c>
      <c r="R508" s="14">
        <v>15</v>
      </c>
      <c r="S508" s="14">
        <v>100</v>
      </c>
      <c r="T508" s="14"/>
      <c r="U508" s="14" t="s">
        <v>2848</v>
      </c>
      <c r="V508" s="14" t="s">
        <v>2857</v>
      </c>
      <c r="W508" s="14" t="s">
        <v>2858</v>
      </c>
      <c r="X508" s="17">
        <v>0</v>
      </c>
      <c r="Y508" s="15" t="s">
        <v>2875</v>
      </c>
      <c r="Z508" s="18" t="s">
        <v>2929</v>
      </c>
      <c r="AA508" s="18" t="s">
        <v>2931</v>
      </c>
      <c r="AB508" s="16"/>
      <c r="AC508" s="16"/>
      <c r="AD508" s="16"/>
      <c r="AE508" s="16" t="s">
        <v>2933</v>
      </c>
      <c r="AF508" s="16"/>
      <c r="AI508" s="3" t="str">
        <f t="shared" ca="1" si="7"/>
        <v>OK</v>
      </c>
    </row>
    <row r="509" spans="1:35" x14ac:dyDescent="0.3">
      <c r="A509" s="13">
        <v>46032</v>
      </c>
      <c r="B509" s="14" t="s">
        <v>2806</v>
      </c>
      <c r="C509" s="16"/>
      <c r="D509" s="16"/>
      <c r="E509" s="15" t="s">
        <v>895</v>
      </c>
      <c r="F509" s="15" t="s">
        <v>909</v>
      </c>
      <c r="G509" s="15" t="s">
        <v>553</v>
      </c>
      <c r="H509" s="15"/>
      <c r="I509" s="15" t="s">
        <v>2253</v>
      </c>
      <c r="J509" s="15" t="s">
        <v>2254</v>
      </c>
      <c r="K509" s="16"/>
      <c r="L509" s="14" t="s">
        <v>2823</v>
      </c>
      <c r="M509" s="16"/>
      <c r="N509" s="15" t="s">
        <v>1145</v>
      </c>
      <c r="O509" s="14">
        <v>3.5999999999999999E-3</v>
      </c>
      <c r="P509" s="14" t="s">
        <v>2845</v>
      </c>
      <c r="Q509" s="14" cm="1">
        <f t="array" ref="Q509">_xlfn.IFS(P509="USD",O509,P509="VND",O509/26090,P509="JPY",O509/161)</f>
        <v>3.5999999999999999E-3</v>
      </c>
      <c r="R509" s="14">
        <v>150</v>
      </c>
      <c r="S509" s="14">
        <v>112000</v>
      </c>
      <c r="T509" s="14"/>
      <c r="U509" s="14" t="s">
        <v>2852</v>
      </c>
      <c r="V509" s="14" t="s">
        <v>2857</v>
      </c>
      <c r="W509" s="14" t="s">
        <v>2858</v>
      </c>
      <c r="X509" s="17">
        <v>0</v>
      </c>
      <c r="Y509" s="15" t="s">
        <v>2903</v>
      </c>
      <c r="Z509" s="20">
        <v>46235</v>
      </c>
      <c r="AA509" s="23">
        <v>46237</v>
      </c>
      <c r="AB509" s="16"/>
      <c r="AC509" s="16"/>
      <c r="AD509" s="16"/>
      <c r="AE509" s="16" t="s">
        <v>2916</v>
      </c>
      <c r="AF509" s="16"/>
      <c r="AI509" s="3" t="str">
        <f t="shared" ca="1" si="7"/>
        <v>NG</v>
      </c>
    </row>
    <row r="510" spans="1:35" x14ac:dyDescent="0.3">
      <c r="A510" s="13">
        <v>46032</v>
      </c>
      <c r="B510" s="14" t="s">
        <v>2806</v>
      </c>
      <c r="C510" s="16"/>
      <c r="D510" s="16"/>
      <c r="E510" s="15" t="s">
        <v>895</v>
      </c>
      <c r="F510" s="15" t="s">
        <v>909</v>
      </c>
      <c r="G510" s="15" t="s">
        <v>554</v>
      </c>
      <c r="H510" s="15"/>
      <c r="I510" s="15" t="s">
        <v>2255</v>
      </c>
      <c r="J510" s="15" t="s">
        <v>2256</v>
      </c>
      <c r="K510" s="16"/>
      <c r="L510" s="14" t="s">
        <v>2823</v>
      </c>
      <c r="M510" s="16"/>
      <c r="N510" s="15" t="s">
        <v>1145</v>
      </c>
      <c r="O510" s="14">
        <v>2.2000000000000001E-3</v>
      </c>
      <c r="P510" s="14" t="s">
        <v>2845</v>
      </c>
      <c r="Q510" s="14" cm="1">
        <f t="array" ref="Q510">_xlfn.IFS(P510="USD",O510,P510="VND",O510/26090,P510="JPY",O510/161)</f>
        <v>2.2000000000000001E-3</v>
      </c>
      <c r="R510" s="14">
        <v>150</v>
      </c>
      <c r="S510" s="14">
        <v>112000</v>
      </c>
      <c r="T510" s="14"/>
      <c r="U510" s="14" t="s">
        <v>2852</v>
      </c>
      <c r="V510" s="14" t="s">
        <v>2857</v>
      </c>
      <c r="W510" s="14" t="s">
        <v>2858</v>
      </c>
      <c r="X510" s="17">
        <v>0</v>
      </c>
      <c r="Y510" s="15" t="s">
        <v>2903</v>
      </c>
      <c r="Z510" s="20">
        <v>46235</v>
      </c>
      <c r="AA510" s="23">
        <v>46237</v>
      </c>
      <c r="AB510" s="16"/>
      <c r="AC510" s="16"/>
      <c r="AD510" s="16"/>
      <c r="AE510" s="16" t="s">
        <v>2916</v>
      </c>
      <c r="AF510" s="16"/>
      <c r="AI510" s="3" t="str">
        <f t="shared" ca="1" si="7"/>
        <v>NG</v>
      </c>
    </row>
    <row r="511" spans="1:35" x14ac:dyDescent="0.3">
      <c r="A511" s="13">
        <v>46032</v>
      </c>
      <c r="B511" s="14" t="s">
        <v>2806</v>
      </c>
      <c r="C511" s="16"/>
      <c r="D511" s="16"/>
      <c r="E511" s="15" t="s">
        <v>895</v>
      </c>
      <c r="F511" s="15" t="s">
        <v>909</v>
      </c>
      <c r="G511" s="15" t="s">
        <v>555</v>
      </c>
      <c r="H511" s="15"/>
      <c r="I511" s="15" t="s">
        <v>2257</v>
      </c>
      <c r="J511" s="15" t="s">
        <v>2258</v>
      </c>
      <c r="K511" s="16"/>
      <c r="L511" s="14" t="s">
        <v>2823</v>
      </c>
      <c r="M511" s="16"/>
      <c r="N511" s="15" t="s">
        <v>1145</v>
      </c>
      <c r="O511" s="14">
        <v>2.8999999999999998E-3</v>
      </c>
      <c r="P511" s="14" t="s">
        <v>2845</v>
      </c>
      <c r="Q511" s="14" cm="1">
        <f t="array" ref="Q511">_xlfn.IFS(P511="USD",O511,P511="VND",O511/26090,P511="JPY",O511/161)</f>
        <v>2.8999999999999998E-3</v>
      </c>
      <c r="R511" s="14">
        <v>150</v>
      </c>
      <c r="S511" s="14">
        <v>112000</v>
      </c>
      <c r="T511" s="14"/>
      <c r="U511" s="14" t="s">
        <v>2852</v>
      </c>
      <c r="V511" s="14" t="s">
        <v>2857</v>
      </c>
      <c r="W511" s="14" t="s">
        <v>2858</v>
      </c>
      <c r="X511" s="17">
        <v>0</v>
      </c>
      <c r="Y511" s="15" t="s">
        <v>2903</v>
      </c>
      <c r="Z511" s="20">
        <v>46235</v>
      </c>
      <c r="AA511" s="23">
        <v>46237</v>
      </c>
      <c r="AB511" s="16"/>
      <c r="AC511" s="16"/>
      <c r="AD511" s="16"/>
      <c r="AE511" s="16" t="s">
        <v>2916</v>
      </c>
      <c r="AF511" s="16"/>
      <c r="AI511" s="3" t="str">
        <f t="shared" ca="1" si="7"/>
        <v>NG</v>
      </c>
    </row>
    <row r="512" spans="1:35" x14ac:dyDescent="0.3">
      <c r="A512" s="13">
        <v>46032</v>
      </c>
      <c r="B512" s="14" t="s">
        <v>2806</v>
      </c>
      <c r="C512" s="16"/>
      <c r="D512" s="16"/>
      <c r="E512" s="15" t="s">
        <v>895</v>
      </c>
      <c r="F512" s="15" t="s">
        <v>909</v>
      </c>
      <c r="G512" s="15" t="s">
        <v>556</v>
      </c>
      <c r="H512" s="15"/>
      <c r="I512" s="15" t="s">
        <v>2259</v>
      </c>
      <c r="J512" s="15" t="s">
        <v>2260</v>
      </c>
      <c r="K512" s="16"/>
      <c r="L512" s="14" t="s">
        <v>2823</v>
      </c>
      <c r="M512" s="16"/>
      <c r="N512" s="15" t="s">
        <v>1145</v>
      </c>
      <c r="O512" s="14">
        <v>2.0999999999999999E-3</v>
      </c>
      <c r="P512" s="14" t="s">
        <v>2845</v>
      </c>
      <c r="Q512" s="14" cm="1">
        <f t="array" ref="Q512">_xlfn.IFS(P512="USD",O512,P512="VND",O512/26090,P512="JPY",O512/161)</f>
        <v>2.0999999999999999E-3</v>
      </c>
      <c r="R512" s="14">
        <v>150</v>
      </c>
      <c r="S512" s="14">
        <v>112000</v>
      </c>
      <c r="T512" s="14"/>
      <c r="U512" s="14" t="s">
        <v>2852</v>
      </c>
      <c r="V512" s="14" t="s">
        <v>2857</v>
      </c>
      <c r="W512" s="14" t="s">
        <v>2858</v>
      </c>
      <c r="X512" s="17">
        <v>0</v>
      </c>
      <c r="Y512" s="15" t="s">
        <v>2903</v>
      </c>
      <c r="Z512" s="20">
        <v>46235</v>
      </c>
      <c r="AA512" s="23">
        <v>46237</v>
      </c>
      <c r="AB512" s="16"/>
      <c r="AC512" s="16"/>
      <c r="AD512" s="16"/>
      <c r="AE512" s="16" t="s">
        <v>2916</v>
      </c>
      <c r="AF512" s="16"/>
      <c r="AI512" s="3" t="str">
        <f t="shared" ca="1" si="7"/>
        <v>NG</v>
      </c>
    </row>
    <row r="513" spans="1:35" x14ac:dyDescent="0.3">
      <c r="A513" s="13">
        <v>46032</v>
      </c>
      <c r="B513" s="14" t="s">
        <v>2806</v>
      </c>
      <c r="C513" s="16"/>
      <c r="D513" s="16"/>
      <c r="E513" s="15" t="s">
        <v>895</v>
      </c>
      <c r="F513" s="15" t="s">
        <v>909</v>
      </c>
      <c r="G513" s="15" t="s">
        <v>557</v>
      </c>
      <c r="H513" s="15"/>
      <c r="I513" s="15" t="s">
        <v>2261</v>
      </c>
      <c r="J513" s="15" t="s">
        <v>2262</v>
      </c>
      <c r="K513" s="16"/>
      <c r="L513" s="14" t="s">
        <v>2823</v>
      </c>
      <c r="M513" s="16"/>
      <c r="N513" s="15" t="s">
        <v>1145</v>
      </c>
      <c r="O513" s="14">
        <v>2.3E-3</v>
      </c>
      <c r="P513" s="14" t="s">
        <v>2845</v>
      </c>
      <c r="Q513" s="14" cm="1">
        <f t="array" ref="Q513">_xlfn.IFS(P513="USD",O513,P513="VND",O513/26090,P513="JPY",O513/161)</f>
        <v>2.3E-3</v>
      </c>
      <c r="R513" s="14">
        <v>150</v>
      </c>
      <c r="S513" s="14">
        <v>448000</v>
      </c>
      <c r="T513" s="14"/>
      <c r="U513" s="14" t="s">
        <v>2852</v>
      </c>
      <c r="V513" s="14" t="s">
        <v>2857</v>
      </c>
      <c r="W513" s="14" t="s">
        <v>2858</v>
      </c>
      <c r="X513" s="17">
        <v>0</v>
      </c>
      <c r="Y513" s="15" t="s">
        <v>2903</v>
      </c>
      <c r="Z513" s="20">
        <v>46235</v>
      </c>
      <c r="AA513" s="23">
        <v>46237</v>
      </c>
      <c r="AB513" s="16"/>
      <c r="AC513" s="16"/>
      <c r="AD513" s="16"/>
      <c r="AE513" s="16" t="s">
        <v>2916</v>
      </c>
      <c r="AF513" s="16"/>
      <c r="AI513" s="3" t="str">
        <f t="shared" ca="1" si="7"/>
        <v>NG</v>
      </c>
    </row>
    <row r="514" spans="1:35" hidden="1" x14ac:dyDescent="0.3">
      <c r="A514" s="13">
        <v>46032</v>
      </c>
      <c r="B514" s="14" t="s">
        <v>2806</v>
      </c>
      <c r="C514" s="16"/>
      <c r="D514" s="16"/>
      <c r="E514" s="15" t="s">
        <v>897</v>
      </c>
      <c r="F514" s="15" t="s">
        <v>911</v>
      </c>
      <c r="G514" s="15" t="s">
        <v>558</v>
      </c>
      <c r="H514" s="15"/>
      <c r="I514" s="15" t="s">
        <v>2263</v>
      </c>
      <c r="J514" s="15" t="s">
        <v>2264</v>
      </c>
      <c r="K514" s="16"/>
      <c r="L514" s="14" t="s">
        <v>2823</v>
      </c>
      <c r="M514" s="16"/>
      <c r="N514" s="15" t="s">
        <v>1147</v>
      </c>
      <c r="O514" s="14">
        <v>1.1999999999999999E-3</v>
      </c>
      <c r="P514" s="14" t="s">
        <v>2845</v>
      </c>
      <c r="Q514" s="14" cm="1">
        <f t="array" ref="Q514">_xlfn.IFS(P514="USD",O514,P514="VND",O514/26090,P514="JPY",O514/161)</f>
        <v>1.1999999999999999E-3</v>
      </c>
      <c r="R514" s="14">
        <v>90</v>
      </c>
      <c r="S514" s="14">
        <v>448000</v>
      </c>
      <c r="T514" s="14"/>
      <c r="U514" s="14" t="s">
        <v>2848</v>
      </c>
      <c r="V514" s="14" t="s">
        <v>2857</v>
      </c>
      <c r="W514" s="14" t="s">
        <v>2858</v>
      </c>
      <c r="X514" s="17">
        <v>0</v>
      </c>
      <c r="Y514" s="15" t="s">
        <v>2904</v>
      </c>
      <c r="Z514" s="18" t="s">
        <v>2948</v>
      </c>
      <c r="AA514" s="18"/>
      <c r="AB514" s="16"/>
      <c r="AC514" s="16"/>
      <c r="AD514" s="16"/>
      <c r="AE514" s="16" t="s">
        <v>2947</v>
      </c>
      <c r="AF514" s="16"/>
      <c r="AI514" s="3" t="str">
        <f t="shared" ca="1" si="7"/>
        <v>OK</v>
      </c>
    </row>
    <row r="515" spans="1:35" hidden="1" x14ac:dyDescent="0.3">
      <c r="A515" s="13">
        <v>46032</v>
      </c>
      <c r="B515" s="14" t="s">
        <v>2806</v>
      </c>
      <c r="C515" s="16"/>
      <c r="D515" s="16"/>
      <c r="E515" s="15" t="s">
        <v>897</v>
      </c>
      <c r="F515" s="15" t="s">
        <v>911</v>
      </c>
      <c r="G515" s="15" t="s">
        <v>559</v>
      </c>
      <c r="H515" s="15"/>
      <c r="I515" s="15" t="s">
        <v>2265</v>
      </c>
      <c r="J515" s="15" t="s">
        <v>2266</v>
      </c>
      <c r="K515" s="16"/>
      <c r="L515" s="14" t="s">
        <v>2823</v>
      </c>
      <c r="M515" s="16"/>
      <c r="N515" s="15" t="s">
        <v>1147</v>
      </c>
      <c r="O515" s="14">
        <v>6.9999999999999999E-4</v>
      </c>
      <c r="P515" s="14" t="s">
        <v>2845</v>
      </c>
      <c r="Q515" s="14" cm="1">
        <f t="array" ref="Q515">_xlfn.IFS(P515="USD",O515,P515="VND",O515/26090,P515="JPY",O515/161)</f>
        <v>6.9999999999999999E-4</v>
      </c>
      <c r="R515" s="14">
        <v>90</v>
      </c>
      <c r="S515" s="14">
        <v>448000</v>
      </c>
      <c r="T515" s="14"/>
      <c r="U515" s="14" t="s">
        <v>2848</v>
      </c>
      <c r="V515" s="14" t="s">
        <v>2857</v>
      </c>
      <c r="W515" s="14" t="s">
        <v>2858</v>
      </c>
      <c r="X515" s="17">
        <v>0</v>
      </c>
      <c r="Y515" s="15" t="s">
        <v>2904</v>
      </c>
      <c r="Z515" s="18" t="s">
        <v>2948</v>
      </c>
      <c r="AA515" s="18"/>
      <c r="AB515" s="16"/>
      <c r="AC515" s="16"/>
      <c r="AD515" s="16"/>
      <c r="AE515" s="16" t="s">
        <v>2947</v>
      </c>
      <c r="AF515" s="16"/>
      <c r="AI515" s="3" t="str">
        <f t="shared" ref="AI515:AI578" ca="1" si="8">IF(AA515="","OK",IF(AA515&lt;TODAY(),"NG","OK"))</f>
        <v>OK</v>
      </c>
    </row>
    <row r="516" spans="1:35" hidden="1" x14ac:dyDescent="0.3">
      <c r="A516" s="13">
        <v>46032</v>
      </c>
      <c r="B516" s="14" t="s">
        <v>2806</v>
      </c>
      <c r="C516" s="16"/>
      <c r="D516" s="16"/>
      <c r="E516" s="15" t="s">
        <v>897</v>
      </c>
      <c r="F516" s="15" t="s">
        <v>911</v>
      </c>
      <c r="G516" s="15" t="s">
        <v>560</v>
      </c>
      <c r="H516" s="15"/>
      <c r="I516" s="15" t="s">
        <v>2267</v>
      </c>
      <c r="J516" s="15" t="s">
        <v>2268</v>
      </c>
      <c r="K516" s="16"/>
      <c r="L516" s="14" t="s">
        <v>2823</v>
      </c>
      <c r="M516" s="16"/>
      <c r="N516" s="15" t="s">
        <v>1147</v>
      </c>
      <c r="O516" s="14">
        <v>8.9999999999999998E-4</v>
      </c>
      <c r="P516" s="14" t="s">
        <v>2845</v>
      </c>
      <c r="Q516" s="14" cm="1">
        <f t="array" ref="Q516">_xlfn.IFS(P516="USD",O516,P516="VND",O516/26090,P516="JPY",O516/161)</f>
        <v>8.9999999999999998E-4</v>
      </c>
      <c r="R516" s="14">
        <v>90</v>
      </c>
      <c r="S516" s="14">
        <v>448000</v>
      </c>
      <c r="T516" s="14"/>
      <c r="U516" s="14" t="s">
        <v>2848</v>
      </c>
      <c r="V516" s="14" t="s">
        <v>2857</v>
      </c>
      <c r="W516" s="14" t="s">
        <v>2858</v>
      </c>
      <c r="X516" s="17">
        <v>0</v>
      </c>
      <c r="Y516" s="15" t="s">
        <v>2905</v>
      </c>
      <c r="Z516" s="18" t="s">
        <v>2948</v>
      </c>
      <c r="AA516" s="18"/>
      <c r="AB516" s="16"/>
      <c r="AC516" s="16"/>
      <c r="AD516" s="16"/>
      <c r="AE516" s="16" t="s">
        <v>2947</v>
      </c>
      <c r="AF516" s="16"/>
      <c r="AI516" s="3" t="str">
        <f t="shared" ca="1" si="8"/>
        <v>OK</v>
      </c>
    </row>
    <row r="517" spans="1:35" hidden="1" x14ac:dyDescent="0.3">
      <c r="A517" s="13">
        <v>46032</v>
      </c>
      <c r="B517" s="14" t="s">
        <v>2806</v>
      </c>
      <c r="C517" s="16"/>
      <c r="D517" s="16"/>
      <c r="E517" s="15" t="s">
        <v>897</v>
      </c>
      <c r="F517" s="15" t="s">
        <v>911</v>
      </c>
      <c r="G517" s="15" t="s">
        <v>561</v>
      </c>
      <c r="H517" s="15"/>
      <c r="I517" s="15" t="s">
        <v>2269</v>
      </c>
      <c r="J517" s="15" t="s">
        <v>2270</v>
      </c>
      <c r="K517" s="16"/>
      <c r="L517" s="14" t="s">
        <v>2823</v>
      </c>
      <c r="M517" s="16"/>
      <c r="N517" s="15" t="s">
        <v>1147</v>
      </c>
      <c r="O517" s="14">
        <v>8.0000000000000004E-4</v>
      </c>
      <c r="P517" s="14" t="s">
        <v>2845</v>
      </c>
      <c r="Q517" s="14" cm="1">
        <f t="array" ref="Q517">_xlfn.IFS(P517="USD",O517,P517="VND",O517/26090,P517="JPY",O517/161)</f>
        <v>8.0000000000000004E-4</v>
      </c>
      <c r="R517" s="14">
        <v>90</v>
      </c>
      <c r="S517" s="14">
        <v>448000</v>
      </c>
      <c r="T517" s="14"/>
      <c r="U517" s="14" t="s">
        <v>2848</v>
      </c>
      <c r="V517" s="14" t="s">
        <v>2857</v>
      </c>
      <c r="W517" s="14" t="s">
        <v>2858</v>
      </c>
      <c r="X517" s="17">
        <v>0</v>
      </c>
      <c r="Y517" s="15" t="s">
        <v>2904</v>
      </c>
      <c r="Z517" s="18" t="s">
        <v>2948</v>
      </c>
      <c r="AA517" s="18"/>
      <c r="AB517" s="16"/>
      <c r="AC517" s="16"/>
      <c r="AD517" s="16"/>
      <c r="AE517" s="16" t="s">
        <v>2947</v>
      </c>
      <c r="AF517" s="16"/>
      <c r="AI517" s="3" t="str">
        <f t="shared" ca="1" si="8"/>
        <v>OK</v>
      </c>
    </row>
    <row r="518" spans="1:35" x14ac:dyDescent="0.3">
      <c r="A518" s="13">
        <v>46032</v>
      </c>
      <c r="B518" s="14" t="s">
        <v>2806</v>
      </c>
      <c r="C518" s="16"/>
      <c r="D518" s="16"/>
      <c r="E518" s="15" t="s">
        <v>895</v>
      </c>
      <c r="F518" s="15" t="s">
        <v>909</v>
      </c>
      <c r="G518" s="15" t="s">
        <v>562</v>
      </c>
      <c r="H518" s="15"/>
      <c r="I518" s="15" t="s">
        <v>2271</v>
      </c>
      <c r="J518" s="15" t="s">
        <v>2272</v>
      </c>
      <c r="K518" s="16"/>
      <c r="L518" s="14" t="s">
        <v>2823</v>
      </c>
      <c r="M518" s="16"/>
      <c r="N518" s="15" t="s">
        <v>1145</v>
      </c>
      <c r="O518" s="14">
        <v>3.7000000000000002E-3</v>
      </c>
      <c r="P518" s="14" t="s">
        <v>2845</v>
      </c>
      <c r="Q518" s="14" cm="1">
        <f t="array" ref="Q518">_xlfn.IFS(P518="USD",O518,P518="VND",O518/26090,P518="JPY",O518/161)</f>
        <v>3.7000000000000002E-3</v>
      </c>
      <c r="R518" s="14">
        <v>150</v>
      </c>
      <c r="S518" s="14">
        <v>30000</v>
      </c>
      <c r="T518" s="14"/>
      <c r="U518" s="14" t="s">
        <v>2852</v>
      </c>
      <c r="V518" s="14" t="s">
        <v>2857</v>
      </c>
      <c r="W518" s="14" t="s">
        <v>2858</v>
      </c>
      <c r="X518" s="17">
        <v>0</v>
      </c>
      <c r="Y518" s="15" t="s">
        <v>2903</v>
      </c>
      <c r="Z518" s="20">
        <v>46235</v>
      </c>
      <c r="AA518" s="23">
        <v>46237</v>
      </c>
      <c r="AB518" s="16"/>
      <c r="AC518" s="16"/>
      <c r="AD518" s="16"/>
      <c r="AE518" s="16" t="s">
        <v>2916</v>
      </c>
      <c r="AF518" s="16"/>
      <c r="AI518" s="3" t="str">
        <f t="shared" ca="1" si="8"/>
        <v>NG</v>
      </c>
    </row>
    <row r="519" spans="1:35" hidden="1" x14ac:dyDescent="0.3">
      <c r="A519" s="13">
        <v>46032</v>
      </c>
      <c r="B519" s="14" t="s">
        <v>2806</v>
      </c>
      <c r="C519" s="16"/>
      <c r="D519" s="16"/>
      <c r="E519" s="15" t="s">
        <v>849</v>
      </c>
      <c r="F519" s="15" t="s">
        <v>1243</v>
      </c>
      <c r="G519" s="15" t="s">
        <v>563</v>
      </c>
      <c r="H519" s="15"/>
      <c r="I519" s="15" t="s">
        <v>2273</v>
      </c>
      <c r="J519" s="15" t="s">
        <v>2274</v>
      </c>
      <c r="K519" s="16"/>
      <c r="L519" s="14" t="s">
        <v>2823</v>
      </c>
      <c r="M519" s="16"/>
      <c r="N519" s="15" t="s">
        <v>1148</v>
      </c>
      <c r="O519" s="14">
        <v>2.25</v>
      </c>
      <c r="P519" s="14" t="s">
        <v>2845</v>
      </c>
      <c r="Q519" s="14" cm="1">
        <f t="array" ref="Q519">_xlfn.IFS(P519="USD",O519,P519="VND",O519/26090,P519="JPY",O519/161)</f>
        <v>2.25</v>
      </c>
      <c r="R519" s="14">
        <v>30</v>
      </c>
      <c r="S519" s="14">
        <v>1</v>
      </c>
      <c r="T519" s="14"/>
      <c r="U519" s="14" t="s">
        <v>2849</v>
      </c>
      <c r="V519" s="14" t="s">
        <v>2857</v>
      </c>
      <c r="W519" s="14" t="s">
        <v>2858</v>
      </c>
      <c r="X519" s="17">
        <v>0</v>
      </c>
      <c r="Y519" s="15" t="s">
        <v>2875</v>
      </c>
      <c r="Z519" s="20">
        <v>46028</v>
      </c>
      <c r="AA519" s="20">
        <v>46393</v>
      </c>
      <c r="AB519" s="16"/>
      <c r="AC519" s="16"/>
      <c r="AD519" s="16"/>
      <c r="AE519" s="16" t="s">
        <v>2959</v>
      </c>
      <c r="AF519" s="16"/>
      <c r="AI519" s="3" t="str">
        <f t="shared" ca="1" si="8"/>
        <v>OK</v>
      </c>
    </row>
    <row r="520" spans="1:35" hidden="1" x14ac:dyDescent="0.3">
      <c r="A520" s="13">
        <v>46032</v>
      </c>
      <c r="B520" s="14" t="s">
        <v>2806</v>
      </c>
      <c r="C520" s="16"/>
      <c r="D520" s="16"/>
      <c r="E520" s="15" t="s">
        <v>849</v>
      </c>
      <c r="F520" s="15" t="s">
        <v>1243</v>
      </c>
      <c r="G520" s="15" t="s">
        <v>564</v>
      </c>
      <c r="H520" s="15"/>
      <c r="I520" s="15" t="s">
        <v>2275</v>
      </c>
      <c r="J520" s="15" t="s">
        <v>2276</v>
      </c>
      <c r="K520" s="16"/>
      <c r="L520" s="14" t="s">
        <v>2823</v>
      </c>
      <c r="M520" s="16"/>
      <c r="N520" s="15" t="s">
        <v>1148</v>
      </c>
      <c r="O520" s="14">
        <v>2.25</v>
      </c>
      <c r="P520" s="14" t="s">
        <v>2845</v>
      </c>
      <c r="Q520" s="14" cm="1">
        <f t="array" ref="Q520">_xlfn.IFS(P520="USD",O520,P520="VND",O520/26090,P520="JPY",O520/161)</f>
        <v>2.25</v>
      </c>
      <c r="R520" s="14">
        <v>30</v>
      </c>
      <c r="S520" s="14">
        <v>1</v>
      </c>
      <c r="T520" s="14"/>
      <c r="U520" s="14" t="s">
        <v>2849</v>
      </c>
      <c r="V520" s="14" t="s">
        <v>2857</v>
      </c>
      <c r="W520" s="14" t="s">
        <v>2858</v>
      </c>
      <c r="X520" s="17">
        <v>0</v>
      </c>
      <c r="Y520" s="15" t="s">
        <v>2875</v>
      </c>
      <c r="Z520" s="20">
        <v>46028</v>
      </c>
      <c r="AA520" s="20">
        <v>46393</v>
      </c>
      <c r="AB520" s="16"/>
      <c r="AC520" s="16"/>
      <c r="AD520" s="16"/>
      <c r="AE520" s="16" t="s">
        <v>2959</v>
      </c>
      <c r="AF520" s="16"/>
      <c r="AI520" s="3" t="str">
        <f t="shared" ca="1" si="8"/>
        <v>OK</v>
      </c>
    </row>
    <row r="521" spans="1:35" hidden="1" x14ac:dyDescent="0.3">
      <c r="A521" s="13">
        <v>46032</v>
      </c>
      <c r="B521" s="14" t="s">
        <v>2806</v>
      </c>
      <c r="C521" s="16"/>
      <c r="D521" s="16"/>
      <c r="E521" s="15" t="s">
        <v>849</v>
      </c>
      <c r="F521" s="15" t="s">
        <v>1243</v>
      </c>
      <c r="G521" s="15" t="s">
        <v>565</v>
      </c>
      <c r="H521" s="15"/>
      <c r="I521" s="15" t="s">
        <v>2277</v>
      </c>
      <c r="J521" s="15" t="s">
        <v>2278</v>
      </c>
      <c r="K521" s="16"/>
      <c r="L521" s="14" t="s">
        <v>2823</v>
      </c>
      <c r="M521" s="16"/>
      <c r="N521" s="15" t="s">
        <v>1148</v>
      </c>
      <c r="O521" s="14">
        <v>1.95</v>
      </c>
      <c r="P521" s="14" t="s">
        <v>2845</v>
      </c>
      <c r="Q521" s="14" cm="1">
        <f t="array" ref="Q521">_xlfn.IFS(P521="USD",O521,P521="VND",O521/26090,P521="JPY",O521/161)</f>
        <v>1.95</v>
      </c>
      <c r="R521" s="14">
        <v>30</v>
      </c>
      <c r="S521" s="14">
        <v>1</v>
      </c>
      <c r="T521" s="14"/>
      <c r="U521" s="14" t="s">
        <v>2849</v>
      </c>
      <c r="V521" s="14" t="s">
        <v>2857</v>
      </c>
      <c r="W521" s="14" t="s">
        <v>2858</v>
      </c>
      <c r="X521" s="17">
        <v>0</v>
      </c>
      <c r="Y521" s="15" t="s">
        <v>2875</v>
      </c>
      <c r="Z521" s="20">
        <v>46028</v>
      </c>
      <c r="AA521" s="20">
        <v>46393</v>
      </c>
      <c r="AB521" s="16"/>
      <c r="AC521" s="16"/>
      <c r="AD521" s="16"/>
      <c r="AE521" s="16" t="s">
        <v>2959</v>
      </c>
      <c r="AF521" s="16"/>
      <c r="AI521" s="3" t="str">
        <f t="shared" ca="1" si="8"/>
        <v>OK</v>
      </c>
    </row>
    <row r="522" spans="1:35" hidden="1" x14ac:dyDescent="0.3">
      <c r="A522" s="13">
        <v>46032</v>
      </c>
      <c r="B522" s="14" t="s">
        <v>2806</v>
      </c>
      <c r="C522" s="16"/>
      <c r="D522" s="16"/>
      <c r="E522" s="15" t="s">
        <v>849</v>
      </c>
      <c r="F522" s="15" t="s">
        <v>1243</v>
      </c>
      <c r="G522" s="15" t="s">
        <v>566</v>
      </c>
      <c r="H522" s="15"/>
      <c r="I522" s="15" t="s">
        <v>2279</v>
      </c>
      <c r="J522" s="15" t="s">
        <v>2280</v>
      </c>
      <c r="K522" s="16"/>
      <c r="L522" s="14" t="s">
        <v>2823</v>
      </c>
      <c r="M522" s="16"/>
      <c r="N522" s="15" t="s">
        <v>1148</v>
      </c>
      <c r="O522" s="14">
        <v>2.2999999999999998</v>
      </c>
      <c r="P522" s="14" t="s">
        <v>2845</v>
      </c>
      <c r="Q522" s="14" cm="1">
        <f t="array" ref="Q522">_xlfn.IFS(P522="USD",O522,P522="VND",O522/26090,P522="JPY",O522/161)</f>
        <v>2.2999999999999998</v>
      </c>
      <c r="R522" s="14">
        <v>30</v>
      </c>
      <c r="S522" s="14">
        <v>1</v>
      </c>
      <c r="T522" s="14"/>
      <c r="U522" s="14" t="s">
        <v>2849</v>
      </c>
      <c r="V522" s="14" t="s">
        <v>2857</v>
      </c>
      <c r="W522" s="14" t="s">
        <v>2858</v>
      </c>
      <c r="X522" s="17">
        <v>0</v>
      </c>
      <c r="Y522" s="15" t="s">
        <v>2875</v>
      </c>
      <c r="Z522" s="20">
        <v>46028</v>
      </c>
      <c r="AA522" s="20">
        <v>46393</v>
      </c>
      <c r="AB522" s="16"/>
      <c r="AC522" s="16"/>
      <c r="AD522" s="16"/>
      <c r="AE522" s="16" t="s">
        <v>2959</v>
      </c>
      <c r="AF522" s="16"/>
      <c r="AI522" s="3" t="str">
        <f t="shared" ca="1" si="8"/>
        <v>OK</v>
      </c>
    </row>
    <row r="523" spans="1:35" hidden="1" x14ac:dyDescent="0.3">
      <c r="A523" s="13">
        <v>46032</v>
      </c>
      <c r="B523" s="14" t="s">
        <v>2806</v>
      </c>
      <c r="C523" s="16"/>
      <c r="D523" s="16"/>
      <c r="E523" s="15" t="s">
        <v>849</v>
      </c>
      <c r="F523" s="15" t="s">
        <v>1243</v>
      </c>
      <c r="G523" s="15" t="s">
        <v>567</v>
      </c>
      <c r="H523" s="15"/>
      <c r="I523" s="15" t="s">
        <v>2281</v>
      </c>
      <c r="J523" s="15" t="s">
        <v>2282</v>
      </c>
      <c r="K523" s="16"/>
      <c r="L523" s="14" t="s">
        <v>2823</v>
      </c>
      <c r="M523" s="16"/>
      <c r="N523" s="15" t="s">
        <v>1148</v>
      </c>
      <c r="O523" s="14">
        <v>1.95</v>
      </c>
      <c r="P523" s="14" t="s">
        <v>2845</v>
      </c>
      <c r="Q523" s="14" cm="1">
        <f t="array" ref="Q523">_xlfn.IFS(P523="USD",O523,P523="VND",O523/26090,P523="JPY",O523/161)</f>
        <v>1.95</v>
      </c>
      <c r="R523" s="14">
        <v>30</v>
      </c>
      <c r="S523" s="14">
        <v>1</v>
      </c>
      <c r="T523" s="14"/>
      <c r="U523" s="14" t="s">
        <v>2849</v>
      </c>
      <c r="V523" s="14" t="s">
        <v>2857</v>
      </c>
      <c r="W523" s="14" t="s">
        <v>2858</v>
      </c>
      <c r="X523" s="17">
        <v>0</v>
      </c>
      <c r="Y523" s="15" t="s">
        <v>2875</v>
      </c>
      <c r="Z523" s="20">
        <v>46028</v>
      </c>
      <c r="AA523" s="20">
        <v>46393</v>
      </c>
      <c r="AB523" s="16"/>
      <c r="AC523" s="16"/>
      <c r="AD523" s="16"/>
      <c r="AE523" s="16" t="s">
        <v>2959</v>
      </c>
      <c r="AF523" s="16"/>
      <c r="AI523" s="3" t="str">
        <f t="shared" ca="1" si="8"/>
        <v>OK</v>
      </c>
    </row>
    <row r="524" spans="1:35" hidden="1" x14ac:dyDescent="0.3">
      <c r="A524" s="13">
        <v>46032</v>
      </c>
      <c r="B524" s="14" t="s">
        <v>2806</v>
      </c>
      <c r="C524" s="16"/>
      <c r="D524" s="16"/>
      <c r="E524" s="15" t="s">
        <v>849</v>
      </c>
      <c r="F524" s="15" t="s">
        <v>1243</v>
      </c>
      <c r="G524" s="15" t="s">
        <v>568</v>
      </c>
      <c r="H524" s="15"/>
      <c r="I524" s="15" t="s">
        <v>2283</v>
      </c>
      <c r="J524" s="15" t="s">
        <v>2284</v>
      </c>
      <c r="K524" s="16"/>
      <c r="L524" s="14" t="s">
        <v>2823</v>
      </c>
      <c r="M524" s="16"/>
      <c r="N524" s="15" t="s">
        <v>1148</v>
      </c>
      <c r="O524" s="14">
        <v>2.25</v>
      </c>
      <c r="P524" s="14" t="s">
        <v>2845</v>
      </c>
      <c r="Q524" s="14" cm="1">
        <f t="array" ref="Q524">_xlfn.IFS(P524="USD",O524,P524="VND",O524/26090,P524="JPY",O524/161)</f>
        <v>2.25</v>
      </c>
      <c r="R524" s="14">
        <v>30</v>
      </c>
      <c r="S524" s="14">
        <v>1</v>
      </c>
      <c r="T524" s="14"/>
      <c r="U524" s="14" t="s">
        <v>2849</v>
      </c>
      <c r="V524" s="14" t="s">
        <v>2857</v>
      </c>
      <c r="W524" s="14" t="s">
        <v>2858</v>
      </c>
      <c r="X524" s="17">
        <v>0</v>
      </c>
      <c r="Y524" s="15" t="s">
        <v>2875</v>
      </c>
      <c r="Z524" s="20">
        <v>46028</v>
      </c>
      <c r="AA524" s="20">
        <v>46393</v>
      </c>
      <c r="AB524" s="16"/>
      <c r="AC524" s="16"/>
      <c r="AD524" s="16"/>
      <c r="AE524" s="16" t="s">
        <v>2959</v>
      </c>
      <c r="AF524" s="16"/>
      <c r="AI524" s="3" t="str">
        <f t="shared" ca="1" si="8"/>
        <v>OK</v>
      </c>
    </row>
    <row r="525" spans="1:35" hidden="1" x14ac:dyDescent="0.3">
      <c r="A525" s="13">
        <v>46032</v>
      </c>
      <c r="B525" s="14" t="s">
        <v>2806</v>
      </c>
      <c r="C525" s="16"/>
      <c r="D525" s="16"/>
      <c r="E525" s="15" t="s">
        <v>849</v>
      </c>
      <c r="F525" s="15" t="s">
        <v>1243</v>
      </c>
      <c r="G525" s="15" t="s">
        <v>569</v>
      </c>
      <c r="H525" s="15"/>
      <c r="I525" s="15" t="s">
        <v>2285</v>
      </c>
      <c r="J525" s="15" t="s">
        <v>2286</v>
      </c>
      <c r="K525" s="16"/>
      <c r="L525" s="14" t="s">
        <v>2823</v>
      </c>
      <c r="M525" s="16"/>
      <c r="N525" s="15" t="s">
        <v>1148</v>
      </c>
      <c r="O525" s="14">
        <v>2.25</v>
      </c>
      <c r="P525" s="14" t="s">
        <v>2845</v>
      </c>
      <c r="Q525" s="14" cm="1">
        <f t="array" ref="Q525">_xlfn.IFS(P525="USD",O525,P525="VND",O525/26090,P525="JPY",O525/161)</f>
        <v>2.25</v>
      </c>
      <c r="R525" s="14">
        <v>30</v>
      </c>
      <c r="S525" s="14">
        <v>1</v>
      </c>
      <c r="T525" s="14"/>
      <c r="U525" s="14" t="s">
        <v>2849</v>
      </c>
      <c r="V525" s="14" t="s">
        <v>2857</v>
      </c>
      <c r="W525" s="14" t="s">
        <v>2858</v>
      </c>
      <c r="X525" s="17">
        <v>0</v>
      </c>
      <c r="Y525" s="15" t="s">
        <v>2875</v>
      </c>
      <c r="Z525" s="20">
        <v>46028</v>
      </c>
      <c r="AA525" s="20">
        <v>46393</v>
      </c>
      <c r="AB525" s="16"/>
      <c r="AC525" s="16"/>
      <c r="AD525" s="16"/>
      <c r="AE525" s="16" t="s">
        <v>2959</v>
      </c>
      <c r="AF525" s="16"/>
      <c r="AI525" s="3" t="str">
        <f t="shared" ca="1" si="8"/>
        <v>OK</v>
      </c>
    </row>
    <row r="526" spans="1:35" hidden="1" x14ac:dyDescent="0.3">
      <c r="A526" s="13">
        <v>46032</v>
      </c>
      <c r="B526" s="14" t="s">
        <v>2806</v>
      </c>
      <c r="C526" s="16"/>
      <c r="D526" s="16"/>
      <c r="E526" s="15" t="s">
        <v>849</v>
      </c>
      <c r="F526" s="15" t="s">
        <v>1243</v>
      </c>
      <c r="G526" s="15" t="s">
        <v>570</v>
      </c>
      <c r="H526" s="15"/>
      <c r="I526" s="15" t="s">
        <v>2287</v>
      </c>
      <c r="J526" s="15" t="s">
        <v>2288</v>
      </c>
      <c r="K526" s="16"/>
      <c r="L526" s="14" t="s">
        <v>2823</v>
      </c>
      <c r="M526" s="16"/>
      <c r="N526" s="15" t="s">
        <v>1148</v>
      </c>
      <c r="O526" s="14">
        <v>2.25</v>
      </c>
      <c r="P526" s="14" t="s">
        <v>2845</v>
      </c>
      <c r="Q526" s="14" cm="1">
        <f t="array" ref="Q526">_xlfn.IFS(P526="USD",O526,P526="VND",O526/26090,P526="JPY",O526/161)</f>
        <v>2.25</v>
      </c>
      <c r="R526" s="14">
        <v>30</v>
      </c>
      <c r="S526" s="14">
        <v>1</v>
      </c>
      <c r="T526" s="14"/>
      <c r="U526" s="14" t="s">
        <v>2849</v>
      </c>
      <c r="V526" s="14" t="s">
        <v>2857</v>
      </c>
      <c r="W526" s="14" t="s">
        <v>2858</v>
      </c>
      <c r="X526" s="17">
        <v>0</v>
      </c>
      <c r="Y526" s="15" t="s">
        <v>2875</v>
      </c>
      <c r="Z526" s="20">
        <v>46028</v>
      </c>
      <c r="AA526" s="20">
        <v>46393</v>
      </c>
      <c r="AB526" s="16"/>
      <c r="AC526" s="16"/>
      <c r="AD526" s="16"/>
      <c r="AE526" s="16" t="s">
        <v>2959</v>
      </c>
      <c r="AF526" s="16"/>
      <c r="AI526" s="3" t="str">
        <f t="shared" ca="1" si="8"/>
        <v>OK</v>
      </c>
    </row>
    <row r="527" spans="1:35" hidden="1" x14ac:dyDescent="0.3">
      <c r="A527" s="13">
        <v>46032</v>
      </c>
      <c r="B527" s="14" t="s">
        <v>2806</v>
      </c>
      <c r="C527" s="16"/>
      <c r="D527" s="16"/>
      <c r="E527" s="15" t="s">
        <v>896</v>
      </c>
      <c r="F527" s="15" t="s">
        <v>910</v>
      </c>
      <c r="G527" s="15" t="s">
        <v>571</v>
      </c>
      <c r="H527" s="15"/>
      <c r="I527" s="15" t="s">
        <v>2289</v>
      </c>
      <c r="J527" s="15" t="s">
        <v>2290</v>
      </c>
      <c r="K527" s="16"/>
      <c r="L527" s="14" t="s">
        <v>2823</v>
      </c>
      <c r="M527" s="16"/>
      <c r="N527" s="15" t="s">
        <v>1146</v>
      </c>
      <c r="O527" s="14">
        <v>1.46E-2</v>
      </c>
      <c r="P527" s="14" t="s">
        <v>2845</v>
      </c>
      <c r="Q527" s="14" cm="1">
        <f t="array" ref="Q527">_xlfn.IFS(P527="USD",O527,P527="VND",O527/26090,P527="JPY",O527/161)</f>
        <v>1.46E-2</v>
      </c>
      <c r="R527" s="14">
        <v>7</v>
      </c>
      <c r="S527" s="14">
        <v>76000</v>
      </c>
      <c r="T527" s="14"/>
      <c r="U527" s="14" t="s">
        <v>2848</v>
      </c>
      <c r="V527" s="14" t="s">
        <v>2857</v>
      </c>
      <c r="W527" s="14" t="s">
        <v>2858</v>
      </c>
      <c r="X527" s="17">
        <v>0</v>
      </c>
      <c r="Y527" s="15" t="s">
        <v>2906</v>
      </c>
      <c r="Z527" s="20">
        <v>45455</v>
      </c>
      <c r="AA527" s="18"/>
      <c r="AB527" s="16"/>
      <c r="AC527" s="16"/>
      <c r="AD527" s="16"/>
      <c r="AE527" s="16" t="s">
        <v>2946</v>
      </c>
      <c r="AF527" s="16"/>
      <c r="AI527" s="3" t="str">
        <f t="shared" ca="1" si="8"/>
        <v>OK</v>
      </c>
    </row>
    <row r="528" spans="1:35" hidden="1" x14ac:dyDescent="0.3">
      <c r="A528" s="13">
        <v>46032</v>
      </c>
      <c r="B528" s="14" t="s">
        <v>2806</v>
      </c>
      <c r="C528" s="16"/>
      <c r="D528" s="16"/>
      <c r="E528" s="15" t="s">
        <v>858</v>
      </c>
      <c r="F528" s="15" t="s">
        <v>1248</v>
      </c>
      <c r="G528" s="15" t="s">
        <v>572</v>
      </c>
      <c r="H528" s="15"/>
      <c r="I528" s="15" t="s">
        <v>2291</v>
      </c>
      <c r="J528" s="15" t="s">
        <v>2292</v>
      </c>
      <c r="K528" s="16"/>
      <c r="L528" s="14" t="s">
        <v>2834</v>
      </c>
      <c r="M528" s="16"/>
      <c r="N528" s="15" t="s">
        <v>1149</v>
      </c>
      <c r="O528" s="14">
        <v>161.19999999999999</v>
      </c>
      <c r="P528" s="14" t="s">
        <v>2845</v>
      </c>
      <c r="Q528" s="14" cm="1">
        <f t="array" ref="Q528">_xlfn.IFS(P528="USD",O528,P528="VND",O528/26090,P528="JPY",O528/161)</f>
        <v>161.19999999999999</v>
      </c>
      <c r="R528" s="14">
        <v>30</v>
      </c>
      <c r="S528" s="14">
        <v>1</v>
      </c>
      <c r="T528" s="14"/>
      <c r="U528" s="14" t="s">
        <v>2852</v>
      </c>
      <c r="V528" s="14" t="s">
        <v>2864</v>
      </c>
      <c r="W528" s="14" t="s">
        <v>2860</v>
      </c>
      <c r="X528" s="17">
        <v>0</v>
      </c>
      <c r="Y528" s="15" t="s">
        <v>2880</v>
      </c>
      <c r="Z528" s="18" t="s">
        <v>3050</v>
      </c>
      <c r="AA528" s="18"/>
      <c r="AB528" s="16"/>
      <c r="AC528" s="16"/>
      <c r="AD528" s="16"/>
      <c r="AE528" s="16" t="s">
        <v>3049</v>
      </c>
      <c r="AF528" s="16"/>
      <c r="AI528" s="3" t="str">
        <f t="shared" ca="1" si="8"/>
        <v>OK</v>
      </c>
    </row>
    <row r="529" spans="1:35" hidden="1" x14ac:dyDescent="0.3">
      <c r="A529" s="13">
        <v>46032</v>
      </c>
      <c r="B529" s="14" t="s">
        <v>2806</v>
      </c>
      <c r="C529" s="16"/>
      <c r="D529" s="16"/>
      <c r="E529" s="15" t="s">
        <v>875</v>
      </c>
      <c r="F529" s="15" t="s">
        <v>1261</v>
      </c>
      <c r="G529" s="15" t="s">
        <v>573</v>
      </c>
      <c r="H529" s="15"/>
      <c r="I529" s="15" t="s">
        <v>2293</v>
      </c>
      <c r="J529" s="15" t="s">
        <v>2294</v>
      </c>
      <c r="K529" s="16"/>
      <c r="L529" s="14" t="s">
        <v>2823</v>
      </c>
      <c r="M529" s="16"/>
      <c r="N529" s="15" t="s">
        <v>1033</v>
      </c>
      <c r="O529" s="14">
        <v>220.9</v>
      </c>
      <c r="P529" s="14" t="s">
        <v>2845</v>
      </c>
      <c r="Q529" s="14" cm="1">
        <f t="array" ref="Q529">_xlfn.IFS(P529="USD",O529,P529="VND",O529/26090,P529="JPY",O529/161)</f>
        <v>220.9</v>
      </c>
      <c r="R529" s="14">
        <v>56</v>
      </c>
      <c r="S529" s="14">
        <v>1</v>
      </c>
      <c r="T529" s="14"/>
      <c r="U529" s="14" t="s">
        <v>2848</v>
      </c>
      <c r="V529" s="14" t="s">
        <v>2857</v>
      </c>
      <c r="W529" s="14" t="s">
        <v>2858</v>
      </c>
      <c r="X529" s="17">
        <v>0</v>
      </c>
      <c r="Y529" s="15" t="s">
        <v>2875</v>
      </c>
      <c r="Z529" s="18" t="s">
        <v>2935</v>
      </c>
      <c r="AA529" s="18"/>
      <c r="AB529" s="16"/>
      <c r="AC529" s="16"/>
      <c r="AD529" s="16"/>
      <c r="AE529" s="16" t="s">
        <v>2999</v>
      </c>
      <c r="AF529" s="16"/>
      <c r="AI529" s="3" t="str">
        <f t="shared" ca="1" si="8"/>
        <v>OK</v>
      </c>
    </row>
    <row r="530" spans="1:35" x14ac:dyDescent="0.3">
      <c r="A530" s="13">
        <v>46032</v>
      </c>
      <c r="B530" s="14" t="s">
        <v>2806</v>
      </c>
      <c r="C530" s="16"/>
      <c r="D530" s="16"/>
      <c r="E530" s="15" t="s">
        <v>862</v>
      </c>
      <c r="F530" s="15" t="s">
        <v>1251</v>
      </c>
      <c r="G530" s="15" t="s">
        <v>574</v>
      </c>
      <c r="H530" s="15"/>
      <c r="I530" s="15" t="s">
        <v>2295</v>
      </c>
      <c r="J530" s="15" t="s">
        <v>1731</v>
      </c>
      <c r="K530" s="16"/>
      <c r="L530" s="14" t="s">
        <v>2825</v>
      </c>
      <c r="M530" s="16"/>
      <c r="N530" s="15" t="s">
        <v>1008</v>
      </c>
      <c r="O530" s="14">
        <v>24600</v>
      </c>
      <c r="P530" s="14" t="s">
        <v>2846</v>
      </c>
      <c r="Q530" s="14" cm="1">
        <f t="array" ref="Q530">_xlfn.IFS(P530="USD",O530,P530="VND",O530/26090,P530="JPY",O530/161)</f>
        <v>0.94288999616711389</v>
      </c>
      <c r="R530" s="14">
        <v>7</v>
      </c>
      <c r="S530" s="14">
        <v>1000</v>
      </c>
      <c r="T530" s="14"/>
      <c r="U530" s="14" t="s">
        <v>2848</v>
      </c>
      <c r="V530" s="14" t="s">
        <v>2857</v>
      </c>
      <c r="W530" s="14" t="s">
        <v>2858</v>
      </c>
      <c r="X530" s="17">
        <v>0</v>
      </c>
      <c r="Y530" s="15" t="s">
        <v>2875</v>
      </c>
      <c r="Z530" s="18" t="s">
        <v>2929</v>
      </c>
      <c r="AA530" s="22" t="s">
        <v>2931</v>
      </c>
      <c r="AB530" s="16"/>
      <c r="AC530" s="16"/>
      <c r="AD530" s="16"/>
      <c r="AE530" s="16" t="s">
        <v>2933</v>
      </c>
      <c r="AF530" s="16"/>
      <c r="AI530" s="3" t="str">
        <f t="shared" ca="1" si="8"/>
        <v>OK</v>
      </c>
    </row>
    <row r="531" spans="1:35" x14ac:dyDescent="0.3">
      <c r="A531" s="13">
        <v>46032</v>
      </c>
      <c r="B531" s="14" t="s">
        <v>2806</v>
      </c>
      <c r="C531" s="16"/>
      <c r="D531" s="16"/>
      <c r="E531" s="15" t="s">
        <v>862</v>
      </c>
      <c r="F531" s="15" t="s">
        <v>1251</v>
      </c>
      <c r="G531" s="15" t="s">
        <v>575</v>
      </c>
      <c r="H531" s="15"/>
      <c r="I531" s="15" t="s">
        <v>2296</v>
      </c>
      <c r="J531" s="15" t="s">
        <v>2297</v>
      </c>
      <c r="K531" s="16"/>
      <c r="L531" s="14" t="s">
        <v>2825</v>
      </c>
      <c r="M531" s="16"/>
      <c r="N531" s="15" t="s">
        <v>1008</v>
      </c>
      <c r="O531" s="14">
        <v>12000</v>
      </c>
      <c r="P531" s="14" t="s">
        <v>2846</v>
      </c>
      <c r="Q531" s="14" cm="1">
        <f t="array" ref="Q531">_xlfn.IFS(P531="USD",O531,P531="VND",O531/26090,P531="JPY",O531/161)</f>
        <v>0.45994633959371406</v>
      </c>
      <c r="R531" s="14">
        <v>7</v>
      </c>
      <c r="S531" s="14">
        <v>1500</v>
      </c>
      <c r="T531" s="14"/>
      <c r="U531" s="14" t="s">
        <v>2848</v>
      </c>
      <c r="V531" s="14" t="s">
        <v>2857</v>
      </c>
      <c r="W531" s="14" t="s">
        <v>2858</v>
      </c>
      <c r="X531" s="17">
        <v>0</v>
      </c>
      <c r="Y531" s="15" t="s">
        <v>2875</v>
      </c>
      <c r="Z531" s="18" t="s">
        <v>2929</v>
      </c>
      <c r="AA531" s="22" t="s">
        <v>2931</v>
      </c>
      <c r="AB531" s="16"/>
      <c r="AC531" s="16"/>
      <c r="AD531" s="16"/>
      <c r="AE531" s="16" t="s">
        <v>2933</v>
      </c>
      <c r="AF531" s="16"/>
      <c r="AI531" s="3" t="str">
        <f t="shared" ca="1" si="8"/>
        <v>OK</v>
      </c>
    </row>
    <row r="532" spans="1:35" x14ac:dyDescent="0.3">
      <c r="A532" s="13">
        <v>46032</v>
      </c>
      <c r="B532" s="14" t="s">
        <v>2806</v>
      </c>
      <c r="C532" s="16"/>
      <c r="D532" s="16"/>
      <c r="E532" s="15" t="s">
        <v>862</v>
      </c>
      <c r="F532" s="15" t="s">
        <v>1251</v>
      </c>
      <c r="G532" s="15" t="s">
        <v>576</v>
      </c>
      <c r="H532" s="15"/>
      <c r="I532" s="15" t="s">
        <v>2298</v>
      </c>
      <c r="J532" s="15" t="s">
        <v>2299</v>
      </c>
      <c r="K532" s="16"/>
      <c r="L532" s="14" t="s">
        <v>2831</v>
      </c>
      <c r="M532" s="16"/>
      <c r="N532" s="15" t="s">
        <v>1150</v>
      </c>
      <c r="O532" s="14">
        <v>272000</v>
      </c>
      <c r="P532" s="14" t="s">
        <v>2846</v>
      </c>
      <c r="Q532" s="14" cm="1">
        <f t="array" ref="Q532">_xlfn.IFS(P532="USD",O532,P532="VND",O532/26090,P532="JPY",O532/161)</f>
        <v>10.425450364124185</v>
      </c>
      <c r="R532" s="14">
        <v>15</v>
      </c>
      <c r="S532" s="14">
        <v>100</v>
      </c>
      <c r="T532" s="14"/>
      <c r="U532" s="14" t="s">
        <v>2848</v>
      </c>
      <c r="V532" s="14" t="s">
        <v>2857</v>
      </c>
      <c r="W532" s="14" t="s">
        <v>2858</v>
      </c>
      <c r="X532" s="17">
        <v>0</v>
      </c>
      <c r="Y532" s="15" t="s">
        <v>2875</v>
      </c>
      <c r="Z532" s="18" t="s">
        <v>2929</v>
      </c>
      <c r="AA532" s="22" t="s">
        <v>2931</v>
      </c>
      <c r="AB532" s="16"/>
      <c r="AC532" s="16"/>
      <c r="AD532" s="16"/>
      <c r="AE532" s="16" t="s">
        <v>2933</v>
      </c>
      <c r="AF532" s="16"/>
      <c r="AI532" s="3" t="str">
        <f t="shared" ca="1" si="8"/>
        <v>OK</v>
      </c>
    </row>
    <row r="533" spans="1:35" x14ac:dyDescent="0.3">
      <c r="A533" s="13">
        <v>46032</v>
      </c>
      <c r="B533" s="14" t="s">
        <v>2806</v>
      </c>
      <c r="C533" s="16"/>
      <c r="D533" s="16"/>
      <c r="E533" s="15" t="s">
        <v>862</v>
      </c>
      <c r="F533" s="15" t="s">
        <v>1251</v>
      </c>
      <c r="G533" s="15" t="s">
        <v>577</v>
      </c>
      <c r="H533" s="15"/>
      <c r="I533" s="15" t="s">
        <v>2300</v>
      </c>
      <c r="J533" s="15" t="s">
        <v>2301</v>
      </c>
      <c r="K533" s="16"/>
      <c r="L533" s="14" t="s">
        <v>2823</v>
      </c>
      <c r="M533" s="16"/>
      <c r="N533" s="15" t="s">
        <v>1151</v>
      </c>
      <c r="O533" s="14">
        <v>3500</v>
      </c>
      <c r="P533" s="14" t="s">
        <v>2846</v>
      </c>
      <c r="Q533" s="14" cm="1">
        <f t="array" ref="Q533">_xlfn.IFS(P533="USD",O533,P533="VND",O533/26090,P533="JPY",O533/161)</f>
        <v>0.13415101571483326</v>
      </c>
      <c r="R533" s="14">
        <v>7</v>
      </c>
      <c r="S533" s="14">
        <v>120</v>
      </c>
      <c r="T533" s="14"/>
      <c r="U533" s="14" t="s">
        <v>2848</v>
      </c>
      <c r="V533" s="14" t="s">
        <v>2857</v>
      </c>
      <c r="W533" s="14" t="s">
        <v>2858</v>
      </c>
      <c r="X533" s="17">
        <v>0</v>
      </c>
      <c r="Y533" s="15" t="s">
        <v>2875</v>
      </c>
      <c r="Z533" s="18" t="s">
        <v>2929</v>
      </c>
      <c r="AA533" s="22" t="s">
        <v>2931</v>
      </c>
      <c r="AB533" s="16"/>
      <c r="AC533" s="16"/>
      <c r="AD533" s="16"/>
      <c r="AE533" s="16" t="s">
        <v>2933</v>
      </c>
      <c r="AF533" s="16"/>
      <c r="AI533" s="3" t="str">
        <f t="shared" ca="1" si="8"/>
        <v>OK</v>
      </c>
    </row>
    <row r="534" spans="1:35" x14ac:dyDescent="0.3">
      <c r="A534" s="13">
        <v>46032</v>
      </c>
      <c r="B534" s="14" t="s">
        <v>2806</v>
      </c>
      <c r="C534" s="16"/>
      <c r="D534" s="16"/>
      <c r="E534" s="15" t="s">
        <v>862</v>
      </c>
      <c r="F534" s="15" t="s">
        <v>1251</v>
      </c>
      <c r="G534" s="15" t="s">
        <v>578</v>
      </c>
      <c r="H534" s="15"/>
      <c r="I534" s="15" t="s">
        <v>2302</v>
      </c>
      <c r="J534" s="15" t="s">
        <v>2303</v>
      </c>
      <c r="K534" s="16"/>
      <c r="L534" s="14" t="s">
        <v>2825</v>
      </c>
      <c r="M534" s="16"/>
      <c r="N534" s="15" t="s">
        <v>1152</v>
      </c>
      <c r="O534" s="14">
        <v>2100</v>
      </c>
      <c r="P534" s="14" t="s">
        <v>2846</v>
      </c>
      <c r="Q534" s="14" cm="1">
        <f t="array" ref="Q534">_xlfn.IFS(P534="USD",O534,P534="VND",O534/26090,P534="JPY",O534/161)</f>
        <v>8.0490609428899962E-2</v>
      </c>
      <c r="R534" s="14">
        <v>7</v>
      </c>
      <c r="S534" s="14">
        <v>500</v>
      </c>
      <c r="T534" s="14"/>
      <c r="U534" s="14" t="s">
        <v>2848</v>
      </c>
      <c r="V534" s="14" t="s">
        <v>2857</v>
      </c>
      <c r="W534" s="14" t="s">
        <v>2858</v>
      </c>
      <c r="X534" s="17">
        <v>0</v>
      </c>
      <c r="Y534" s="15" t="s">
        <v>2875</v>
      </c>
      <c r="Z534" s="18" t="s">
        <v>2929</v>
      </c>
      <c r="AA534" s="22" t="s">
        <v>2931</v>
      </c>
      <c r="AB534" s="16"/>
      <c r="AC534" s="16"/>
      <c r="AD534" s="16"/>
      <c r="AE534" s="16" t="s">
        <v>2933</v>
      </c>
      <c r="AF534" s="16"/>
      <c r="AI534" s="3" t="str">
        <f t="shared" ca="1" si="8"/>
        <v>OK</v>
      </c>
    </row>
    <row r="535" spans="1:35" hidden="1" x14ac:dyDescent="0.3">
      <c r="A535" s="13">
        <v>46032</v>
      </c>
      <c r="B535" s="14" t="s">
        <v>2806</v>
      </c>
      <c r="C535" s="16"/>
      <c r="D535" s="16"/>
      <c r="E535" s="15" t="s">
        <v>849</v>
      </c>
      <c r="F535" s="15" t="s">
        <v>1243</v>
      </c>
      <c r="G535" s="15" t="s">
        <v>579</v>
      </c>
      <c r="H535" s="15"/>
      <c r="I535" s="15" t="s">
        <v>2304</v>
      </c>
      <c r="J535" s="15" t="s">
        <v>2305</v>
      </c>
      <c r="K535" s="16"/>
      <c r="L535" s="14" t="s">
        <v>2823</v>
      </c>
      <c r="M535" s="16"/>
      <c r="N535" s="15" t="s">
        <v>1153</v>
      </c>
      <c r="O535" s="14">
        <v>23.62</v>
      </c>
      <c r="P535" s="14" t="s">
        <v>2845</v>
      </c>
      <c r="Q535" s="14" cm="1">
        <f t="array" ref="Q535">_xlfn.IFS(P535="USD",O535,P535="VND",O535/26090,P535="JPY",O535/161)</f>
        <v>23.62</v>
      </c>
      <c r="R535" s="14">
        <v>56</v>
      </c>
      <c r="S535" s="14">
        <v>1</v>
      </c>
      <c r="T535" s="14"/>
      <c r="U535" s="14" t="s">
        <v>2849</v>
      </c>
      <c r="V535" s="14" t="s">
        <v>2857</v>
      </c>
      <c r="W535" s="14" t="s">
        <v>2858</v>
      </c>
      <c r="X535" s="17">
        <v>0</v>
      </c>
      <c r="Y535" s="15" t="s">
        <v>2875</v>
      </c>
      <c r="Z535" s="20">
        <v>46028</v>
      </c>
      <c r="AA535" s="20">
        <v>46393</v>
      </c>
      <c r="AB535" s="16"/>
      <c r="AC535" s="16"/>
      <c r="AD535" s="16"/>
      <c r="AE535" s="16" t="s">
        <v>2959</v>
      </c>
      <c r="AF535" s="16"/>
      <c r="AI535" s="3" t="str">
        <f t="shared" ca="1" si="8"/>
        <v>OK</v>
      </c>
    </row>
    <row r="536" spans="1:35" hidden="1" x14ac:dyDescent="0.3">
      <c r="A536" s="13">
        <v>46032</v>
      </c>
      <c r="B536" s="14" t="s">
        <v>2806</v>
      </c>
      <c r="C536" s="16"/>
      <c r="D536" s="16"/>
      <c r="E536" s="15" t="s">
        <v>857</v>
      </c>
      <c r="F536" s="15" t="s">
        <v>912</v>
      </c>
      <c r="G536" s="15" t="s">
        <v>580</v>
      </c>
      <c r="H536" s="15"/>
      <c r="I536" s="15" t="s">
        <v>2306</v>
      </c>
      <c r="J536" s="15" t="s">
        <v>2307</v>
      </c>
      <c r="K536" s="16"/>
      <c r="L536" s="14" t="s">
        <v>2807</v>
      </c>
      <c r="M536" s="16"/>
      <c r="N536" s="15" t="s">
        <v>1059</v>
      </c>
      <c r="O536" s="14">
        <v>1.52</v>
      </c>
      <c r="P536" s="14" t="s">
        <v>2845</v>
      </c>
      <c r="Q536" s="14" cm="1">
        <f t="array" ref="Q536">_xlfn.IFS(P536="USD",O536,P536="VND",O536/26090,P536="JPY",O536/161)</f>
        <v>1.52</v>
      </c>
      <c r="R536" s="14">
        <v>35</v>
      </c>
      <c r="S536" s="14">
        <v>1</v>
      </c>
      <c r="T536" s="14"/>
      <c r="U536" s="14" t="s">
        <v>2848</v>
      </c>
      <c r="V536" s="14" t="s">
        <v>2857</v>
      </c>
      <c r="W536" s="14" t="s">
        <v>2858</v>
      </c>
      <c r="X536" s="17">
        <v>0</v>
      </c>
      <c r="Y536" s="15" t="s">
        <v>2875</v>
      </c>
      <c r="Z536" s="20">
        <v>46243</v>
      </c>
      <c r="AA536" s="20">
        <v>46608</v>
      </c>
      <c r="AB536" s="16"/>
      <c r="AC536" s="16"/>
      <c r="AD536" s="16"/>
      <c r="AE536" s="16" t="s">
        <v>2957</v>
      </c>
      <c r="AF536" s="16"/>
      <c r="AI536" s="3" t="str">
        <f t="shared" ca="1" si="8"/>
        <v>OK</v>
      </c>
    </row>
    <row r="537" spans="1:35" hidden="1" x14ac:dyDescent="0.3">
      <c r="A537" s="13">
        <v>46032</v>
      </c>
      <c r="B537" s="14" t="s">
        <v>2806</v>
      </c>
      <c r="C537" s="16"/>
      <c r="D537" s="16"/>
      <c r="E537" s="15" t="s">
        <v>875</v>
      </c>
      <c r="F537" s="15" t="s">
        <v>1261</v>
      </c>
      <c r="G537" s="15" t="s">
        <v>581</v>
      </c>
      <c r="H537" s="15"/>
      <c r="I537" s="15" t="s">
        <v>2308</v>
      </c>
      <c r="J537" s="15" t="s">
        <v>2309</v>
      </c>
      <c r="K537" s="16"/>
      <c r="L537" s="14" t="s">
        <v>2823</v>
      </c>
      <c r="M537" s="16"/>
      <c r="N537" s="15" t="s">
        <v>1033</v>
      </c>
      <c r="O537" s="14">
        <v>22</v>
      </c>
      <c r="P537" s="14" t="s">
        <v>2845</v>
      </c>
      <c r="Q537" s="14" cm="1">
        <f t="array" ref="Q537">_xlfn.IFS(P537="USD",O537,P537="VND",O537/26090,P537="JPY",O537/161)</f>
        <v>22</v>
      </c>
      <c r="R537" s="14">
        <v>42</v>
      </c>
      <c r="S537" s="14">
        <v>1</v>
      </c>
      <c r="T537" s="14"/>
      <c r="U537" s="14" t="s">
        <v>2848</v>
      </c>
      <c r="V537" s="14" t="s">
        <v>2857</v>
      </c>
      <c r="W537" s="14" t="s">
        <v>2858</v>
      </c>
      <c r="X537" s="17">
        <v>0</v>
      </c>
      <c r="Y537" s="15" t="s">
        <v>2875</v>
      </c>
      <c r="Z537" s="18" t="s">
        <v>2935</v>
      </c>
      <c r="AA537" s="18"/>
      <c r="AB537" s="16"/>
      <c r="AC537" s="16"/>
      <c r="AD537" s="16"/>
      <c r="AE537" s="16" t="s">
        <v>2999</v>
      </c>
      <c r="AF537" s="16"/>
      <c r="AI537" s="3" t="str">
        <f t="shared" ca="1" si="8"/>
        <v>OK</v>
      </c>
    </row>
    <row r="538" spans="1:35" hidden="1" x14ac:dyDescent="0.3">
      <c r="A538" s="13">
        <v>46032</v>
      </c>
      <c r="B538" s="14" t="s">
        <v>2806</v>
      </c>
      <c r="C538" s="16"/>
      <c r="D538" s="16"/>
      <c r="E538" s="15" t="s">
        <v>858</v>
      </c>
      <c r="F538" s="15" t="s">
        <v>1248</v>
      </c>
      <c r="G538" s="15" t="s">
        <v>582</v>
      </c>
      <c r="H538" s="15"/>
      <c r="I538" s="15" t="s">
        <v>2310</v>
      </c>
      <c r="J538" s="15" t="s">
        <v>2311</v>
      </c>
      <c r="K538" s="16"/>
      <c r="L538" s="14" t="s">
        <v>2829</v>
      </c>
      <c r="M538" s="16"/>
      <c r="N538" s="15" t="s">
        <v>1089</v>
      </c>
      <c r="O538" s="14">
        <v>289.08</v>
      </c>
      <c r="P538" s="14" t="s">
        <v>2845</v>
      </c>
      <c r="Q538" s="14" cm="1">
        <f t="array" ref="Q538">_xlfn.IFS(P538="USD",O538,P538="VND",O538/26090,P538="JPY",O538/161)</f>
        <v>289.08</v>
      </c>
      <c r="R538" s="14">
        <v>45</v>
      </c>
      <c r="S538" s="14">
        <v>1</v>
      </c>
      <c r="T538" s="14"/>
      <c r="U538" s="14" t="s">
        <v>2852</v>
      </c>
      <c r="V538" s="14" t="s">
        <v>2864</v>
      </c>
      <c r="W538" s="14" t="s">
        <v>2860</v>
      </c>
      <c r="X538" s="17">
        <v>0</v>
      </c>
      <c r="Y538" s="15" t="s">
        <v>2880</v>
      </c>
      <c r="Z538" s="18" t="s">
        <v>3050</v>
      </c>
      <c r="AA538" s="18"/>
      <c r="AB538" s="16"/>
      <c r="AC538" s="16"/>
      <c r="AD538" s="16"/>
      <c r="AE538" s="16" t="s">
        <v>3049</v>
      </c>
      <c r="AF538" s="16"/>
      <c r="AI538" s="3" t="str">
        <f t="shared" ca="1" si="8"/>
        <v>OK</v>
      </c>
    </row>
    <row r="539" spans="1:35" hidden="1" x14ac:dyDescent="0.3">
      <c r="A539" s="13">
        <v>46032</v>
      </c>
      <c r="B539" s="14" t="s">
        <v>2806</v>
      </c>
      <c r="C539" s="16"/>
      <c r="D539" s="16"/>
      <c r="E539" s="15" t="s">
        <v>858</v>
      </c>
      <c r="F539" s="15" t="s">
        <v>1248</v>
      </c>
      <c r="G539" s="15" t="s">
        <v>583</v>
      </c>
      <c r="H539" s="15"/>
      <c r="I539" s="15" t="s">
        <v>2312</v>
      </c>
      <c r="J539" s="15" t="s">
        <v>2313</v>
      </c>
      <c r="K539" s="16"/>
      <c r="L539" s="14" t="s">
        <v>2829</v>
      </c>
      <c r="M539" s="16"/>
      <c r="N539" s="15" t="s">
        <v>1089</v>
      </c>
      <c r="O539" s="14">
        <v>247.78</v>
      </c>
      <c r="P539" s="14" t="s">
        <v>2845</v>
      </c>
      <c r="Q539" s="14" cm="1">
        <f t="array" ref="Q539">_xlfn.IFS(P539="USD",O539,P539="VND",O539/26090,P539="JPY",O539/161)</f>
        <v>247.78</v>
      </c>
      <c r="R539" s="14">
        <v>45</v>
      </c>
      <c r="S539" s="14">
        <v>1</v>
      </c>
      <c r="T539" s="14"/>
      <c r="U539" s="14" t="s">
        <v>2852</v>
      </c>
      <c r="V539" s="14" t="s">
        <v>2864</v>
      </c>
      <c r="W539" s="14" t="s">
        <v>2860</v>
      </c>
      <c r="X539" s="17">
        <v>0</v>
      </c>
      <c r="Y539" s="15" t="s">
        <v>2880</v>
      </c>
      <c r="Z539" s="18" t="s">
        <v>3050</v>
      </c>
      <c r="AA539" s="18"/>
      <c r="AB539" s="16"/>
      <c r="AC539" s="16"/>
      <c r="AD539" s="16"/>
      <c r="AE539" s="16" t="s">
        <v>3049</v>
      </c>
      <c r="AF539" s="16"/>
      <c r="AI539" s="3" t="str">
        <f t="shared" ca="1" si="8"/>
        <v>OK</v>
      </c>
    </row>
    <row r="540" spans="1:35" hidden="1" x14ac:dyDescent="0.3">
      <c r="A540" s="13">
        <v>46032</v>
      </c>
      <c r="B540" s="14" t="s">
        <v>2806</v>
      </c>
      <c r="C540" s="16"/>
      <c r="D540" s="16"/>
      <c r="E540" s="15" t="s">
        <v>858</v>
      </c>
      <c r="F540" s="15" t="s">
        <v>1248</v>
      </c>
      <c r="G540" s="15" t="s">
        <v>584</v>
      </c>
      <c r="H540" s="15"/>
      <c r="I540" s="15" t="s">
        <v>2314</v>
      </c>
      <c r="J540" s="15" t="s">
        <v>2315</v>
      </c>
      <c r="K540" s="16"/>
      <c r="L540" s="14" t="s">
        <v>2834</v>
      </c>
      <c r="M540" s="16"/>
      <c r="N540" s="15" t="s">
        <v>1154</v>
      </c>
      <c r="O540" s="14">
        <v>9.0500000000000007</v>
      </c>
      <c r="P540" s="14" t="s">
        <v>2845</v>
      </c>
      <c r="Q540" s="14" cm="1">
        <f t="array" ref="Q540">_xlfn.IFS(P540="USD",O540,P540="VND",O540/26090,P540="JPY",O540/161)</f>
        <v>9.0500000000000007</v>
      </c>
      <c r="R540" s="14">
        <v>14</v>
      </c>
      <c r="S540" s="14">
        <v>1</v>
      </c>
      <c r="T540" s="14"/>
      <c r="U540" s="14" t="s">
        <v>2852</v>
      </c>
      <c r="V540" s="14" t="s">
        <v>2864</v>
      </c>
      <c r="W540" s="14" t="s">
        <v>2860</v>
      </c>
      <c r="X540" s="17">
        <v>0</v>
      </c>
      <c r="Y540" s="15" t="s">
        <v>2880</v>
      </c>
      <c r="Z540" s="18" t="s">
        <v>3050</v>
      </c>
      <c r="AA540" s="18"/>
      <c r="AB540" s="16"/>
      <c r="AC540" s="16"/>
      <c r="AD540" s="16"/>
      <c r="AE540" s="16" t="s">
        <v>3049</v>
      </c>
      <c r="AF540" s="16"/>
      <c r="AI540" s="3" t="str">
        <f t="shared" ca="1" si="8"/>
        <v>OK</v>
      </c>
    </row>
    <row r="541" spans="1:35" hidden="1" x14ac:dyDescent="0.3">
      <c r="A541" s="13">
        <v>46032</v>
      </c>
      <c r="B541" s="14" t="s">
        <v>2806</v>
      </c>
      <c r="C541" s="16"/>
      <c r="D541" s="16"/>
      <c r="E541" s="15" t="s">
        <v>858</v>
      </c>
      <c r="F541" s="15" t="s">
        <v>1248</v>
      </c>
      <c r="G541" s="15" t="s">
        <v>585</v>
      </c>
      <c r="H541" s="15"/>
      <c r="I541" s="15" t="s">
        <v>2316</v>
      </c>
      <c r="J541" s="15" t="s">
        <v>2317</v>
      </c>
      <c r="K541" s="16"/>
      <c r="L541" s="14" t="s">
        <v>2815</v>
      </c>
      <c r="M541" s="16"/>
      <c r="N541" s="15" t="s">
        <v>1155</v>
      </c>
      <c r="O541" s="14">
        <v>283.38</v>
      </c>
      <c r="P541" s="14" t="s">
        <v>2845</v>
      </c>
      <c r="Q541" s="14" cm="1">
        <f t="array" ref="Q541">_xlfn.IFS(P541="USD",O541,P541="VND",O541/26090,P541="JPY",O541/161)</f>
        <v>283.38</v>
      </c>
      <c r="R541" s="14">
        <v>45</v>
      </c>
      <c r="S541" s="14">
        <v>1</v>
      </c>
      <c r="T541" s="14"/>
      <c r="U541" s="14" t="s">
        <v>2852</v>
      </c>
      <c r="V541" s="14" t="s">
        <v>2864</v>
      </c>
      <c r="W541" s="14" t="s">
        <v>2860</v>
      </c>
      <c r="X541" s="17">
        <v>0</v>
      </c>
      <c r="Y541" s="15" t="s">
        <v>2880</v>
      </c>
      <c r="Z541" s="18" t="s">
        <v>3050</v>
      </c>
      <c r="AA541" s="18"/>
      <c r="AB541" s="16"/>
      <c r="AC541" s="16"/>
      <c r="AD541" s="16"/>
      <c r="AE541" s="16" t="s">
        <v>3049</v>
      </c>
      <c r="AF541" s="16"/>
      <c r="AI541" s="3" t="str">
        <f t="shared" ca="1" si="8"/>
        <v>OK</v>
      </c>
    </row>
    <row r="542" spans="1:35" hidden="1" x14ac:dyDescent="0.3">
      <c r="A542" s="13">
        <v>46032</v>
      </c>
      <c r="B542" s="14" t="s">
        <v>2806</v>
      </c>
      <c r="C542" s="16"/>
      <c r="D542" s="16"/>
      <c r="E542" s="15" t="s">
        <v>858</v>
      </c>
      <c r="F542" s="15" t="s">
        <v>1248</v>
      </c>
      <c r="G542" s="15" t="s">
        <v>586</v>
      </c>
      <c r="H542" s="15"/>
      <c r="I542" s="15" t="s">
        <v>2318</v>
      </c>
      <c r="J542" s="15" t="s">
        <v>2319</v>
      </c>
      <c r="K542" s="16"/>
      <c r="L542" s="14" t="s">
        <v>2834</v>
      </c>
      <c r="M542" s="16"/>
      <c r="N542" s="15" t="s">
        <v>1087</v>
      </c>
      <c r="O542" s="14">
        <v>15.15</v>
      </c>
      <c r="P542" s="14" t="s">
        <v>2845</v>
      </c>
      <c r="Q542" s="14" cm="1">
        <f t="array" ref="Q542">_xlfn.IFS(P542="USD",O542,P542="VND",O542/26090,P542="JPY",O542/161)</f>
        <v>15.15</v>
      </c>
      <c r="R542" s="14">
        <v>21</v>
      </c>
      <c r="S542" s="14">
        <v>1</v>
      </c>
      <c r="T542" s="14"/>
      <c r="U542" s="14" t="s">
        <v>2852</v>
      </c>
      <c r="V542" s="14" t="s">
        <v>2864</v>
      </c>
      <c r="W542" s="14" t="s">
        <v>2860</v>
      </c>
      <c r="X542" s="17">
        <v>0</v>
      </c>
      <c r="Y542" s="15" t="s">
        <v>2880</v>
      </c>
      <c r="Z542" s="18" t="s">
        <v>3050</v>
      </c>
      <c r="AA542" s="18"/>
      <c r="AB542" s="16"/>
      <c r="AC542" s="16"/>
      <c r="AD542" s="16"/>
      <c r="AE542" s="16" t="s">
        <v>3049</v>
      </c>
      <c r="AF542" s="16"/>
      <c r="AI542" s="3" t="str">
        <f t="shared" ca="1" si="8"/>
        <v>OK</v>
      </c>
    </row>
    <row r="543" spans="1:35" hidden="1" x14ac:dyDescent="0.3">
      <c r="A543" s="13">
        <v>46032</v>
      </c>
      <c r="B543" s="14" t="s">
        <v>2806</v>
      </c>
      <c r="C543" s="16"/>
      <c r="D543" s="16"/>
      <c r="E543" s="15" t="s">
        <v>858</v>
      </c>
      <c r="F543" s="15" t="s">
        <v>1248</v>
      </c>
      <c r="G543" s="15" t="s">
        <v>587</v>
      </c>
      <c r="H543" s="15"/>
      <c r="I543" s="15" t="s">
        <v>2320</v>
      </c>
      <c r="J543" s="15" t="s">
        <v>2321</v>
      </c>
      <c r="K543" s="16"/>
      <c r="L543" s="14" t="s">
        <v>2834</v>
      </c>
      <c r="M543" s="16"/>
      <c r="N543" s="15" t="s">
        <v>1087</v>
      </c>
      <c r="O543" s="14">
        <v>15.15</v>
      </c>
      <c r="P543" s="14" t="s">
        <v>2845</v>
      </c>
      <c r="Q543" s="14" cm="1">
        <f t="array" ref="Q543">_xlfn.IFS(P543="USD",O543,P543="VND",O543/26090,P543="JPY",O543/161)</f>
        <v>15.15</v>
      </c>
      <c r="R543" s="14">
        <v>21</v>
      </c>
      <c r="S543" s="14">
        <v>1</v>
      </c>
      <c r="T543" s="14"/>
      <c r="U543" s="14" t="s">
        <v>2852</v>
      </c>
      <c r="V543" s="14" t="s">
        <v>2864</v>
      </c>
      <c r="W543" s="14" t="s">
        <v>2860</v>
      </c>
      <c r="X543" s="17">
        <v>0</v>
      </c>
      <c r="Y543" s="15" t="s">
        <v>2880</v>
      </c>
      <c r="Z543" s="18" t="s">
        <v>3050</v>
      </c>
      <c r="AA543" s="18"/>
      <c r="AB543" s="16"/>
      <c r="AC543" s="16"/>
      <c r="AD543" s="16"/>
      <c r="AE543" s="16" t="s">
        <v>3049</v>
      </c>
      <c r="AF543" s="16"/>
      <c r="AI543" s="3" t="str">
        <f t="shared" ca="1" si="8"/>
        <v>OK</v>
      </c>
    </row>
    <row r="544" spans="1:35" hidden="1" x14ac:dyDescent="0.3">
      <c r="A544" s="13">
        <v>46032</v>
      </c>
      <c r="B544" s="14" t="s">
        <v>2806</v>
      </c>
      <c r="C544" s="16"/>
      <c r="D544" s="16"/>
      <c r="E544" s="15" t="s">
        <v>858</v>
      </c>
      <c r="F544" s="15" t="s">
        <v>1248</v>
      </c>
      <c r="G544" s="15" t="s">
        <v>588</v>
      </c>
      <c r="H544" s="15"/>
      <c r="I544" s="15" t="s">
        <v>2322</v>
      </c>
      <c r="J544" s="15" t="s">
        <v>2323</v>
      </c>
      <c r="K544" s="16"/>
      <c r="L544" s="14" t="s">
        <v>2821</v>
      </c>
      <c r="M544" s="16"/>
      <c r="N544" s="15" t="s">
        <v>1087</v>
      </c>
      <c r="O544" s="14">
        <v>51.96</v>
      </c>
      <c r="P544" s="14" t="s">
        <v>2845</v>
      </c>
      <c r="Q544" s="14" cm="1">
        <f t="array" ref="Q544">_xlfn.IFS(P544="USD",O544,P544="VND",O544/26090,P544="JPY",O544/161)</f>
        <v>51.96</v>
      </c>
      <c r="R544" s="14">
        <v>21</v>
      </c>
      <c r="S544" s="14">
        <v>1</v>
      </c>
      <c r="T544" s="14"/>
      <c r="U544" s="14" t="s">
        <v>2852</v>
      </c>
      <c r="V544" s="14" t="s">
        <v>2864</v>
      </c>
      <c r="W544" s="14" t="s">
        <v>2860</v>
      </c>
      <c r="X544" s="17">
        <v>0</v>
      </c>
      <c r="Y544" s="15" t="s">
        <v>2880</v>
      </c>
      <c r="Z544" s="18" t="s">
        <v>3050</v>
      </c>
      <c r="AA544" s="18"/>
      <c r="AB544" s="16"/>
      <c r="AC544" s="16"/>
      <c r="AD544" s="16"/>
      <c r="AE544" s="16" t="s">
        <v>3049</v>
      </c>
      <c r="AF544" s="16"/>
      <c r="AI544" s="3" t="str">
        <f t="shared" ca="1" si="8"/>
        <v>OK</v>
      </c>
    </row>
    <row r="545" spans="1:35" hidden="1" x14ac:dyDescent="0.3">
      <c r="A545" s="13">
        <v>46032</v>
      </c>
      <c r="B545" s="14" t="s">
        <v>2806</v>
      </c>
      <c r="C545" s="16"/>
      <c r="D545" s="16"/>
      <c r="E545" s="15" t="s">
        <v>858</v>
      </c>
      <c r="F545" s="15" t="s">
        <v>1248</v>
      </c>
      <c r="G545" s="15" t="s">
        <v>589</v>
      </c>
      <c r="H545" s="15"/>
      <c r="I545" s="15" t="s">
        <v>2324</v>
      </c>
      <c r="J545" s="15" t="s">
        <v>2325</v>
      </c>
      <c r="K545" s="16"/>
      <c r="L545" s="14" t="s">
        <v>2821</v>
      </c>
      <c r="M545" s="16"/>
      <c r="N545" s="15" t="s">
        <v>1087</v>
      </c>
      <c r="O545" s="14">
        <v>37.840000000000003</v>
      </c>
      <c r="P545" s="14" t="s">
        <v>2845</v>
      </c>
      <c r="Q545" s="14" cm="1">
        <f t="array" ref="Q545">_xlfn.IFS(P545="USD",O545,P545="VND",O545/26090,P545="JPY",O545/161)</f>
        <v>37.840000000000003</v>
      </c>
      <c r="R545" s="14">
        <v>21</v>
      </c>
      <c r="S545" s="14">
        <v>1</v>
      </c>
      <c r="T545" s="14"/>
      <c r="U545" s="14" t="s">
        <v>2852</v>
      </c>
      <c r="V545" s="14" t="s">
        <v>2864</v>
      </c>
      <c r="W545" s="14" t="s">
        <v>2860</v>
      </c>
      <c r="X545" s="17">
        <v>0</v>
      </c>
      <c r="Y545" s="15" t="s">
        <v>2880</v>
      </c>
      <c r="Z545" s="18" t="s">
        <v>3050</v>
      </c>
      <c r="AA545" s="18"/>
      <c r="AB545" s="16"/>
      <c r="AC545" s="16"/>
      <c r="AD545" s="16"/>
      <c r="AE545" s="16" t="s">
        <v>3049</v>
      </c>
      <c r="AF545" s="16"/>
      <c r="AI545" s="3" t="str">
        <f t="shared" ca="1" si="8"/>
        <v>OK</v>
      </c>
    </row>
    <row r="546" spans="1:35" hidden="1" x14ac:dyDescent="0.3">
      <c r="A546" s="13">
        <v>46032</v>
      </c>
      <c r="B546" s="14" t="s">
        <v>2806</v>
      </c>
      <c r="C546" s="16"/>
      <c r="D546" s="16"/>
      <c r="E546" s="15" t="s">
        <v>858</v>
      </c>
      <c r="F546" s="15" t="s">
        <v>1248</v>
      </c>
      <c r="G546" s="15" t="s">
        <v>590</v>
      </c>
      <c r="H546" s="15"/>
      <c r="I546" s="15" t="s">
        <v>2326</v>
      </c>
      <c r="J546" s="15" t="s">
        <v>2327</v>
      </c>
      <c r="K546" s="16"/>
      <c r="L546" s="14" t="s">
        <v>2821</v>
      </c>
      <c r="M546" s="16"/>
      <c r="N546" s="15" t="s">
        <v>1087</v>
      </c>
      <c r="O546" s="14">
        <v>37.799999999999997</v>
      </c>
      <c r="P546" s="14" t="s">
        <v>2845</v>
      </c>
      <c r="Q546" s="14" cm="1">
        <f t="array" ref="Q546">_xlfn.IFS(P546="USD",O546,P546="VND",O546/26090,P546="JPY",O546/161)</f>
        <v>37.799999999999997</v>
      </c>
      <c r="R546" s="14">
        <v>21</v>
      </c>
      <c r="S546" s="14">
        <v>1</v>
      </c>
      <c r="T546" s="14"/>
      <c r="U546" s="14" t="s">
        <v>2852</v>
      </c>
      <c r="V546" s="14" t="s">
        <v>2864</v>
      </c>
      <c r="W546" s="14" t="s">
        <v>2860</v>
      </c>
      <c r="X546" s="17">
        <v>0</v>
      </c>
      <c r="Y546" s="15" t="s">
        <v>2880</v>
      </c>
      <c r="Z546" s="18" t="s">
        <v>3050</v>
      </c>
      <c r="AA546" s="18"/>
      <c r="AB546" s="16"/>
      <c r="AC546" s="16"/>
      <c r="AD546" s="16"/>
      <c r="AE546" s="16" t="s">
        <v>3049</v>
      </c>
      <c r="AF546" s="16"/>
      <c r="AI546" s="3" t="str">
        <f t="shared" ca="1" si="8"/>
        <v>OK</v>
      </c>
    </row>
    <row r="547" spans="1:35" hidden="1" x14ac:dyDescent="0.3">
      <c r="A547" s="13">
        <v>46032</v>
      </c>
      <c r="B547" s="14" t="s">
        <v>2806</v>
      </c>
      <c r="C547" s="16"/>
      <c r="D547" s="16"/>
      <c r="E547" s="15" t="s">
        <v>858</v>
      </c>
      <c r="F547" s="15" t="s">
        <v>1248</v>
      </c>
      <c r="G547" s="15" t="s">
        <v>591</v>
      </c>
      <c r="H547" s="15"/>
      <c r="I547" s="15" t="s">
        <v>2328</v>
      </c>
      <c r="J547" s="15" t="s">
        <v>2329</v>
      </c>
      <c r="K547" s="16"/>
      <c r="L547" s="14" t="s">
        <v>2808</v>
      </c>
      <c r="M547" s="16"/>
      <c r="N547" s="15" t="s">
        <v>1156</v>
      </c>
      <c r="O547" s="14">
        <v>94.48</v>
      </c>
      <c r="P547" s="14" t="s">
        <v>2845</v>
      </c>
      <c r="Q547" s="14" cm="1">
        <f t="array" ref="Q547">_xlfn.IFS(P547="USD",O547,P547="VND",O547/26090,P547="JPY",O547/161)</f>
        <v>94.48</v>
      </c>
      <c r="R547" s="14">
        <v>21</v>
      </c>
      <c r="S547" s="14">
        <v>1</v>
      </c>
      <c r="T547" s="14"/>
      <c r="U547" s="14" t="s">
        <v>2852</v>
      </c>
      <c r="V547" s="14" t="s">
        <v>2864</v>
      </c>
      <c r="W547" s="14" t="s">
        <v>2860</v>
      </c>
      <c r="X547" s="17">
        <v>0</v>
      </c>
      <c r="Y547" s="15" t="s">
        <v>2880</v>
      </c>
      <c r="Z547" s="18" t="s">
        <v>3050</v>
      </c>
      <c r="AA547" s="18"/>
      <c r="AB547" s="16"/>
      <c r="AC547" s="16"/>
      <c r="AD547" s="16"/>
      <c r="AE547" s="16" t="s">
        <v>3049</v>
      </c>
      <c r="AF547" s="16"/>
      <c r="AI547" s="3" t="str">
        <f t="shared" ca="1" si="8"/>
        <v>OK</v>
      </c>
    </row>
    <row r="548" spans="1:35" hidden="1" x14ac:dyDescent="0.3">
      <c r="A548" s="13">
        <v>46032</v>
      </c>
      <c r="B548" s="14" t="s">
        <v>2806</v>
      </c>
      <c r="C548" s="16"/>
      <c r="D548" s="16"/>
      <c r="E548" s="15" t="s">
        <v>858</v>
      </c>
      <c r="F548" s="15" t="s">
        <v>1248</v>
      </c>
      <c r="G548" s="15" t="s">
        <v>592</v>
      </c>
      <c r="H548" s="15"/>
      <c r="I548" s="15" t="s">
        <v>2330</v>
      </c>
      <c r="J548" s="15" t="s">
        <v>2331</v>
      </c>
      <c r="K548" s="16"/>
      <c r="L548" s="14" t="s">
        <v>2808</v>
      </c>
      <c r="M548" s="16"/>
      <c r="N548" s="15" t="s">
        <v>1156</v>
      </c>
      <c r="O548" s="14">
        <v>144.82</v>
      </c>
      <c r="P548" s="14" t="s">
        <v>2845</v>
      </c>
      <c r="Q548" s="14" cm="1">
        <f t="array" ref="Q548">_xlfn.IFS(P548="USD",O548,P548="VND",O548/26090,P548="JPY",O548/161)</f>
        <v>144.82</v>
      </c>
      <c r="R548" s="14">
        <v>21</v>
      </c>
      <c r="S548" s="14">
        <v>1</v>
      </c>
      <c r="T548" s="14"/>
      <c r="U548" s="14" t="s">
        <v>2852</v>
      </c>
      <c r="V548" s="14" t="s">
        <v>2864</v>
      </c>
      <c r="W548" s="14" t="s">
        <v>2860</v>
      </c>
      <c r="X548" s="17">
        <v>0</v>
      </c>
      <c r="Y548" s="15" t="s">
        <v>2880</v>
      </c>
      <c r="Z548" s="18" t="s">
        <v>3050</v>
      </c>
      <c r="AA548" s="18"/>
      <c r="AB548" s="16"/>
      <c r="AC548" s="16"/>
      <c r="AD548" s="16"/>
      <c r="AE548" s="16" t="s">
        <v>3049</v>
      </c>
      <c r="AF548" s="16"/>
      <c r="AI548" s="3" t="str">
        <f t="shared" ca="1" si="8"/>
        <v>OK</v>
      </c>
    </row>
    <row r="549" spans="1:35" hidden="1" x14ac:dyDescent="0.3">
      <c r="A549" s="13">
        <v>46032</v>
      </c>
      <c r="B549" s="14" t="s">
        <v>2806</v>
      </c>
      <c r="C549" s="16"/>
      <c r="D549" s="16"/>
      <c r="E549" s="15" t="s">
        <v>857</v>
      </c>
      <c r="F549" s="15" t="s">
        <v>912</v>
      </c>
      <c r="G549" s="15" t="s">
        <v>593</v>
      </c>
      <c r="H549" s="15"/>
      <c r="I549" s="15" t="s">
        <v>2332</v>
      </c>
      <c r="J549" s="15" t="s">
        <v>2333</v>
      </c>
      <c r="K549" s="16"/>
      <c r="L549" s="14" t="s">
        <v>2823</v>
      </c>
      <c r="M549" s="16"/>
      <c r="N549" s="15" t="s">
        <v>1157</v>
      </c>
      <c r="O549" s="14">
        <v>2.35</v>
      </c>
      <c r="P549" s="14" t="s">
        <v>2845</v>
      </c>
      <c r="Q549" s="14" cm="1">
        <f t="array" ref="Q549">_xlfn.IFS(P549="USD",O549,P549="VND",O549/26090,P549="JPY",O549/161)</f>
        <v>2.35</v>
      </c>
      <c r="R549" s="14">
        <v>35</v>
      </c>
      <c r="S549" s="14">
        <v>1</v>
      </c>
      <c r="T549" s="14"/>
      <c r="U549" s="14" t="s">
        <v>2848</v>
      </c>
      <c r="V549" s="14" t="s">
        <v>2857</v>
      </c>
      <c r="W549" s="14" t="s">
        <v>2858</v>
      </c>
      <c r="X549" s="17">
        <v>0</v>
      </c>
      <c r="Y549" s="15" t="s">
        <v>2875</v>
      </c>
      <c r="Z549" s="20">
        <v>46243</v>
      </c>
      <c r="AA549" s="20">
        <v>46608</v>
      </c>
      <c r="AB549" s="16"/>
      <c r="AC549" s="16"/>
      <c r="AD549" s="16"/>
      <c r="AE549" s="16" t="s">
        <v>2957</v>
      </c>
      <c r="AF549" s="16"/>
      <c r="AI549" s="3" t="str">
        <f t="shared" ca="1" si="8"/>
        <v>OK</v>
      </c>
    </row>
    <row r="550" spans="1:35" hidden="1" x14ac:dyDescent="0.3">
      <c r="A550" s="13">
        <v>46032</v>
      </c>
      <c r="B550" s="14" t="s">
        <v>2806</v>
      </c>
      <c r="C550" s="16"/>
      <c r="D550" s="16"/>
      <c r="E550" s="15" t="s">
        <v>888</v>
      </c>
      <c r="F550" s="15" t="s">
        <v>1273</v>
      </c>
      <c r="G550" s="15" t="s">
        <v>594</v>
      </c>
      <c r="H550" s="15"/>
      <c r="I550" s="15" t="s">
        <v>2334</v>
      </c>
      <c r="J550" s="15" t="s">
        <v>2335</v>
      </c>
      <c r="K550" s="16"/>
      <c r="L550" s="14" t="s">
        <v>2836</v>
      </c>
      <c r="M550" s="16"/>
      <c r="N550" s="15" t="s">
        <v>1158</v>
      </c>
      <c r="O550" s="14">
        <v>15132000</v>
      </c>
      <c r="P550" s="14" t="s">
        <v>2846</v>
      </c>
      <c r="Q550" s="14" cm="1">
        <f t="array" ref="Q550">_xlfn.IFS(P550="USD",O550,P550="VND",O550/26090,P550="JPY",O550/161)</f>
        <v>579.99233422767338</v>
      </c>
      <c r="R550" s="14">
        <v>35</v>
      </c>
      <c r="S550" s="14">
        <v>1</v>
      </c>
      <c r="T550" s="14"/>
      <c r="U550" s="14" t="s">
        <v>2848</v>
      </c>
      <c r="V550" s="14" t="s">
        <v>2857</v>
      </c>
      <c r="W550" s="14" t="s">
        <v>2858</v>
      </c>
      <c r="X550" s="17">
        <v>0</v>
      </c>
      <c r="Y550" s="15" t="s">
        <v>2875</v>
      </c>
      <c r="Z550" s="18" t="s">
        <v>2914</v>
      </c>
      <c r="AA550" s="18"/>
      <c r="AB550" s="16"/>
      <c r="AC550" s="16"/>
      <c r="AD550" s="16"/>
      <c r="AE550" s="16" t="s">
        <v>2917</v>
      </c>
      <c r="AF550" s="16"/>
      <c r="AI550" s="3" t="str">
        <f t="shared" ca="1" si="8"/>
        <v>OK</v>
      </c>
    </row>
    <row r="551" spans="1:35" hidden="1" x14ac:dyDescent="0.3">
      <c r="A551" s="13">
        <v>46032</v>
      </c>
      <c r="B551" s="14" t="s">
        <v>2806</v>
      </c>
      <c r="C551" s="16"/>
      <c r="D551" s="16"/>
      <c r="E551" s="15" t="s">
        <v>857</v>
      </c>
      <c r="F551" s="15" t="s">
        <v>912</v>
      </c>
      <c r="G551" s="15" t="s">
        <v>595</v>
      </c>
      <c r="H551" s="15"/>
      <c r="I551" s="15" t="s">
        <v>2336</v>
      </c>
      <c r="J551" s="15" t="s">
        <v>2333</v>
      </c>
      <c r="K551" s="16"/>
      <c r="L551" s="14" t="s">
        <v>2823</v>
      </c>
      <c r="M551" s="16"/>
      <c r="N551" s="15" t="s">
        <v>1157</v>
      </c>
      <c r="O551" s="14">
        <v>2.35</v>
      </c>
      <c r="P551" s="14" t="s">
        <v>2845</v>
      </c>
      <c r="Q551" s="14" cm="1">
        <f t="array" ref="Q551">_xlfn.IFS(P551="USD",O551,P551="VND",O551/26090,P551="JPY",O551/161)</f>
        <v>2.35</v>
      </c>
      <c r="R551" s="14">
        <v>35</v>
      </c>
      <c r="S551" s="14">
        <v>1</v>
      </c>
      <c r="T551" s="14"/>
      <c r="U551" s="14" t="s">
        <v>2848</v>
      </c>
      <c r="V551" s="14" t="s">
        <v>2857</v>
      </c>
      <c r="W551" s="14" t="s">
        <v>2858</v>
      </c>
      <c r="X551" s="17">
        <v>0</v>
      </c>
      <c r="Y551" s="15" t="s">
        <v>2875</v>
      </c>
      <c r="Z551" s="20">
        <v>46243</v>
      </c>
      <c r="AA551" s="20">
        <v>46608</v>
      </c>
      <c r="AB551" s="16"/>
      <c r="AC551" s="16"/>
      <c r="AD551" s="16"/>
      <c r="AE551" s="16" t="s">
        <v>2957</v>
      </c>
      <c r="AF551" s="16"/>
      <c r="AI551" s="3" t="str">
        <f t="shared" ca="1" si="8"/>
        <v>OK</v>
      </c>
    </row>
    <row r="552" spans="1:35" hidden="1" x14ac:dyDescent="0.3">
      <c r="A552" s="13">
        <v>46032</v>
      </c>
      <c r="B552" s="14" t="s">
        <v>2806</v>
      </c>
      <c r="C552" s="16"/>
      <c r="D552" s="16"/>
      <c r="E552" s="15" t="s">
        <v>858</v>
      </c>
      <c r="F552" s="15" t="s">
        <v>1248</v>
      </c>
      <c r="G552" s="15" t="s">
        <v>596</v>
      </c>
      <c r="H552" s="15"/>
      <c r="I552" s="15" t="s">
        <v>2337</v>
      </c>
      <c r="J552" s="15" t="s">
        <v>2338</v>
      </c>
      <c r="K552" s="16"/>
      <c r="L552" s="14" t="s">
        <v>2843</v>
      </c>
      <c r="M552" s="16"/>
      <c r="N552" s="15" t="s">
        <v>1159</v>
      </c>
      <c r="O552" s="14">
        <v>1287.3699999999999</v>
      </c>
      <c r="P552" s="14" t="s">
        <v>2845</v>
      </c>
      <c r="Q552" s="14" cm="1">
        <f t="array" ref="Q552">_xlfn.IFS(P552="USD",O552,P552="VND",O552/26090,P552="JPY",O552/161)</f>
        <v>1287.3699999999999</v>
      </c>
      <c r="R552" s="14">
        <v>45</v>
      </c>
      <c r="S552" s="14">
        <v>1</v>
      </c>
      <c r="T552" s="14"/>
      <c r="U552" s="14" t="s">
        <v>2852</v>
      </c>
      <c r="V552" s="14" t="s">
        <v>2864</v>
      </c>
      <c r="W552" s="14" t="s">
        <v>2860</v>
      </c>
      <c r="X552" s="17">
        <v>0</v>
      </c>
      <c r="Y552" s="15" t="s">
        <v>2880</v>
      </c>
      <c r="Z552" s="18" t="s">
        <v>3050</v>
      </c>
      <c r="AA552" s="18"/>
      <c r="AB552" s="16"/>
      <c r="AC552" s="16"/>
      <c r="AD552" s="16"/>
      <c r="AE552" s="16" t="s">
        <v>3049</v>
      </c>
      <c r="AF552" s="16"/>
      <c r="AI552" s="3" t="str">
        <f t="shared" ca="1" si="8"/>
        <v>OK</v>
      </c>
    </row>
    <row r="553" spans="1:35" hidden="1" x14ac:dyDescent="0.3">
      <c r="A553" s="13">
        <v>46032</v>
      </c>
      <c r="B553" s="14" t="s">
        <v>2806</v>
      </c>
      <c r="C553" s="16"/>
      <c r="D553" s="16"/>
      <c r="E553" s="15" t="s">
        <v>857</v>
      </c>
      <c r="F553" s="15" t="s">
        <v>912</v>
      </c>
      <c r="G553" s="15" t="s">
        <v>597</v>
      </c>
      <c r="H553" s="15"/>
      <c r="I553" s="15" t="s">
        <v>2339</v>
      </c>
      <c r="J553" s="15" t="s">
        <v>2340</v>
      </c>
      <c r="K553" s="16"/>
      <c r="L553" s="14" t="s">
        <v>2823</v>
      </c>
      <c r="M553" s="16"/>
      <c r="N553" s="15" t="s">
        <v>1132</v>
      </c>
      <c r="O553" s="14">
        <v>4.0199999999999996</v>
      </c>
      <c r="P553" s="14" t="s">
        <v>2845</v>
      </c>
      <c r="Q553" s="14" cm="1">
        <f t="array" ref="Q553">_xlfn.IFS(P553="USD",O553,P553="VND",O553/26090,P553="JPY",O553/161)</f>
        <v>4.0199999999999996</v>
      </c>
      <c r="R553" s="14">
        <v>35</v>
      </c>
      <c r="S553" s="14">
        <v>1</v>
      </c>
      <c r="T553" s="14"/>
      <c r="U553" s="14" t="s">
        <v>2848</v>
      </c>
      <c r="V553" s="14" t="s">
        <v>2857</v>
      </c>
      <c r="W553" s="14" t="s">
        <v>2858</v>
      </c>
      <c r="X553" s="17">
        <v>0</v>
      </c>
      <c r="Y553" s="15" t="s">
        <v>2875</v>
      </c>
      <c r="Z553" s="20">
        <v>46243</v>
      </c>
      <c r="AA553" s="20">
        <v>46608</v>
      </c>
      <c r="AB553" s="16"/>
      <c r="AC553" s="16"/>
      <c r="AD553" s="16"/>
      <c r="AE553" s="16" t="s">
        <v>2957</v>
      </c>
      <c r="AF553" s="16"/>
      <c r="AI553" s="3" t="str">
        <f t="shared" ca="1" si="8"/>
        <v>OK</v>
      </c>
    </row>
    <row r="554" spans="1:35" x14ac:dyDescent="0.3">
      <c r="A554" s="13">
        <v>46032</v>
      </c>
      <c r="B554" s="14" t="s">
        <v>2806</v>
      </c>
      <c r="C554" s="16"/>
      <c r="D554" s="16"/>
      <c r="E554" s="15" t="s">
        <v>862</v>
      </c>
      <c r="F554" s="15" t="s">
        <v>1251</v>
      </c>
      <c r="G554" s="15" t="s">
        <v>598</v>
      </c>
      <c r="H554" s="15"/>
      <c r="I554" s="15" t="s">
        <v>2341</v>
      </c>
      <c r="J554" s="15" t="s">
        <v>2342</v>
      </c>
      <c r="K554" s="16"/>
      <c r="L554" s="14" t="s">
        <v>2823</v>
      </c>
      <c r="M554" s="16"/>
      <c r="N554" s="15" t="s">
        <v>1067</v>
      </c>
      <c r="O554" s="14">
        <v>22328000</v>
      </c>
      <c r="P554" s="14" t="s">
        <v>2846</v>
      </c>
      <c r="Q554" s="14" cm="1">
        <f t="array" ref="Q554">_xlfn.IFS(P554="USD",O554,P554="VND",O554/26090,P554="JPY",O554/161)</f>
        <v>855.80682253737064</v>
      </c>
      <c r="R554" s="14">
        <v>30</v>
      </c>
      <c r="S554" s="14">
        <v>1</v>
      </c>
      <c r="T554" s="14"/>
      <c r="U554" s="14" t="s">
        <v>2848</v>
      </c>
      <c r="V554" s="14" t="s">
        <v>2857</v>
      </c>
      <c r="W554" s="14" t="s">
        <v>2858</v>
      </c>
      <c r="X554" s="17">
        <v>0</v>
      </c>
      <c r="Y554" s="15" t="s">
        <v>2875</v>
      </c>
      <c r="Z554" s="18" t="s">
        <v>2929</v>
      </c>
      <c r="AA554" s="22" t="s">
        <v>2931</v>
      </c>
      <c r="AB554" s="16"/>
      <c r="AC554" s="16"/>
      <c r="AD554" s="16"/>
      <c r="AE554" s="16" t="s">
        <v>2933</v>
      </c>
      <c r="AF554" s="16"/>
      <c r="AI554" s="3" t="str">
        <f t="shared" ca="1" si="8"/>
        <v>OK</v>
      </c>
    </row>
    <row r="555" spans="1:35" hidden="1" x14ac:dyDescent="0.3">
      <c r="A555" s="13">
        <v>46032</v>
      </c>
      <c r="B555" s="14" t="s">
        <v>2806</v>
      </c>
      <c r="C555" s="16"/>
      <c r="D555" s="16"/>
      <c r="E555" s="15" t="s">
        <v>857</v>
      </c>
      <c r="F555" s="15" t="s">
        <v>912</v>
      </c>
      <c r="G555" s="15" t="s">
        <v>599</v>
      </c>
      <c r="H555" s="15"/>
      <c r="I555" s="15" t="s">
        <v>2343</v>
      </c>
      <c r="J555" s="15" t="s">
        <v>2344</v>
      </c>
      <c r="K555" s="16"/>
      <c r="L555" s="14" t="s">
        <v>2823</v>
      </c>
      <c r="M555" s="16"/>
      <c r="N555" s="15" t="s">
        <v>1132</v>
      </c>
      <c r="O555" s="14">
        <v>2.64</v>
      </c>
      <c r="P555" s="14" t="s">
        <v>2845</v>
      </c>
      <c r="Q555" s="14" cm="1">
        <f t="array" ref="Q555">_xlfn.IFS(P555="USD",O555,P555="VND",O555/26090,P555="JPY",O555/161)</f>
        <v>2.64</v>
      </c>
      <c r="R555" s="14">
        <v>35</v>
      </c>
      <c r="S555" s="14">
        <v>1</v>
      </c>
      <c r="T555" s="14"/>
      <c r="U555" s="14" t="s">
        <v>2848</v>
      </c>
      <c r="V555" s="14" t="s">
        <v>2857</v>
      </c>
      <c r="W555" s="14" t="s">
        <v>2858</v>
      </c>
      <c r="X555" s="17">
        <v>0</v>
      </c>
      <c r="Y555" s="15" t="s">
        <v>2875</v>
      </c>
      <c r="Z555" s="20">
        <v>46243</v>
      </c>
      <c r="AA555" s="20">
        <v>46608</v>
      </c>
      <c r="AB555" s="16"/>
      <c r="AC555" s="16"/>
      <c r="AD555" s="16"/>
      <c r="AE555" s="16" t="s">
        <v>2957</v>
      </c>
      <c r="AF555" s="16"/>
      <c r="AI555" s="3" t="str">
        <f t="shared" ca="1" si="8"/>
        <v>OK</v>
      </c>
    </row>
    <row r="556" spans="1:35" hidden="1" x14ac:dyDescent="0.3">
      <c r="A556" s="13">
        <v>46032</v>
      </c>
      <c r="B556" s="14" t="s">
        <v>2806</v>
      </c>
      <c r="C556" s="16"/>
      <c r="D556" s="16"/>
      <c r="E556" s="15" t="s">
        <v>849</v>
      </c>
      <c r="F556" s="15" t="s">
        <v>1243</v>
      </c>
      <c r="G556" s="15" t="s">
        <v>600</v>
      </c>
      <c r="H556" s="15"/>
      <c r="I556" s="15" t="s">
        <v>2345</v>
      </c>
      <c r="J556" s="15" t="s">
        <v>2346</v>
      </c>
      <c r="K556" s="16"/>
      <c r="L556" s="14" t="s">
        <v>2823</v>
      </c>
      <c r="M556" s="16"/>
      <c r="N556" s="15" t="s">
        <v>1160</v>
      </c>
      <c r="O556" s="14">
        <v>249</v>
      </c>
      <c r="P556" s="14" t="s">
        <v>2845</v>
      </c>
      <c r="Q556" s="14" cm="1">
        <f t="array" ref="Q556">_xlfn.IFS(P556="USD",O556,P556="VND",O556/26090,P556="JPY",O556/161)</f>
        <v>249</v>
      </c>
      <c r="R556" s="14">
        <v>21</v>
      </c>
      <c r="S556" s="14">
        <v>1</v>
      </c>
      <c r="T556" s="14"/>
      <c r="U556" s="14" t="s">
        <v>2849</v>
      </c>
      <c r="V556" s="14" t="s">
        <v>2857</v>
      </c>
      <c r="W556" s="14" t="s">
        <v>2858</v>
      </c>
      <c r="X556" s="17">
        <v>0</v>
      </c>
      <c r="Y556" s="15" t="s">
        <v>2875</v>
      </c>
      <c r="Z556" s="20">
        <v>46028</v>
      </c>
      <c r="AA556" s="20">
        <v>46393</v>
      </c>
      <c r="AB556" s="16"/>
      <c r="AC556" s="16"/>
      <c r="AD556" s="16"/>
      <c r="AE556" s="16" t="s">
        <v>2959</v>
      </c>
      <c r="AF556" s="16"/>
      <c r="AI556" s="3" t="str">
        <f t="shared" ca="1" si="8"/>
        <v>OK</v>
      </c>
    </row>
    <row r="557" spans="1:35" x14ac:dyDescent="0.3">
      <c r="A557" s="13">
        <v>46032</v>
      </c>
      <c r="B557" s="14" t="s">
        <v>2806</v>
      </c>
      <c r="C557" s="16"/>
      <c r="D557" s="16"/>
      <c r="E557" s="15" t="s">
        <v>898</v>
      </c>
      <c r="F557" s="15" t="s">
        <v>1280</v>
      </c>
      <c r="G557" s="15" t="s">
        <v>601</v>
      </c>
      <c r="H557" s="15"/>
      <c r="I557" s="15" t="s">
        <v>2347</v>
      </c>
      <c r="J557" s="15" t="s">
        <v>2348</v>
      </c>
      <c r="K557" s="16"/>
      <c r="L557" s="14" t="s">
        <v>2832</v>
      </c>
      <c r="M557" s="16"/>
      <c r="N557" s="15" t="s">
        <v>1161</v>
      </c>
      <c r="O557" s="14">
        <v>15200000</v>
      </c>
      <c r="P557" s="14" t="s">
        <v>2846</v>
      </c>
      <c r="Q557" s="14" cm="1">
        <f t="array" ref="Q557">_xlfn.IFS(P557="USD",O557,P557="VND",O557/26090,P557="JPY",O557/161)</f>
        <v>582.59869681870452</v>
      </c>
      <c r="R557" s="14">
        <v>14</v>
      </c>
      <c r="S557" s="14">
        <v>1</v>
      </c>
      <c r="T557" s="14"/>
      <c r="U557" s="14" t="s">
        <v>2848</v>
      </c>
      <c r="V557" s="14" t="s">
        <v>2857</v>
      </c>
      <c r="W557" s="14" t="s">
        <v>2858</v>
      </c>
      <c r="X557" s="17">
        <v>0</v>
      </c>
      <c r="Y557" s="15" t="s">
        <v>2875</v>
      </c>
      <c r="Z557" s="20">
        <v>46121</v>
      </c>
      <c r="AA557" s="22" t="s">
        <v>2973</v>
      </c>
      <c r="AB557" s="16"/>
      <c r="AC557" s="16"/>
      <c r="AD557" s="16"/>
      <c r="AE557" s="16" t="s">
        <v>2993</v>
      </c>
      <c r="AF557" s="16"/>
      <c r="AI557" s="3" t="str">
        <f t="shared" ca="1" si="8"/>
        <v>OK</v>
      </c>
    </row>
    <row r="558" spans="1:35" x14ac:dyDescent="0.3">
      <c r="A558" s="13">
        <v>46032</v>
      </c>
      <c r="B558" s="14" t="s">
        <v>2806</v>
      </c>
      <c r="C558" s="16"/>
      <c r="D558" s="16"/>
      <c r="E558" s="15" t="s">
        <v>862</v>
      </c>
      <c r="F558" s="15" t="s">
        <v>1251</v>
      </c>
      <c r="G558" s="15" t="s">
        <v>602</v>
      </c>
      <c r="H558" s="15"/>
      <c r="I558" s="15" t="s">
        <v>2349</v>
      </c>
      <c r="J558" s="15" t="s">
        <v>2350</v>
      </c>
      <c r="K558" s="16"/>
      <c r="L558" s="14" t="s">
        <v>2823</v>
      </c>
      <c r="M558" s="16"/>
      <c r="N558" s="15" t="s">
        <v>1162</v>
      </c>
      <c r="O558" s="14">
        <v>2745000</v>
      </c>
      <c r="P558" s="14" t="s">
        <v>2846</v>
      </c>
      <c r="Q558" s="14" cm="1">
        <f t="array" ref="Q558">_xlfn.IFS(P558="USD",O558,P558="VND",O558/26090,P558="JPY",O558/161)</f>
        <v>105.21272518206209</v>
      </c>
      <c r="R558" s="14">
        <v>10</v>
      </c>
      <c r="S558" s="14">
        <v>1</v>
      </c>
      <c r="T558" s="14"/>
      <c r="U558" s="14" t="s">
        <v>2848</v>
      </c>
      <c r="V558" s="14" t="s">
        <v>2857</v>
      </c>
      <c r="W558" s="14" t="s">
        <v>2858</v>
      </c>
      <c r="X558" s="17">
        <v>0</v>
      </c>
      <c r="Y558" s="15" t="s">
        <v>2875</v>
      </c>
      <c r="Z558" s="18" t="s">
        <v>2929</v>
      </c>
      <c r="AA558" s="22" t="s">
        <v>2931</v>
      </c>
      <c r="AB558" s="16"/>
      <c r="AC558" s="16"/>
      <c r="AD558" s="16"/>
      <c r="AE558" s="16" t="s">
        <v>2933</v>
      </c>
      <c r="AF558" s="16"/>
      <c r="AI558" s="3" t="str">
        <f t="shared" ca="1" si="8"/>
        <v>OK</v>
      </c>
    </row>
    <row r="559" spans="1:35" hidden="1" x14ac:dyDescent="0.3">
      <c r="A559" s="13">
        <v>46032</v>
      </c>
      <c r="B559" s="14" t="s">
        <v>2806</v>
      </c>
      <c r="C559" s="16"/>
      <c r="D559" s="16"/>
      <c r="E559" s="15" t="s">
        <v>849</v>
      </c>
      <c r="F559" s="15" t="s">
        <v>1243</v>
      </c>
      <c r="G559" s="15" t="s">
        <v>603</v>
      </c>
      <c r="H559" s="15"/>
      <c r="I559" s="15" t="s">
        <v>2351</v>
      </c>
      <c r="J559" s="15" t="s">
        <v>2352</v>
      </c>
      <c r="K559" s="16"/>
      <c r="L559" s="14" t="s">
        <v>2823</v>
      </c>
      <c r="M559" s="16"/>
      <c r="N559" s="15" t="s">
        <v>1163</v>
      </c>
      <c r="O559" s="14">
        <v>111.1</v>
      </c>
      <c r="P559" s="14" t="s">
        <v>2845</v>
      </c>
      <c r="Q559" s="14" cm="1">
        <f t="array" ref="Q559">_xlfn.IFS(P559="USD",O559,P559="VND",O559/26090,P559="JPY",O559/161)</f>
        <v>111.1</v>
      </c>
      <c r="R559" s="14">
        <v>20</v>
      </c>
      <c r="S559" s="14">
        <v>1</v>
      </c>
      <c r="T559" s="14"/>
      <c r="U559" s="14" t="s">
        <v>2849</v>
      </c>
      <c r="V559" s="14" t="s">
        <v>2857</v>
      </c>
      <c r="W559" s="14" t="s">
        <v>2858</v>
      </c>
      <c r="X559" s="17">
        <v>0</v>
      </c>
      <c r="Y559" s="15" t="s">
        <v>2875</v>
      </c>
      <c r="Z559" s="20">
        <v>46028</v>
      </c>
      <c r="AA559" s="20">
        <v>46393</v>
      </c>
      <c r="AB559" s="16"/>
      <c r="AC559" s="16"/>
      <c r="AD559" s="16"/>
      <c r="AE559" s="16" t="s">
        <v>2959</v>
      </c>
      <c r="AF559" s="16"/>
      <c r="AI559" s="3" t="str">
        <f t="shared" ca="1" si="8"/>
        <v>OK</v>
      </c>
    </row>
    <row r="560" spans="1:35" x14ac:dyDescent="0.3">
      <c r="A560" s="13">
        <v>46032</v>
      </c>
      <c r="B560" s="14" t="s">
        <v>2806</v>
      </c>
      <c r="C560" s="16"/>
      <c r="D560" s="16"/>
      <c r="E560" s="15" t="s">
        <v>886</v>
      </c>
      <c r="F560" s="15" t="s">
        <v>1271</v>
      </c>
      <c r="G560" s="15" t="s">
        <v>604</v>
      </c>
      <c r="H560" s="15"/>
      <c r="I560" s="15" t="s">
        <v>2353</v>
      </c>
      <c r="J560" s="15" t="s">
        <v>2354</v>
      </c>
      <c r="K560" s="16"/>
      <c r="L560" s="14" t="s">
        <v>2823</v>
      </c>
      <c r="M560" s="16"/>
      <c r="N560" s="15" t="s">
        <v>1164</v>
      </c>
      <c r="O560" s="14">
        <v>79.099999999999994</v>
      </c>
      <c r="P560" s="14" t="s">
        <v>2845</v>
      </c>
      <c r="Q560" s="14" cm="1">
        <f t="array" ref="Q560">_xlfn.IFS(P560="USD",O560,P560="VND",O560/26090,P560="JPY",O560/161)</f>
        <v>79.099999999999994</v>
      </c>
      <c r="R560" s="14">
        <v>20</v>
      </c>
      <c r="S560" s="14">
        <v>1</v>
      </c>
      <c r="T560" s="14"/>
      <c r="U560" s="14" t="s">
        <v>2850</v>
      </c>
      <c r="V560" s="14" t="s">
        <v>2859</v>
      </c>
      <c r="W560" s="14" t="s">
        <v>2860</v>
      </c>
      <c r="X560" s="17">
        <v>0</v>
      </c>
      <c r="Y560" s="15" t="s">
        <v>2899</v>
      </c>
      <c r="Z560" s="18" t="s">
        <v>3044</v>
      </c>
      <c r="AA560" s="22" t="s">
        <v>3045</v>
      </c>
      <c r="AB560" s="16"/>
      <c r="AC560" s="16"/>
      <c r="AD560" s="16"/>
      <c r="AE560" s="16" t="s">
        <v>3046</v>
      </c>
      <c r="AF560" s="16"/>
      <c r="AI560" s="3" t="str">
        <f t="shared" ca="1" si="8"/>
        <v>OK</v>
      </c>
    </row>
    <row r="561" spans="1:35" hidden="1" x14ac:dyDescent="0.3">
      <c r="A561" s="13">
        <v>46032</v>
      </c>
      <c r="B561" s="14" t="s">
        <v>2806</v>
      </c>
      <c r="C561" s="16"/>
      <c r="D561" s="16"/>
      <c r="E561" s="15" t="s">
        <v>849</v>
      </c>
      <c r="F561" s="15" t="s">
        <v>1243</v>
      </c>
      <c r="G561" s="15" t="s">
        <v>605</v>
      </c>
      <c r="H561" s="15"/>
      <c r="I561" s="15" t="s">
        <v>2355</v>
      </c>
      <c r="J561" s="15" t="s">
        <v>2356</v>
      </c>
      <c r="K561" s="16"/>
      <c r="L561" s="14" t="s">
        <v>2823</v>
      </c>
      <c r="M561" s="16"/>
      <c r="N561" s="15" t="s">
        <v>1165</v>
      </c>
      <c r="O561" s="14">
        <v>4.9000000000000004</v>
      </c>
      <c r="P561" s="14" t="s">
        <v>2845</v>
      </c>
      <c r="Q561" s="14" cm="1">
        <f t="array" ref="Q561">_xlfn.IFS(P561="USD",O561,P561="VND",O561/26090,P561="JPY",O561/161)</f>
        <v>4.9000000000000004</v>
      </c>
      <c r="R561" s="14">
        <v>20</v>
      </c>
      <c r="S561" s="14">
        <v>1</v>
      </c>
      <c r="T561" s="14"/>
      <c r="U561" s="14" t="s">
        <v>2849</v>
      </c>
      <c r="V561" s="14" t="s">
        <v>2857</v>
      </c>
      <c r="W561" s="14" t="s">
        <v>2858</v>
      </c>
      <c r="X561" s="17">
        <v>0</v>
      </c>
      <c r="Y561" s="15" t="s">
        <v>2875</v>
      </c>
      <c r="Z561" s="20">
        <v>46028</v>
      </c>
      <c r="AA561" s="20">
        <v>46393</v>
      </c>
      <c r="AB561" s="16"/>
      <c r="AC561" s="16"/>
      <c r="AD561" s="16"/>
      <c r="AE561" s="16" t="s">
        <v>2959</v>
      </c>
      <c r="AF561" s="16"/>
      <c r="AI561" s="3" t="str">
        <f t="shared" ca="1" si="8"/>
        <v>OK</v>
      </c>
    </row>
    <row r="562" spans="1:35" x14ac:dyDescent="0.3">
      <c r="A562" s="13">
        <v>46032</v>
      </c>
      <c r="B562" s="14" t="s">
        <v>2806</v>
      </c>
      <c r="C562" s="16"/>
      <c r="D562" s="16"/>
      <c r="E562" s="15" t="s">
        <v>862</v>
      </c>
      <c r="F562" s="15" t="s">
        <v>1251</v>
      </c>
      <c r="G562" s="15" t="s">
        <v>606</v>
      </c>
      <c r="H562" s="15"/>
      <c r="I562" s="15" t="s">
        <v>2357</v>
      </c>
      <c r="J562" s="15" t="s">
        <v>2358</v>
      </c>
      <c r="K562" s="16"/>
      <c r="L562" s="14" t="s">
        <v>2823</v>
      </c>
      <c r="M562" s="16"/>
      <c r="N562" s="15" t="s">
        <v>950</v>
      </c>
      <c r="O562" s="14">
        <v>15000</v>
      </c>
      <c r="P562" s="14" t="s">
        <v>2846</v>
      </c>
      <c r="Q562" s="14" cm="1">
        <f t="array" ref="Q562">_xlfn.IFS(P562="USD",O562,P562="VND",O562/26090,P562="JPY",O562/161)</f>
        <v>0.57493292449214262</v>
      </c>
      <c r="R562" s="14">
        <v>15</v>
      </c>
      <c r="S562" s="14">
        <v>100</v>
      </c>
      <c r="T562" s="14"/>
      <c r="U562" s="14" t="s">
        <v>2848</v>
      </c>
      <c r="V562" s="14" t="s">
        <v>2857</v>
      </c>
      <c r="W562" s="14" t="s">
        <v>2858</v>
      </c>
      <c r="X562" s="17">
        <v>0</v>
      </c>
      <c r="Y562" s="15" t="s">
        <v>2875</v>
      </c>
      <c r="Z562" s="18" t="s">
        <v>2929</v>
      </c>
      <c r="AA562" s="22" t="s">
        <v>2931</v>
      </c>
      <c r="AB562" s="16"/>
      <c r="AC562" s="16"/>
      <c r="AD562" s="16"/>
      <c r="AE562" s="16" t="s">
        <v>2933</v>
      </c>
      <c r="AF562" s="16"/>
      <c r="AI562" s="3" t="str">
        <f t="shared" ca="1" si="8"/>
        <v>OK</v>
      </c>
    </row>
    <row r="563" spans="1:35" x14ac:dyDescent="0.3">
      <c r="A563" s="13">
        <v>46032</v>
      </c>
      <c r="B563" s="14" t="s">
        <v>2806</v>
      </c>
      <c r="C563" s="16"/>
      <c r="D563" s="16"/>
      <c r="E563" s="15" t="s">
        <v>898</v>
      </c>
      <c r="F563" s="15" t="s">
        <v>1280</v>
      </c>
      <c r="G563" s="15" t="s">
        <v>607</v>
      </c>
      <c r="H563" s="15"/>
      <c r="I563" s="15" t="s">
        <v>2359</v>
      </c>
      <c r="J563" s="15" t="s">
        <v>2360</v>
      </c>
      <c r="K563" s="16"/>
      <c r="L563" s="14" t="s">
        <v>2832</v>
      </c>
      <c r="M563" s="16"/>
      <c r="N563" s="15" t="s">
        <v>1166</v>
      </c>
      <c r="O563" s="14">
        <v>8500000</v>
      </c>
      <c r="P563" s="14" t="s">
        <v>2846</v>
      </c>
      <c r="Q563" s="14" cm="1">
        <f t="array" ref="Q563">_xlfn.IFS(P563="USD",O563,P563="VND",O563/26090,P563="JPY",O563/161)</f>
        <v>325.79532387888082</v>
      </c>
      <c r="R563" s="14">
        <v>14</v>
      </c>
      <c r="S563" s="14">
        <v>1</v>
      </c>
      <c r="T563" s="14"/>
      <c r="U563" s="14" t="s">
        <v>2848</v>
      </c>
      <c r="V563" s="14" t="s">
        <v>2857</v>
      </c>
      <c r="W563" s="14" t="s">
        <v>2858</v>
      </c>
      <c r="X563" s="17">
        <v>0</v>
      </c>
      <c r="Y563" s="15" t="s">
        <v>2875</v>
      </c>
      <c r="Z563" s="20">
        <v>46121</v>
      </c>
      <c r="AA563" s="22" t="s">
        <v>2973</v>
      </c>
      <c r="AB563" s="16"/>
      <c r="AC563" s="16"/>
      <c r="AD563" s="16"/>
      <c r="AE563" s="16" t="s">
        <v>2993</v>
      </c>
      <c r="AF563" s="16"/>
      <c r="AI563" s="3" t="str">
        <f t="shared" ca="1" si="8"/>
        <v>OK</v>
      </c>
    </row>
    <row r="564" spans="1:35" hidden="1" x14ac:dyDescent="0.3">
      <c r="A564" s="13">
        <v>46032</v>
      </c>
      <c r="B564" s="14" t="s">
        <v>2806</v>
      </c>
      <c r="C564" s="16"/>
      <c r="D564" s="16"/>
      <c r="E564" s="15" t="s">
        <v>857</v>
      </c>
      <c r="F564" s="15" t="s">
        <v>912</v>
      </c>
      <c r="G564" s="15" t="s">
        <v>608</v>
      </c>
      <c r="H564" s="15"/>
      <c r="I564" s="15" t="s">
        <v>2361</v>
      </c>
      <c r="J564" s="15" t="s">
        <v>1932</v>
      </c>
      <c r="K564" s="16"/>
      <c r="L564" s="14" t="s">
        <v>2821</v>
      </c>
      <c r="M564" s="16"/>
      <c r="N564" s="15" t="s">
        <v>1167</v>
      </c>
      <c r="O564" s="14">
        <v>0.42</v>
      </c>
      <c r="P564" s="14" t="s">
        <v>2845</v>
      </c>
      <c r="Q564" s="14" cm="1">
        <f t="array" ref="Q564">_xlfn.IFS(P564="USD",O564,P564="VND",O564/26090,P564="JPY",O564/161)</f>
        <v>0.42</v>
      </c>
      <c r="R564" s="14">
        <v>30</v>
      </c>
      <c r="S564" s="14">
        <v>1</v>
      </c>
      <c r="T564" s="14"/>
      <c r="U564" s="14" t="s">
        <v>2848</v>
      </c>
      <c r="V564" s="14" t="s">
        <v>2857</v>
      </c>
      <c r="W564" s="14" t="s">
        <v>2858</v>
      </c>
      <c r="X564" s="17">
        <v>0</v>
      </c>
      <c r="Y564" s="15" t="s">
        <v>2875</v>
      </c>
      <c r="Z564" s="20">
        <v>46243</v>
      </c>
      <c r="AA564" s="20">
        <v>46608</v>
      </c>
      <c r="AB564" s="16"/>
      <c r="AC564" s="16"/>
      <c r="AD564" s="16"/>
      <c r="AE564" s="16" t="s">
        <v>2957</v>
      </c>
      <c r="AF564" s="16"/>
      <c r="AI564" s="3" t="str">
        <f t="shared" ca="1" si="8"/>
        <v>OK</v>
      </c>
    </row>
    <row r="565" spans="1:35" x14ac:dyDescent="0.3">
      <c r="A565" s="13">
        <v>46032</v>
      </c>
      <c r="B565" s="14" t="s">
        <v>2806</v>
      </c>
      <c r="C565" s="16"/>
      <c r="D565" s="16"/>
      <c r="E565" s="15" t="s">
        <v>862</v>
      </c>
      <c r="F565" s="15" t="s">
        <v>1251</v>
      </c>
      <c r="G565" s="15" t="s">
        <v>609</v>
      </c>
      <c r="H565" s="15"/>
      <c r="I565" s="15" t="s">
        <v>2362</v>
      </c>
      <c r="J565" s="15" t="s">
        <v>2363</v>
      </c>
      <c r="K565" s="16"/>
      <c r="L565" s="14" t="s">
        <v>2814</v>
      </c>
      <c r="M565" s="16"/>
      <c r="N565" s="15" t="s">
        <v>950</v>
      </c>
      <c r="O565" s="14">
        <v>150000</v>
      </c>
      <c r="P565" s="14" t="s">
        <v>2846</v>
      </c>
      <c r="Q565" s="14" cm="1">
        <f t="array" ref="Q565">_xlfn.IFS(P565="USD",O565,P565="VND",O565/26090,P565="JPY",O565/161)</f>
        <v>5.7493292449214257</v>
      </c>
      <c r="R565" s="14">
        <v>10</v>
      </c>
      <c r="S565" s="14">
        <v>1</v>
      </c>
      <c r="T565" s="14"/>
      <c r="U565" s="14" t="s">
        <v>2848</v>
      </c>
      <c r="V565" s="14" t="s">
        <v>2857</v>
      </c>
      <c r="W565" s="14" t="s">
        <v>2858</v>
      </c>
      <c r="X565" s="17">
        <v>0</v>
      </c>
      <c r="Y565" s="15" t="s">
        <v>2875</v>
      </c>
      <c r="Z565" s="18" t="s">
        <v>2929</v>
      </c>
      <c r="AA565" s="22" t="s">
        <v>2931</v>
      </c>
      <c r="AB565" s="16"/>
      <c r="AC565" s="16"/>
      <c r="AD565" s="16"/>
      <c r="AE565" s="16" t="s">
        <v>2933</v>
      </c>
      <c r="AF565" s="16"/>
      <c r="AI565" s="3" t="str">
        <f t="shared" ca="1" si="8"/>
        <v>OK</v>
      </c>
    </row>
    <row r="566" spans="1:35" x14ac:dyDescent="0.3">
      <c r="A566" s="13">
        <v>46032</v>
      </c>
      <c r="B566" s="14" t="s">
        <v>2806</v>
      </c>
      <c r="C566" s="16"/>
      <c r="D566" s="16"/>
      <c r="E566" s="15" t="s">
        <v>898</v>
      </c>
      <c r="F566" s="15" t="s">
        <v>1280</v>
      </c>
      <c r="G566" s="15" t="s">
        <v>610</v>
      </c>
      <c r="H566" s="15"/>
      <c r="I566" s="15" t="s">
        <v>2364</v>
      </c>
      <c r="J566" s="15" t="s">
        <v>2365</v>
      </c>
      <c r="K566" s="16"/>
      <c r="L566" s="14" t="s">
        <v>2832</v>
      </c>
      <c r="M566" s="16"/>
      <c r="N566" s="15" t="s">
        <v>1166</v>
      </c>
      <c r="O566" s="14">
        <v>1600000</v>
      </c>
      <c r="P566" s="14" t="s">
        <v>2846</v>
      </c>
      <c r="Q566" s="14" cm="1">
        <f t="array" ref="Q566">_xlfn.IFS(P566="USD",O566,P566="VND",O566/26090,P566="JPY",O566/161)</f>
        <v>61.326178612495212</v>
      </c>
      <c r="R566" s="14">
        <v>14</v>
      </c>
      <c r="S566" s="14">
        <v>1</v>
      </c>
      <c r="T566" s="14"/>
      <c r="U566" s="14" t="s">
        <v>2848</v>
      </c>
      <c r="V566" s="14" t="s">
        <v>2857</v>
      </c>
      <c r="W566" s="14" t="s">
        <v>2858</v>
      </c>
      <c r="X566" s="17">
        <v>0</v>
      </c>
      <c r="Y566" s="15" t="s">
        <v>2875</v>
      </c>
      <c r="Z566" s="20">
        <v>46121</v>
      </c>
      <c r="AA566" s="22" t="s">
        <v>2973</v>
      </c>
      <c r="AB566" s="16"/>
      <c r="AC566" s="16"/>
      <c r="AD566" s="16"/>
      <c r="AE566" s="16" t="s">
        <v>2993</v>
      </c>
      <c r="AF566" s="16"/>
      <c r="AI566" s="3" t="str">
        <f t="shared" ca="1" si="8"/>
        <v>OK</v>
      </c>
    </row>
    <row r="567" spans="1:35" hidden="1" x14ac:dyDescent="0.3">
      <c r="A567" s="13">
        <v>46032</v>
      </c>
      <c r="B567" s="14" t="s">
        <v>2806</v>
      </c>
      <c r="C567" s="16"/>
      <c r="D567" s="16"/>
      <c r="E567" s="15" t="s">
        <v>875</v>
      </c>
      <c r="F567" s="15" t="s">
        <v>1261</v>
      </c>
      <c r="G567" s="15" t="s">
        <v>611</v>
      </c>
      <c r="H567" s="15"/>
      <c r="I567" s="15" t="s">
        <v>2366</v>
      </c>
      <c r="J567" s="15" t="s">
        <v>2367</v>
      </c>
      <c r="K567" s="16"/>
      <c r="L567" s="14" t="s">
        <v>2823</v>
      </c>
      <c r="M567" s="16"/>
      <c r="N567" s="15" t="s">
        <v>1033</v>
      </c>
      <c r="O567" s="14">
        <v>57.36</v>
      </c>
      <c r="P567" s="14" t="s">
        <v>2845</v>
      </c>
      <c r="Q567" s="14" cm="1">
        <f t="array" ref="Q567">_xlfn.IFS(P567="USD",O567,P567="VND",O567/26090,P567="JPY",O567/161)</f>
        <v>57.36</v>
      </c>
      <c r="R567" s="14">
        <v>42</v>
      </c>
      <c r="S567" s="14">
        <v>1</v>
      </c>
      <c r="T567" s="14"/>
      <c r="U567" s="14" t="s">
        <v>2848</v>
      </c>
      <c r="V567" s="14" t="s">
        <v>2857</v>
      </c>
      <c r="W567" s="14" t="s">
        <v>2858</v>
      </c>
      <c r="X567" s="17">
        <v>0</v>
      </c>
      <c r="Y567" s="15" t="s">
        <v>2875</v>
      </c>
      <c r="Z567" s="18" t="s">
        <v>2935</v>
      </c>
      <c r="AA567" s="18"/>
      <c r="AB567" s="16"/>
      <c r="AC567" s="16"/>
      <c r="AD567" s="16"/>
      <c r="AE567" s="16" t="s">
        <v>2999</v>
      </c>
      <c r="AF567" s="16"/>
      <c r="AI567" s="3" t="str">
        <f t="shared" ca="1" si="8"/>
        <v>OK</v>
      </c>
    </row>
    <row r="568" spans="1:35" x14ac:dyDescent="0.3">
      <c r="A568" s="13">
        <v>46032</v>
      </c>
      <c r="B568" s="14" t="s">
        <v>2806</v>
      </c>
      <c r="C568" s="16"/>
      <c r="D568" s="16"/>
      <c r="E568" s="15" t="s">
        <v>862</v>
      </c>
      <c r="F568" s="15" t="s">
        <v>1251</v>
      </c>
      <c r="G568" s="15" t="s">
        <v>612</v>
      </c>
      <c r="H568" s="15"/>
      <c r="I568" s="15" t="s">
        <v>2368</v>
      </c>
      <c r="J568" s="15" t="s">
        <v>2369</v>
      </c>
      <c r="K568" s="16"/>
      <c r="L568" s="14" t="s">
        <v>2823</v>
      </c>
      <c r="M568" s="16"/>
      <c r="N568" s="15" t="s">
        <v>950</v>
      </c>
      <c r="O568" s="14">
        <v>150000</v>
      </c>
      <c r="P568" s="14" t="s">
        <v>2846</v>
      </c>
      <c r="Q568" s="14" cm="1">
        <f t="array" ref="Q568">_xlfn.IFS(P568="USD",O568,P568="VND",O568/26090,P568="JPY",O568/161)</f>
        <v>5.7493292449214257</v>
      </c>
      <c r="R568" s="14">
        <v>20</v>
      </c>
      <c r="S568" s="14">
        <v>50</v>
      </c>
      <c r="T568" s="14"/>
      <c r="U568" s="14" t="s">
        <v>2848</v>
      </c>
      <c r="V568" s="14" t="s">
        <v>2857</v>
      </c>
      <c r="W568" s="14" t="s">
        <v>2858</v>
      </c>
      <c r="X568" s="17">
        <v>0</v>
      </c>
      <c r="Y568" s="15" t="s">
        <v>2875</v>
      </c>
      <c r="Z568" s="18" t="s">
        <v>2929</v>
      </c>
      <c r="AA568" s="22" t="s">
        <v>2931</v>
      </c>
      <c r="AB568" s="16"/>
      <c r="AC568" s="16"/>
      <c r="AD568" s="16"/>
      <c r="AE568" s="16" t="s">
        <v>2933</v>
      </c>
      <c r="AF568" s="16"/>
      <c r="AI568" s="3" t="str">
        <f t="shared" ca="1" si="8"/>
        <v>OK</v>
      </c>
    </row>
    <row r="569" spans="1:35" x14ac:dyDescent="0.3">
      <c r="A569" s="13">
        <v>46032</v>
      </c>
      <c r="B569" s="14" t="s">
        <v>2806</v>
      </c>
      <c r="C569" s="16"/>
      <c r="D569" s="16"/>
      <c r="E569" s="15" t="s">
        <v>898</v>
      </c>
      <c r="F569" s="15" t="s">
        <v>1280</v>
      </c>
      <c r="G569" s="15" t="s">
        <v>613</v>
      </c>
      <c r="H569" s="15"/>
      <c r="I569" s="15" t="s">
        <v>2370</v>
      </c>
      <c r="J569" s="15" t="s">
        <v>2371</v>
      </c>
      <c r="K569" s="16"/>
      <c r="L569" s="14" t="s">
        <v>2832</v>
      </c>
      <c r="M569" s="16"/>
      <c r="N569" s="15" t="s">
        <v>1166</v>
      </c>
      <c r="O569" s="14">
        <v>1600000</v>
      </c>
      <c r="P569" s="14" t="s">
        <v>2846</v>
      </c>
      <c r="Q569" s="14" cm="1">
        <f t="array" ref="Q569">_xlfn.IFS(P569="USD",O569,P569="VND",O569/26090,P569="JPY",O569/161)</f>
        <v>61.326178612495212</v>
      </c>
      <c r="R569" s="14">
        <v>14</v>
      </c>
      <c r="S569" s="14">
        <v>1</v>
      </c>
      <c r="T569" s="14"/>
      <c r="U569" s="14" t="s">
        <v>2848</v>
      </c>
      <c r="V569" s="14" t="s">
        <v>2857</v>
      </c>
      <c r="W569" s="14" t="s">
        <v>2858</v>
      </c>
      <c r="X569" s="17">
        <v>0</v>
      </c>
      <c r="Y569" s="15" t="s">
        <v>2875</v>
      </c>
      <c r="Z569" s="20">
        <v>46121</v>
      </c>
      <c r="AA569" s="22" t="s">
        <v>2973</v>
      </c>
      <c r="AB569" s="16"/>
      <c r="AC569" s="16"/>
      <c r="AD569" s="16"/>
      <c r="AE569" s="16" t="s">
        <v>2993</v>
      </c>
      <c r="AF569" s="16"/>
      <c r="AI569" s="3" t="str">
        <f t="shared" ca="1" si="8"/>
        <v>OK</v>
      </c>
    </row>
    <row r="570" spans="1:35" x14ac:dyDescent="0.3">
      <c r="A570" s="13">
        <v>46032</v>
      </c>
      <c r="B570" s="14" t="s">
        <v>2806</v>
      </c>
      <c r="C570" s="16"/>
      <c r="D570" s="16"/>
      <c r="E570" s="15" t="s">
        <v>899</v>
      </c>
      <c r="F570" s="15" t="s">
        <v>913</v>
      </c>
      <c r="G570" s="15" t="s">
        <v>614</v>
      </c>
      <c r="H570" s="15"/>
      <c r="I570" s="15" t="s">
        <v>2372</v>
      </c>
      <c r="J570" s="15" t="s">
        <v>2373</v>
      </c>
      <c r="K570" s="16"/>
      <c r="L570" s="14" t="s">
        <v>2828</v>
      </c>
      <c r="M570" s="16"/>
      <c r="N570" s="15" t="s">
        <v>1168</v>
      </c>
      <c r="O570" s="14">
        <v>94039</v>
      </c>
      <c r="P570" s="14" t="s">
        <v>2846</v>
      </c>
      <c r="Q570" s="14" cm="1">
        <f t="array" ref="Q570">_xlfn.IFS(P570="USD",O570,P570="VND",O570/26090,P570="JPY",O570/161)</f>
        <v>3.6044078190877733</v>
      </c>
      <c r="R570" s="14">
        <v>30</v>
      </c>
      <c r="S570" s="14">
        <v>1</v>
      </c>
      <c r="T570" s="14"/>
      <c r="U570" s="14" t="s">
        <v>2848</v>
      </c>
      <c r="V570" s="14" t="s">
        <v>2857</v>
      </c>
      <c r="W570" s="14" t="s">
        <v>2858</v>
      </c>
      <c r="X570" s="17">
        <v>0</v>
      </c>
      <c r="Y570" s="15" t="s">
        <v>2875</v>
      </c>
      <c r="Z570" s="20">
        <v>46121</v>
      </c>
      <c r="AA570" s="23">
        <v>46122</v>
      </c>
      <c r="AB570" s="16"/>
      <c r="AC570" s="16"/>
      <c r="AD570" s="16"/>
      <c r="AE570" s="16" t="s">
        <v>3007</v>
      </c>
      <c r="AF570" s="16"/>
      <c r="AI570" s="3" t="str">
        <f t="shared" ca="1" si="8"/>
        <v>NG</v>
      </c>
    </row>
    <row r="571" spans="1:35" x14ac:dyDescent="0.3">
      <c r="A571" s="13">
        <v>46032</v>
      </c>
      <c r="B571" s="14" t="s">
        <v>2806</v>
      </c>
      <c r="C571" s="16"/>
      <c r="D571" s="16"/>
      <c r="E571" s="15" t="s">
        <v>899</v>
      </c>
      <c r="F571" s="15" t="s">
        <v>913</v>
      </c>
      <c r="G571" s="15" t="s">
        <v>615</v>
      </c>
      <c r="H571" s="15"/>
      <c r="I571" s="15" t="s">
        <v>2374</v>
      </c>
      <c r="J571" s="15" t="s">
        <v>2375</v>
      </c>
      <c r="K571" s="16"/>
      <c r="L571" s="14" t="s">
        <v>2828</v>
      </c>
      <c r="M571" s="16"/>
      <c r="N571" s="15" t="s">
        <v>1169</v>
      </c>
      <c r="O571" s="14">
        <v>135076</v>
      </c>
      <c r="P571" s="14" t="s">
        <v>2846</v>
      </c>
      <c r="Q571" s="14" cm="1">
        <f t="array" ref="Q571">_xlfn.IFS(P571="USD",O571,P571="VND",O571/26090,P571="JPY",O571/161)</f>
        <v>5.1773093139133763</v>
      </c>
      <c r="R571" s="14">
        <v>30</v>
      </c>
      <c r="S571" s="14">
        <v>1</v>
      </c>
      <c r="T571" s="14"/>
      <c r="U571" s="14" t="s">
        <v>2848</v>
      </c>
      <c r="V571" s="14" t="s">
        <v>2857</v>
      </c>
      <c r="W571" s="14" t="s">
        <v>2858</v>
      </c>
      <c r="X571" s="17">
        <v>0</v>
      </c>
      <c r="Y571" s="15" t="s">
        <v>2875</v>
      </c>
      <c r="Z571" s="20">
        <v>46121</v>
      </c>
      <c r="AA571" s="23">
        <v>46122</v>
      </c>
      <c r="AB571" s="16"/>
      <c r="AC571" s="16"/>
      <c r="AD571" s="16"/>
      <c r="AE571" s="16" t="s">
        <v>3007</v>
      </c>
      <c r="AF571" s="16"/>
      <c r="AI571" s="3" t="str">
        <f t="shared" ca="1" si="8"/>
        <v>NG</v>
      </c>
    </row>
    <row r="572" spans="1:35" hidden="1" x14ac:dyDescent="0.3">
      <c r="A572" s="13">
        <v>46032</v>
      </c>
      <c r="B572" s="14" t="s">
        <v>2806</v>
      </c>
      <c r="C572" s="16"/>
      <c r="D572" s="16"/>
      <c r="E572" s="15" t="s">
        <v>888</v>
      </c>
      <c r="F572" s="15" t="s">
        <v>1273</v>
      </c>
      <c r="G572" s="15" t="s">
        <v>616</v>
      </c>
      <c r="H572" s="15"/>
      <c r="I572" s="15" t="s">
        <v>2376</v>
      </c>
      <c r="J572" s="15" t="s">
        <v>2377</v>
      </c>
      <c r="K572" s="16"/>
      <c r="L572" s="14" t="s">
        <v>2832</v>
      </c>
      <c r="M572" s="16"/>
      <c r="N572" s="15" t="s">
        <v>1106</v>
      </c>
      <c r="O572" s="14">
        <v>34000</v>
      </c>
      <c r="P572" s="14" t="s">
        <v>2846</v>
      </c>
      <c r="Q572" s="14" cm="1">
        <f t="array" ref="Q572">_xlfn.IFS(P572="USD",O572,P572="VND",O572/26090,P572="JPY",O572/161)</f>
        <v>1.3031812955155231</v>
      </c>
      <c r="R572" s="14">
        <v>14</v>
      </c>
      <c r="S572" s="14">
        <v>1</v>
      </c>
      <c r="T572" s="14"/>
      <c r="U572" s="14" t="s">
        <v>2848</v>
      </c>
      <c r="V572" s="14" t="s">
        <v>2857</v>
      </c>
      <c r="W572" s="14" t="s">
        <v>2858</v>
      </c>
      <c r="X572" s="17">
        <v>0</v>
      </c>
      <c r="Y572" s="15" t="s">
        <v>2875</v>
      </c>
      <c r="Z572" s="18" t="s">
        <v>2914</v>
      </c>
      <c r="AA572" s="18"/>
      <c r="AB572" s="16"/>
      <c r="AC572" s="16"/>
      <c r="AD572" s="16"/>
      <c r="AE572" s="16" t="s">
        <v>2917</v>
      </c>
      <c r="AF572" s="16"/>
      <c r="AI572" s="3" t="str">
        <f t="shared" ca="1" si="8"/>
        <v>OK</v>
      </c>
    </row>
    <row r="573" spans="1:35" x14ac:dyDescent="0.3">
      <c r="A573" s="13">
        <v>46032</v>
      </c>
      <c r="B573" s="14" t="s">
        <v>2806</v>
      </c>
      <c r="C573" s="16"/>
      <c r="D573" s="16"/>
      <c r="E573" s="15" t="s">
        <v>898</v>
      </c>
      <c r="F573" s="15" t="s">
        <v>1280</v>
      </c>
      <c r="G573" s="15" t="s">
        <v>617</v>
      </c>
      <c r="H573" s="15"/>
      <c r="I573" s="15" t="s">
        <v>2378</v>
      </c>
      <c r="J573" s="15" t="s">
        <v>2379</v>
      </c>
      <c r="K573" s="16"/>
      <c r="L573" s="14" t="s">
        <v>2832</v>
      </c>
      <c r="M573" s="16"/>
      <c r="N573" s="15" t="s">
        <v>1166</v>
      </c>
      <c r="O573" s="14">
        <v>8800000</v>
      </c>
      <c r="P573" s="14" t="s">
        <v>2846</v>
      </c>
      <c r="Q573" s="14" cm="1">
        <f t="array" ref="Q573">_xlfn.IFS(P573="USD",O573,P573="VND",O573/26090,P573="JPY",O573/161)</f>
        <v>337.29398236872368</v>
      </c>
      <c r="R573" s="14">
        <v>14</v>
      </c>
      <c r="S573" s="14">
        <v>1</v>
      </c>
      <c r="T573" s="14"/>
      <c r="U573" s="14" t="s">
        <v>2848</v>
      </c>
      <c r="V573" s="14" t="s">
        <v>2857</v>
      </c>
      <c r="W573" s="14" t="s">
        <v>2858</v>
      </c>
      <c r="X573" s="17">
        <v>0</v>
      </c>
      <c r="Y573" s="15" t="s">
        <v>2875</v>
      </c>
      <c r="Z573" s="20">
        <v>46121</v>
      </c>
      <c r="AA573" s="22" t="s">
        <v>2973</v>
      </c>
      <c r="AB573" s="16"/>
      <c r="AC573" s="16"/>
      <c r="AD573" s="16"/>
      <c r="AE573" s="16" t="s">
        <v>2993</v>
      </c>
      <c r="AF573" s="16"/>
      <c r="AI573" s="3" t="str">
        <f t="shared" ca="1" si="8"/>
        <v>OK</v>
      </c>
    </row>
    <row r="574" spans="1:35" hidden="1" x14ac:dyDescent="0.3">
      <c r="A574" s="13">
        <v>46032</v>
      </c>
      <c r="B574" s="14" t="s">
        <v>2806</v>
      </c>
      <c r="C574" s="16"/>
      <c r="D574" s="16"/>
      <c r="E574" s="15" t="s">
        <v>857</v>
      </c>
      <c r="F574" s="15" t="s">
        <v>912</v>
      </c>
      <c r="G574" s="15" t="s">
        <v>618</v>
      </c>
      <c r="H574" s="15"/>
      <c r="I574" s="15" t="s">
        <v>2380</v>
      </c>
      <c r="J574" s="15" t="s">
        <v>2381</v>
      </c>
      <c r="K574" s="16"/>
      <c r="L574" s="14" t="s">
        <v>2823</v>
      </c>
      <c r="M574" s="16"/>
      <c r="N574" s="15" t="s">
        <v>1170</v>
      </c>
      <c r="O574" s="14">
        <v>0.08</v>
      </c>
      <c r="P574" s="14" t="s">
        <v>2845</v>
      </c>
      <c r="Q574" s="14" cm="1">
        <f t="array" ref="Q574">_xlfn.IFS(P574="USD",O574,P574="VND",O574/26090,P574="JPY",O574/161)</f>
        <v>0.08</v>
      </c>
      <c r="R574" s="14">
        <v>35</v>
      </c>
      <c r="S574" s="14">
        <v>1</v>
      </c>
      <c r="T574" s="14"/>
      <c r="U574" s="14" t="s">
        <v>2848</v>
      </c>
      <c r="V574" s="14" t="s">
        <v>2857</v>
      </c>
      <c r="W574" s="14" t="s">
        <v>2858</v>
      </c>
      <c r="X574" s="17">
        <v>0</v>
      </c>
      <c r="Y574" s="15" t="s">
        <v>2875</v>
      </c>
      <c r="Z574" s="20">
        <v>46243</v>
      </c>
      <c r="AA574" s="20">
        <v>46608</v>
      </c>
      <c r="AB574" s="16"/>
      <c r="AC574" s="16"/>
      <c r="AD574" s="16"/>
      <c r="AE574" s="16" t="s">
        <v>2957</v>
      </c>
      <c r="AF574" s="16"/>
      <c r="AI574" s="3" t="str">
        <f t="shared" ca="1" si="8"/>
        <v>OK</v>
      </c>
    </row>
    <row r="575" spans="1:35" hidden="1" x14ac:dyDescent="0.3">
      <c r="A575" s="13">
        <v>46032</v>
      </c>
      <c r="B575" s="14" t="s">
        <v>2806</v>
      </c>
      <c r="C575" s="16"/>
      <c r="D575" s="16"/>
      <c r="E575" s="15" t="s">
        <v>857</v>
      </c>
      <c r="F575" s="15" t="s">
        <v>912</v>
      </c>
      <c r="G575" s="15" t="s">
        <v>619</v>
      </c>
      <c r="H575" s="15"/>
      <c r="I575" s="15" t="s">
        <v>2382</v>
      </c>
      <c r="J575" s="15" t="s">
        <v>2381</v>
      </c>
      <c r="K575" s="16"/>
      <c r="L575" s="14" t="s">
        <v>2823</v>
      </c>
      <c r="M575" s="16"/>
      <c r="N575" s="15" t="s">
        <v>1170</v>
      </c>
      <c r="O575" s="14">
        <v>0.08</v>
      </c>
      <c r="P575" s="14" t="s">
        <v>2845</v>
      </c>
      <c r="Q575" s="14" cm="1">
        <f t="array" ref="Q575">_xlfn.IFS(P575="USD",O575,P575="VND",O575/26090,P575="JPY",O575/161)</f>
        <v>0.08</v>
      </c>
      <c r="R575" s="14">
        <v>35</v>
      </c>
      <c r="S575" s="14">
        <v>1</v>
      </c>
      <c r="T575" s="14"/>
      <c r="U575" s="14" t="s">
        <v>2848</v>
      </c>
      <c r="V575" s="14" t="s">
        <v>2857</v>
      </c>
      <c r="W575" s="14" t="s">
        <v>2858</v>
      </c>
      <c r="X575" s="17">
        <v>0</v>
      </c>
      <c r="Y575" s="15" t="s">
        <v>2875</v>
      </c>
      <c r="Z575" s="20">
        <v>46243</v>
      </c>
      <c r="AA575" s="20">
        <v>46608</v>
      </c>
      <c r="AB575" s="16"/>
      <c r="AC575" s="16"/>
      <c r="AD575" s="16"/>
      <c r="AE575" s="16" t="s">
        <v>2957</v>
      </c>
      <c r="AF575" s="16"/>
      <c r="AI575" s="3" t="str">
        <f t="shared" ca="1" si="8"/>
        <v>OK</v>
      </c>
    </row>
    <row r="576" spans="1:35" x14ac:dyDescent="0.3">
      <c r="A576" s="13">
        <v>46032</v>
      </c>
      <c r="B576" s="14" t="s">
        <v>2806</v>
      </c>
      <c r="C576" s="16"/>
      <c r="D576" s="16"/>
      <c r="E576" s="15" t="s">
        <v>898</v>
      </c>
      <c r="F576" s="15" t="s">
        <v>1280</v>
      </c>
      <c r="G576" s="15" t="s">
        <v>620</v>
      </c>
      <c r="H576" s="15"/>
      <c r="I576" s="15" t="s">
        <v>2383</v>
      </c>
      <c r="J576" s="15" t="s">
        <v>2384</v>
      </c>
      <c r="K576" s="16"/>
      <c r="L576" s="14" t="s">
        <v>2832</v>
      </c>
      <c r="M576" s="16"/>
      <c r="N576" s="15" t="s">
        <v>1171</v>
      </c>
      <c r="O576" s="14">
        <v>1250000</v>
      </c>
      <c r="P576" s="14" t="s">
        <v>2846</v>
      </c>
      <c r="Q576" s="14" cm="1">
        <f t="array" ref="Q576">_xlfn.IFS(P576="USD",O576,P576="VND",O576/26090,P576="JPY",O576/161)</f>
        <v>47.911077041011879</v>
      </c>
      <c r="R576" s="14">
        <v>14</v>
      </c>
      <c r="S576" s="14">
        <v>1</v>
      </c>
      <c r="T576" s="14"/>
      <c r="U576" s="14" t="s">
        <v>2848</v>
      </c>
      <c r="V576" s="14" t="s">
        <v>2857</v>
      </c>
      <c r="W576" s="14" t="s">
        <v>2858</v>
      </c>
      <c r="X576" s="17">
        <v>0</v>
      </c>
      <c r="Y576" s="15" t="s">
        <v>2875</v>
      </c>
      <c r="Z576" s="20">
        <v>46121</v>
      </c>
      <c r="AA576" s="22" t="s">
        <v>2973</v>
      </c>
      <c r="AB576" s="16"/>
      <c r="AC576" s="16"/>
      <c r="AD576" s="16"/>
      <c r="AE576" s="16" t="s">
        <v>2993</v>
      </c>
      <c r="AF576" s="16"/>
      <c r="AI576" s="3" t="str">
        <f t="shared" ca="1" si="8"/>
        <v>OK</v>
      </c>
    </row>
    <row r="577" spans="1:35" x14ac:dyDescent="0.3">
      <c r="A577" s="13">
        <v>46032</v>
      </c>
      <c r="B577" s="14" t="s">
        <v>2806</v>
      </c>
      <c r="C577" s="16"/>
      <c r="D577" s="16"/>
      <c r="E577" s="15" t="s">
        <v>898</v>
      </c>
      <c r="F577" s="15" t="s">
        <v>1280</v>
      </c>
      <c r="G577" s="15" t="s">
        <v>621</v>
      </c>
      <c r="H577" s="15"/>
      <c r="I577" s="15" t="s">
        <v>2385</v>
      </c>
      <c r="J577" s="15" t="s">
        <v>2386</v>
      </c>
      <c r="K577" s="16"/>
      <c r="L577" s="14" t="s">
        <v>2832</v>
      </c>
      <c r="M577" s="16"/>
      <c r="N577" s="15" t="s">
        <v>1166</v>
      </c>
      <c r="O577" s="14">
        <v>1782000</v>
      </c>
      <c r="P577" s="14" t="s">
        <v>2846</v>
      </c>
      <c r="Q577" s="14" cm="1">
        <f t="array" ref="Q577">_xlfn.IFS(P577="USD",O577,P577="VND",O577/26090,P577="JPY",O577/161)</f>
        <v>68.302031429666542</v>
      </c>
      <c r="R577" s="14">
        <v>14</v>
      </c>
      <c r="S577" s="14">
        <v>1</v>
      </c>
      <c r="T577" s="14"/>
      <c r="U577" s="14" t="s">
        <v>2848</v>
      </c>
      <c r="V577" s="14" t="s">
        <v>2857</v>
      </c>
      <c r="W577" s="14" t="s">
        <v>2858</v>
      </c>
      <c r="X577" s="17">
        <v>0</v>
      </c>
      <c r="Y577" s="15" t="s">
        <v>2875</v>
      </c>
      <c r="Z577" s="20">
        <v>46121</v>
      </c>
      <c r="AA577" s="22" t="s">
        <v>2973</v>
      </c>
      <c r="AB577" s="16"/>
      <c r="AC577" s="16"/>
      <c r="AD577" s="16"/>
      <c r="AE577" s="16" t="s">
        <v>2993</v>
      </c>
      <c r="AF577" s="16"/>
      <c r="AI577" s="3" t="str">
        <f t="shared" ca="1" si="8"/>
        <v>OK</v>
      </c>
    </row>
    <row r="578" spans="1:35" x14ac:dyDescent="0.3">
      <c r="A578" s="13">
        <v>46032</v>
      </c>
      <c r="B578" s="14" t="s">
        <v>2806</v>
      </c>
      <c r="C578" s="16"/>
      <c r="D578" s="16"/>
      <c r="E578" s="15" t="s">
        <v>898</v>
      </c>
      <c r="F578" s="15" t="s">
        <v>1280</v>
      </c>
      <c r="G578" s="15" t="s">
        <v>622</v>
      </c>
      <c r="H578" s="15"/>
      <c r="I578" s="15" t="s">
        <v>2387</v>
      </c>
      <c r="J578" s="15" t="s">
        <v>2388</v>
      </c>
      <c r="K578" s="16"/>
      <c r="L578" s="14" t="s">
        <v>2832</v>
      </c>
      <c r="M578" s="16"/>
      <c r="N578" s="15" t="s">
        <v>1166</v>
      </c>
      <c r="O578" s="14">
        <v>1450000</v>
      </c>
      <c r="P578" s="14" t="s">
        <v>2846</v>
      </c>
      <c r="Q578" s="14" cm="1">
        <f t="array" ref="Q578">_xlfn.IFS(P578="USD",O578,P578="VND",O578/26090,P578="JPY",O578/161)</f>
        <v>55.576849367573786</v>
      </c>
      <c r="R578" s="14">
        <v>14</v>
      </c>
      <c r="S578" s="14">
        <v>1</v>
      </c>
      <c r="T578" s="14"/>
      <c r="U578" s="14" t="s">
        <v>2848</v>
      </c>
      <c r="V578" s="14" t="s">
        <v>2857</v>
      </c>
      <c r="W578" s="14" t="s">
        <v>2858</v>
      </c>
      <c r="X578" s="17">
        <v>0</v>
      </c>
      <c r="Y578" s="15" t="s">
        <v>2875</v>
      </c>
      <c r="Z578" s="20">
        <v>46121</v>
      </c>
      <c r="AA578" s="22" t="s">
        <v>2973</v>
      </c>
      <c r="AB578" s="16"/>
      <c r="AC578" s="16"/>
      <c r="AD578" s="16"/>
      <c r="AE578" s="16" t="s">
        <v>2993</v>
      </c>
      <c r="AF578" s="16"/>
      <c r="AI578" s="3" t="str">
        <f t="shared" ca="1" si="8"/>
        <v>OK</v>
      </c>
    </row>
    <row r="579" spans="1:35" x14ac:dyDescent="0.3">
      <c r="A579" s="13">
        <v>46032</v>
      </c>
      <c r="B579" s="14" t="s">
        <v>2806</v>
      </c>
      <c r="C579" s="16"/>
      <c r="D579" s="16"/>
      <c r="E579" s="15" t="s">
        <v>898</v>
      </c>
      <c r="F579" s="15" t="s">
        <v>1280</v>
      </c>
      <c r="G579" s="15" t="s">
        <v>623</v>
      </c>
      <c r="H579" s="15"/>
      <c r="I579" s="15" t="s">
        <v>2389</v>
      </c>
      <c r="J579" s="15" t="s">
        <v>2390</v>
      </c>
      <c r="K579" s="16"/>
      <c r="L579" s="14" t="s">
        <v>2832</v>
      </c>
      <c r="M579" s="16"/>
      <c r="N579" s="15" t="s">
        <v>1171</v>
      </c>
      <c r="O579" s="14">
        <v>5500000</v>
      </c>
      <c r="P579" s="14" t="s">
        <v>2846</v>
      </c>
      <c r="Q579" s="14" cm="1">
        <f t="array" ref="Q579">_xlfn.IFS(P579="USD",O579,P579="VND",O579/26090,P579="JPY",O579/161)</f>
        <v>210.80873898045229</v>
      </c>
      <c r="R579" s="14">
        <v>14</v>
      </c>
      <c r="S579" s="14">
        <v>1</v>
      </c>
      <c r="T579" s="14"/>
      <c r="U579" s="14" t="s">
        <v>2848</v>
      </c>
      <c r="V579" s="14" t="s">
        <v>2857</v>
      </c>
      <c r="W579" s="14" t="s">
        <v>2858</v>
      </c>
      <c r="X579" s="17">
        <v>0</v>
      </c>
      <c r="Y579" s="15" t="s">
        <v>2875</v>
      </c>
      <c r="Z579" s="20">
        <v>46121</v>
      </c>
      <c r="AA579" s="22" t="s">
        <v>2973</v>
      </c>
      <c r="AB579" s="16"/>
      <c r="AC579" s="16"/>
      <c r="AD579" s="16"/>
      <c r="AE579" s="16" t="s">
        <v>2993</v>
      </c>
      <c r="AF579" s="16"/>
      <c r="AI579" s="3" t="str">
        <f t="shared" ref="AI579:AI642" ca="1" si="9">IF(AA579="","OK",IF(AA579&lt;TODAY(),"NG","OK"))</f>
        <v>OK</v>
      </c>
    </row>
    <row r="580" spans="1:35" x14ac:dyDescent="0.3">
      <c r="A580" s="13">
        <v>46032</v>
      </c>
      <c r="B580" s="14" t="s">
        <v>2806</v>
      </c>
      <c r="C580" s="16"/>
      <c r="D580" s="16"/>
      <c r="E580" s="15" t="s">
        <v>898</v>
      </c>
      <c r="F580" s="15" t="s">
        <v>1280</v>
      </c>
      <c r="G580" s="15" t="s">
        <v>624</v>
      </c>
      <c r="H580" s="15"/>
      <c r="I580" s="15" t="s">
        <v>2391</v>
      </c>
      <c r="J580" s="15" t="s">
        <v>2392</v>
      </c>
      <c r="K580" s="16"/>
      <c r="L580" s="14" t="s">
        <v>2832</v>
      </c>
      <c r="M580" s="16"/>
      <c r="N580" s="15" t="s">
        <v>1166</v>
      </c>
      <c r="O580" s="14">
        <v>4900000</v>
      </c>
      <c r="P580" s="14" t="s">
        <v>2846</v>
      </c>
      <c r="Q580" s="14" cm="1">
        <f t="array" ref="Q580">_xlfn.IFS(P580="USD",O580,P580="VND",O580/26090,P580="JPY",O580/161)</f>
        <v>187.81142200076658</v>
      </c>
      <c r="R580" s="14">
        <v>14</v>
      </c>
      <c r="S580" s="14">
        <v>1</v>
      </c>
      <c r="T580" s="14"/>
      <c r="U580" s="14" t="s">
        <v>2848</v>
      </c>
      <c r="V580" s="14" t="s">
        <v>2857</v>
      </c>
      <c r="W580" s="14" t="s">
        <v>2858</v>
      </c>
      <c r="X580" s="17">
        <v>0</v>
      </c>
      <c r="Y580" s="15" t="s">
        <v>2875</v>
      </c>
      <c r="Z580" s="20">
        <v>46121</v>
      </c>
      <c r="AA580" s="22" t="s">
        <v>2973</v>
      </c>
      <c r="AB580" s="16"/>
      <c r="AC580" s="16"/>
      <c r="AD580" s="16"/>
      <c r="AE580" s="16" t="s">
        <v>2993</v>
      </c>
      <c r="AF580" s="16"/>
      <c r="AI580" s="3" t="str">
        <f t="shared" ca="1" si="9"/>
        <v>OK</v>
      </c>
    </row>
    <row r="581" spans="1:35" x14ac:dyDescent="0.3">
      <c r="A581" s="13">
        <v>46032</v>
      </c>
      <c r="B581" s="14" t="s">
        <v>2806</v>
      </c>
      <c r="C581" s="16"/>
      <c r="D581" s="16"/>
      <c r="E581" s="15" t="s">
        <v>898</v>
      </c>
      <c r="F581" s="15" t="s">
        <v>1280</v>
      </c>
      <c r="G581" s="15" t="s">
        <v>625</v>
      </c>
      <c r="H581" s="15"/>
      <c r="I581" s="15" t="s">
        <v>2393</v>
      </c>
      <c r="J581" s="15" t="s">
        <v>2394</v>
      </c>
      <c r="K581" s="16"/>
      <c r="L581" s="14" t="s">
        <v>2832</v>
      </c>
      <c r="M581" s="16"/>
      <c r="N581" s="15" t="s">
        <v>1171</v>
      </c>
      <c r="O581" s="14">
        <v>5800000</v>
      </c>
      <c r="P581" s="14" t="s">
        <v>2846</v>
      </c>
      <c r="Q581" s="14" cm="1">
        <f t="array" ref="Q581">_xlfn.IFS(P581="USD",O581,P581="VND",O581/26090,P581="JPY",O581/161)</f>
        <v>222.30739747029514</v>
      </c>
      <c r="R581" s="14">
        <v>14</v>
      </c>
      <c r="S581" s="14">
        <v>1</v>
      </c>
      <c r="T581" s="14"/>
      <c r="U581" s="14" t="s">
        <v>2848</v>
      </c>
      <c r="V581" s="14" t="s">
        <v>2857</v>
      </c>
      <c r="W581" s="14" t="s">
        <v>2858</v>
      </c>
      <c r="X581" s="17">
        <v>0</v>
      </c>
      <c r="Y581" s="15" t="s">
        <v>2875</v>
      </c>
      <c r="Z581" s="20">
        <v>46121</v>
      </c>
      <c r="AA581" s="22" t="s">
        <v>2973</v>
      </c>
      <c r="AB581" s="16"/>
      <c r="AC581" s="16"/>
      <c r="AD581" s="16"/>
      <c r="AE581" s="16" t="s">
        <v>2993</v>
      </c>
      <c r="AF581" s="16"/>
      <c r="AI581" s="3" t="str">
        <f t="shared" ca="1" si="9"/>
        <v>OK</v>
      </c>
    </row>
    <row r="582" spans="1:35" x14ac:dyDescent="0.3">
      <c r="A582" s="13">
        <v>46032</v>
      </c>
      <c r="B582" s="14" t="s">
        <v>2806</v>
      </c>
      <c r="C582" s="16"/>
      <c r="D582" s="16"/>
      <c r="E582" s="15" t="s">
        <v>898</v>
      </c>
      <c r="F582" s="15" t="s">
        <v>1280</v>
      </c>
      <c r="G582" s="15" t="s">
        <v>626</v>
      </c>
      <c r="H582" s="15"/>
      <c r="I582" s="15" t="s">
        <v>2395</v>
      </c>
      <c r="J582" s="15" t="s">
        <v>2396</v>
      </c>
      <c r="K582" s="16"/>
      <c r="L582" s="14" t="s">
        <v>2832</v>
      </c>
      <c r="M582" s="16"/>
      <c r="N582" s="15" t="s">
        <v>1166</v>
      </c>
      <c r="O582" s="14">
        <v>5000000</v>
      </c>
      <c r="P582" s="14" t="s">
        <v>2846</v>
      </c>
      <c r="Q582" s="14" cm="1">
        <f t="array" ref="Q582">_xlfn.IFS(P582="USD",O582,P582="VND",O582/26090,P582="JPY",O582/161)</f>
        <v>191.64430816404752</v>
      </c>
      <c r="R582" s="14">
        <v>14</v>
      </c>
      <c r="S582" s="14">
        <v>1</v>
      </c>
      <c r="T582" s="14"/>
      <c r="U582" s="14" t="s">
        <v>2848</v>
      </c>
      <c r="V582" s="14" t="s">
        <v>2857</v>
      </c>
      <c r="W582" s="14" t="s">
        <v>2858</v>
      </c>
      <c r="X582" s="17">
        <v>0</v>
      </c>
      <c r="Y582" s="15" t="s">
        <v>2875</v>
      </c>
      <c r="Z582" s="20">
        <v>46121</v>
      </c>
      <c r="AA582" s="22" t="s">
        <v>2973</v>
      </c>
      <c r="AB582" s="16"/>
      <c r="AC582" s="16"/>
      <c r="AD582" s="16"/>
      <c r="AE582" s="16" t="s">
        <v>2993</v>
      </c>
      <c r="AF582" s="16"/>
      <c r="AI582" s="3" t="str">
        <f t="shared" ca="1" si="9"/>
        <v>OK</v>
      </c>
    </row>
    <row r="583" spans="1:35" x14ac:dyDescent="0.3">
      <c r="A583" s="13">
        <v>46032</v>
      </c>
      <c r="B583" s="14" t="s">
        <v>2806</v>
      </c>
      <c r="C583" s="16"/>
      <c r="D583" s="16"/>
      <c r="E583" s="15" t="s">
        <v>898</v>
      </c>
      <c r="F583" s="15" t="s">
        <v>1280</v>
      </c>
      <c r="G583" s="15" t="s">
        <v>627</v>
      </c>
      <c r="H583" s="15"/>
      <c r="I583" s="15" t="s">
        <v>2397</v>
      </c>
      <c r="J583" s="15" t="s">
        <v>2398</v>
      </c>
      <c r="K583" s="16"/>
      <c r="L583" s="14" t="s">
        <v>2832</v>
      </c>
      <c r="M583" s="16"/>
      <c r="N583" s="15" t="s">
        <v>1172</v>
      </c>
      <c r="O583" s="14">
        <v>6000000</v>
      </c>
      <c r="P583" s="14" t="s">
        <v>2846</v>
      </c>
      <c r="Q583" s="14" cm="1">
        <f t="array" ref="Q583">_xlfn.IFS(P583="USD",O583,P583="VND",O583/26090,P583="JPY",O583/161)</f>
        <v>229.97316979685704</v>
      </c>
      <c r="R583" s="14">
        <v>14</v>
      </c>
      <c r="S583" s="14">
        <v>1</v>
      </c>
      <c r="T583" s="14"/>
      <c r="U583" s="14" t="s">
        <v>2848</v>
      </c>
      <c r="V583" s="14" t="s">
        <v>2857</v>
      </c>
      <c r="W583" s="14" t="s">
        <v>2858</v>
      </c>
      <c r="X583" s="17">
        <v>0</v>
      </c>
      <c r="Y583" s="15" t="s">
        <v>2875</v>
      </c>
      <c r="Z583" s="20">
        <v>46121</v>
      </c>
      <c r="AA583" s="22" t="s">
        <v>2973</v>
      </c>
      <c r="AB583" s="16"/>
      <c r="AC583" s="16"/>
      <c r="AD583" s="16"/>
      <c r="AE583" s="16" t="s">
        <v>2993</v>
      </c>
      <c r="AF583" s="16"/>
      <c r="AI583" s="3" t="str">
        <f t="shared" ca="1" si="9"/>
        <v>OK</v>
      </c>
    </row>
    <row r="584" spans="1:35" x14ac:dyDescent="0.3">
      <c r="A584" s="13">
        <v>46032</v>
      </c>
      <c r="B584" s="14" t="s">
        <v>2806</v>
      </c>
      <c r="C584" s="16"/>
      <c r="D584" s="16"/>
      <c r="E584" s="15" t="s">
        <v>898</v>
      </c>
      <c r="F584" s="15" t="s">
        <v>1280</v>
      </c>
      <c r="G584" s="15" t="s">
        <v>628</v>
      </c>
      <c r="H584" s="15"/>
      <c r="I584" s="15" t="s">
        <v>2399</v>
      </c>
      <c r="J584" s="15" t="s">
        <v>2400</v>
      </c>
      <c r="K584" s="16"/>
      <c r="L584" s="14" t="s">
        <v>2832</v>
      </c>
      <c r="M584" s="16"/>
      <c r="N584" s="15" t="s">
        <v>1166</v>
      </c>
      <c r="O584" s="14">
        <v>850000</v>
      </c>
      <c r="P584" s="14" t="s">
        <v>2846</v>
      </c>
      <c r="Q584" s="14" cm="1">
        <f t="array" ref="Q584">_xlfn.IFS(P584="USD",O584,P584="VND",O584/26090,P584="JPY",O584/161)</f>
        <v>32.579532387888079</v>
      </c>
      <c r="R584" s="14">
        <v>14</v>
      </c>
      <c r="S584" s="14">
        <v>1</v>
      </c>
      <c r="T584" s="14"/>
      <c r="U584" s="14" t="s">
        <v>2848</v>
      </c>
      <c r="V584" s="14" t="s">
        <v>2857</v>
      </c>
      <c r="W584" s="14" t="s">
        <v>2858</v>
      </c>
      <c r="X584" s="17">
        <v>0</v>
      </c>
      <c r="Y584" s="15" t="s">
        <v>2875</v>
      </c>
      <c r="Z584" s="20">
        <v>46121</v>
      </c>
      <c r="AA584" s="22" t="s">
        <v>2973</v>
      </c>
      <c r="AB584" s="16"/>
      <c r="AC584" s="16"/>
      <c r="AD584" s="16"/>
      <c r="AE584" s="16" t="s">
        <v>2993</v>
      </c>
      <c r="AF584" s="16"/>
      <c r="AI584" s="3" t="str">
        <f t="shared" ca="1" si="9"/>
        <v>OK</v>
      </c>
    </row>
    <row r="585" spans="1:35" x14ac:dyDescent="0.3">
      <c r="A585" s="13">
        <v>46032</v>
      </c>
      <c r="B585" s="14" t="s">
        <v>2806</v>
      </c>
      <c r="C585" s="16"/>
      <c r="D585" s="16"/>
      <c r="E585" s="15" t="s">
        <v>898</v>
      </c>
      <c r="F585" s="15" t="s">
        <v>1280</v>
      </c>
      <c r="G585" s="15" t="s">
        <v>629</v>
      </c>
      <c r="H585" s="15"/>
      <c r="I585" s="15" t="s">
        <v>2401</v>
      </c>
      <c r="J585" s="15" t="s">
        <v>2402</v>
      </c>
      <c r="K585" s="16"/>
      <c r="L585" s="14" t="s">
        <v>2832</v>
      </c>
      <c r="M585" s="16"/>
      <c r="N585" s="15" t="s">
        <v>1166</v>
      </c>
      <c r="O585" s="14">
        <v>700000</v>
      </c>
      <c r="P585" s="14" t="s">
        <v>2846</v>
      </c>
      <c r="Q585" s="14" cm="1">
        <f t="array" ref="Q585">_xlfn.IFS(P585="USD",O585,P585="VND",O585/26090,P585="JPY",O585/161)</f>
        <v>26.830203142966653</v>
      </c>
      <c r="R585" s="14">
        <v>14</v>
      </c>
      <c r="S585" s="14">
        <v>1</v>
      </c>
      <c r="T585" s="14"/>
      <c r="U585" s="14" t="s">
        <v>2848</v>
      </c>
      <c r="V585" s="14" t="s">
        <v>2857</v>
      </c>
      <c r="W585" s="14" t="s">
        <v>2858</v>
      </c>
      <c r="X585" s="17">
        <v>0</v>
      </c>
      <c r="Y585" s="15" t="s">
        <v>2875</v>
      </c>
      <c r="Z585" s="20">
        <v>46121</v>
      </c>
      <c r="AA585" s="22" t="s">
        <v>2973</v>
      </c>
      <c r="AB585" s="16"/>
      <c r="AC585" s="16"/>
      <c r="AD585" s="16"/>
      <c r="AE585" s="16" t="s">
        <v>2993</v>
      </c>
      <c r="AF585" s="16"/>
      <c r="AI585" s="3" t="str">
        <f t="shared" ca="1" si="9"/>
        <v>OK</v>
      </c>
    </row>
    <row r="586" spans="1:35" x14ac:dyDescent="0.3">
      <c r="A586" s="13">
        <v>46032</v>
      </c>
      <c r="B586" s="14" t="s">
        <v>2806</v>
      </c>
      <c r="C586" s="16"/>
      <c r="D586" s="16"/>
      <c r="E586" s="15" t="s">
        <v>898</v>
      </c>
      <c r="F586" s="15" t="s">
        <v>1280</v>
      </c>
      <c r="G586" s="15" t="s">
        <v>630</v>
      </c>
      <c r="H586" s="15"/>
      <c r="I586" s="15" t="s">
        <v>2403</v>
      </c>
      <c r="J586" s="15" t="s">
        <v>2404</v>
      </c>
      <c r="K586" s="16"/>
      <c r="L586" s="14" t="s">
        <v>2832</v>
      </c>
      <c r="M586" s="16"/>
      <c r="N586" s="15" t="s">
        <v>1173</v>
      </c>
      <c r="O586" s="14">
        <v>750000</v>
      </c>
      <c r="P586" s="14" t="s">
        <v>2846</v>
      </c>
      <c r="Q586" s="14" cm="1">
        <f t="array" ref="Q586">_xlfn.IFS(P586="USD",O586,P586="VND",O586/26090,P586="JPY",O586/161)</f>
        <v>28.746646224607129</v>
      </c>
      <c r="R586" s="14">
        <v>14</v>
      </c>
      <c r="S586" s="14">
        <v>1</v>
      </c>
      <c r="T586" s="14"/>
      <c r="U586" s="14" t="s">
        <v>2848</v>
      </c>
      <c r="V586" s="14" t="s">
        <v>2857</v>
      </c>
      <c r="W586" s="14" t="s">
        <v>2858</v>
      </c>
      <c r="X586" s="17">
        <v>0</v>
      </c>
      <c r="Y586" s="15" t="s">
        <v>2875</v>
      </c>
      <c r="Z586" s="20">
        <v>46121</v>
      </c>
      <c r="AA586" s="22" t="s">
        <v>2973</v>
      </c>
      <c r="AB586" s="16"/>
      <c r="AC586" s="16"/>
      <c r="AD586" s="16"/>
      <c r="AE586" s="16" t="s">
        <v>2993</v>
      </c>
      <c r="AF586" s="16"/>
      <c r="AI586" s="3" t="str">
        <f t="shared" ca="1" si="9"/>
        <v>OK</v>
      </c>
    </row>
    <row r="587" spans="1:35" x14ac:dyDescent="0.3">
      <c r="A587" s="13">
        <v>46032</v>
      </c>
      <c r="B587" s="14" t="s">
        <v>2806</v>
      </c>
      <c r="C587" s="16"/>
      <c r="D587" s="16"/>
      <c r="E587" s="15" t="s">
        <v>898</v>
      </c>
      <c r="F587" s="15" t="s">
        <v>1280</v>
      </c>
      <c r="G587" s="15" t="s">
        <v>631</v>
      </c>
      <c r="H587" s="15"/>
      <c r="I587" s="15" t="s">
        <v>2405</v>
      </c>
      <c r="J587" s="15" t="s">
        <v>2406</v>
      </c>
      <c r="K587" s="16"/>
      <c r="L587" s="14" t="s">
        <v>2836</v>
      </c>
      <c r="M587" s="16"/>
      <c r="N587" s="15" t="s">
        <v>1173</v>
      </c>
      <c r="O587" s="14">
        <v>1440000</v>
      </c>
      <c r="P587" s="14" t="s">
        <v>2846</v>
      </c>
      <c r="Q587" s="14" cm="1">
        <f t="array" ref="Q587">_xlfn.IFS(P587="USD",O587,P587="VND",O587/26090,P587="JPY",O587/161)</f>
        <v>55.193560751245691</v>
      </c>
      <c r="R587" s="14">
        <v>14</v>
      </c>
      <c r="S587" s="14">
        <v>1</v>
      </c>
      <c r="T587" s="14"/>
      <c r="U587" s="14" t="s">
        <v>2848</v>
      </c>
      <c r="V587" s="14" t="s">
        <v>2857</v>
      </c>
      <c r="W587" s="14" t="s">
        <v>2858</v>
      </c>
      <c r="X587" s="17">
        <v>0</v>
      </c>
      <c r="Y587" s="15" t="s">
        <v>2875</v>
      </c>
      <c r="Z587" s="20">
        <v>46121</v>
      </c>
      <c r="AA587" s="22" t="s">
        <v>2973</v>
      </c>
      <c r="AB587" s="16"/>
      <c r="AC587" s="16"/>
      <c r="AD587" s="16"/>
      <c r="AE587" s="16" t="s">
        <v>2993</v>
      </c>
      <c r="AF587" s="16"/>
      <c r="AI587" s="3" t="str">
        <f t="shared" ca="1" si="9"/>
        <v>OK</v>
      </c>
    </row>
    <row r="588" spans="1:35" x14ac:dyDescent="0.3">
      <c r="A588" s="13">
        <v>46032</v>
      </c>
      <c r="B588" s="14" t="s">
        <v>2806</v>
      </c>
      <c r="C588" s="16"/>
      <c r="D588" s="16"/>
      <c r="E588" s="15" t="s">
        <v>898</v>
      </c>
      <c r="F588" s="15" t="s">
        <v>1280</v>
      </c>
      <c r="G588" s="15" t="s">
        <v>632</v>
      </c>
      <c r="H588" s="15"/>
      <c r="I588" s="15" t="s">
        <v>2407</v>
      </c>
      <c r="J588" s="15" t="s">
        <v>2408</v>
      </c>
      <c r="K588" s="16"/>
      <c r="L588" s="14" t="s">
        <v>2836</v>
      </c>
      <c r="M588" s="16"/>
      <c r="N588" s="15" t="s">
        <v>1171</v>
      </c>
      <c r="O588" s="14">
        <v>8500000</v>
      </c>
      <c r="P588" s="14" t="s">
        <v>2846</v>
      </c>
      <c r="Q588" s="14" cm="1">
        <f t="array" ref="Q588">_xlfn.IFS(P588="USD",O588,P588="VND",O588/26090,P588="JPY",O588/161)</f>
        <v>325.79532387888082</v>
      </c>
      <c r="R588" s="14">
        <v>14</v>
      </c>
      <c r="S588" s="14">
        <v>1</v>
      </c>
      <c r="T588" s="14"/>
      <c r="U588" s="14" t="s">
        <v>2848</v>
      </c>
      <c r="V588" s="14" t="s">
        <v>2857</v>
      </c>
      <c r="W588" s="14" t="s">
        <v>2858</v>
      </c>
      <c r="X588" s="17">
        <v>0</v>
      </c>
      <c r="Y588" s="15" t="s">
        <v>2875</v>
      </c>
      <c r="Z588" s="20">
        <v>46121</v>
      </c>
      <c r="AA588" s="22" t="s">
        <v>2973</v>
      </c>
      <c r="AB588" s="16"/>
      <c r="AC588" s="16"/>
      <c r="AD588" s="16"/>
      <c r="AE588" s="16" t="s">
        <v>2993</v>
      </c>
      <c r="AF588" s="16"/>
      <c r="AI588" s="3" t="str">
        <f t="shared" ca="1" si="9"/>
        <v>OK</v>
      </c>
    </row>
    <row r="589" spans="1:35" x14ac:dyDescent="0.3">
      <c r="A589" s="13">
        <v>46032</v>
      </c>
      <c r="B589" s="14" t="s">
        <v>2806</v>
      </c>
      <c r="C589" s="16"/>
      <c r="D589" s="16"/>
      <c r="E589" s="15" t="s">
        <v>898</v>
      </c>
      <c r="F589" s="15" t="s">
        <v>1280</v>
      </c>
      <c r="G589" s="15" t="s">
        <v>633</v>
      </c>
      <c r="H589" s="15"/>
      <c r="I589" s="15" t="s">
        <v>2409</v>
      </c>
      <c r="J589" s="15" t="s">
        <v>2410</v>
      </c>
      <c r="K589" s="16"/>
      <c r="L589" s="14" t="s">
        <v>2836</v>
      </c>
      <c r="M589" s="16"/>
      <c r="N589" s="15" t="s">
        <v>1171</v>
      </c>
      <c r="O589" s="14">
        <v>6600000</v>
      </c>
      <c r="P589" s="14" t="s">
        <v>2846</v>
      </c>
      <c r="Q589" s="14" cm="1">
        <f t="array" ref="Q589">_xlfn.IFS(P589="USD",O589,P589="VND",O589/26090,P589="JPY",O589/161)</f>
        <v>252.97048677654274</v>
      </c>
      <c r="R589" s="14">
        <v>14</v>
      </c>
      <c r="S589" s="14">
        <v>1</v>
      </c>
      <c r="T589" s="14"/>
      <c r="U589" s="14" t="s">
        <v>2848</v>
      </c>
      <c r="V589" s="14" t="s">
        <v>2857</v>
      </c>
      <c r="W589" s="14" t="s">
        <v>2858</v>
      </c>
      <c r="X589" s="17">
        <v>0</v>
      </c>
      <c r="Y589" s="15" t="s">
        <v>2875</v>
      </c>
      <c r="Z589" s="20">
        <v>46121</v>
      </c>
      <c r="AA589" s="22" t="s">
        <v>2973</v>
      </c>
      <c r="AB589" s="16"/>
      <c r="AC589" s="16"/>
      <c r="AD589" s="16"/>
      <c r="AE589" s="16" t="s">
        <v>2993</v>
      </c>
      <c r="AF589" s="16"/>
      <c r="AI589" s="3" t="str">
        <f t="shared" ca="1" si="9"/>
        <v>OK</v>
      </c>
    </row>
    <row r="590" spans="1:35" x14ac:dyDescent="0.3">
      <c r="A590" s="13">
        <v>46032</v>
      </c>
      <c r="B590" s="14" t="s">
        <v>2806</v>
      </c>
      <c r="C590" s="16"/>
      <c r="D590" s="16"/>
      <c r="E590" s="15" t="s">
        <v>898</v>
      </c>
      <c r="F590" s="15" t="s">
        <v>1280</v>
      </c>
      <c r="G590" s="15" t="s">
        <v>634</v>
      </c>
      <c r="H590" s="15"/>
      <c r="I590" s="15" t="s">
        <v>2411</v>
      </c>
      <c r="J590" s="15" t="s">
        <v>2412</v>
      </c>
      <c r="K590" s="16"/>
      <c r="L590" s="14" t="s">
        <v>2836</v>
      </c>
      <c r="M590" s="16"/>
      <c r="N590" s="15" t="s">
        <v>1171</v>
      </c>
      <c r="O590" s="14">
        <v>9500000</v>
      </c>
      <c r="P590" s="14" t="s">
        <v>2846</v>
      </c>
      <c r="Q590" s="14" cm="1">
        <f t="array" ref="Q590">_xlfn.IFS(P590="USD",O590,P590="VND",O590/26090,P590="JPY",O590/161)</f>
        <v>364.12418551169031</v>
      </c>
      <c r="R590" s="14">
        <v>14</v>
      </c>
      <c r="S590" s="14">
        <v>1</v>
      </c>
      <c r="T590" s="14"/>
      <c r="U590" s="14" t="s">
        <v>2848</v>
      </c>
      <c r="V590" s="14" t="s">
        <v>2857</v>
      </c>
      <c r="W590" s="14" t="s">
        <v>2858</v>
      </c>
      <c r="X590" s="17">
        <v>0</v>
      </c>
      <c r="Y590" s="15" t="s">
        <v>2875</v>
      </c>
      <c r="Z590" s="20">
        <v>46121</v>
      </c>
      <c r="AA590" s="22" t="s">
        <v>2973</v>
      </c>
      <c r="AB590" s="16"/>
      <c r="AC590" s="16"/>
      <c r="AD590" s="16"/>
      <c r="AE590" s="16" t="s">
        <v>2993</v>
      </c>
      <c r="AF590" s="16"/>
      <c r="AI590" s="3" t="str">
        <f t="shared" ca="1" si="9"/>
        <v>OK</v>
      </c>
    </row>
    <row r="591" spans="1:35" x14ac:dyDescent="0.3">
      <c r="A591" s="13">
        <v>46032</v>
      </c>
      <c r="B591" s="14" t="s">
        <v>2806</v>
      </c>
      <c r="C591" s="16"/>
      <c r="D591" s="16"/>
      <c r="E591" s="15" t="s">
        <v>898</v>
      </c>
      <c r="F591" s="15" t="s">
        <v>1280</v>
      </c>
      <c r="G591" s="15" t="s">
        <v>635</v>
      </c>
      <c r="H591" s="15"/>
      <c r="I591" s="15" t="s">
        <v>2413</v>
      </c>
      <c r="J591" s="15" t="s">
        <v>2414</v>
      </c>
      <c r="K591" s="16"/>
      <c r="L591" s="14" t="s">
        <v>2836</v>
      </c>
      <c r="M591" s="16"/>
      <c r="N591" s="15" t="s">
        <v>1171</v>
      </c>
      <c r="O591" s="14">
        <v>6000000</v>
      </c>
      <c r="P591" s="14" t="s">
        <v>2846</v>
      </c>
      <c r="Q591" s="14" cm="1">
        <f t="array" ref="Q591">_xlfn.IFS(P591="USD",O591,P591="VND",O591/26090,P591="JPY",O591/161)</f>
        <v>229.97316979685704</v>
      </c>
      <c r="R591" s="14">
        <v>14</v>
      </c>
      <c r="S591" s="14">
        <v>1</v>
      </c>
      <c r="T591" s="14"/>
      <c r="U591" s="14" t="s">
        <v>2848</v>
      </c>
      <c r="V591" s="14" t="s">
        <v>2857</v>
      </c>
      <c r="W591" s="14" t="s">
        <v>2858</v>
      </c>
      <c r="X591" s="17">
        <v>0</v>
      </c>
      <c r="Y591" s="15" t="s">
        <v>2875</v>
      </c>
      <c r="Z591" s="20">
        <v>46121</v>
      </c>
      <c r="AA591" s="22" t="s">
        <v>2973</v>
      </c>
      <c r="AB591" s="16"/>
      <c r="AC591" s="16"/>
      <c r="AD591" s="16"/>
      <c r="AE591" s="16" t="s">
        <v>2993</v>
      </c>
      <c r="AF591" s="16"/>
      <c r="AI591" s="3" t="str">
        <f t="shared" ca="1" si="9"/>
        <v>OK</v>
      </c>
    </row>
    <row r="592" spans="1:35" x14ac:dyDescent="0.3">
      <c r="A592" s="13">
        <v>46032</v>
      </c>
      <c r="B592" s="14" t="s">
        <v>2806</v>
      </c>
      <c r="C592" s="16"/>
      <c r="D592" s="16"/>
      <c r="E592" s="15" t="s">
        <v>898</v>
      </c>
      <c r="F592" s="15" t="s">
        <v>1280</v>
      </c>
      <c r="G592" s="15" t="s">
        <v>636</v>
      </c>
      <c r="H592" s="15"/>
      <c r="I592" s="15" t="s">
        <v>2415</v>
      </c>
      <c r="J592" s="15" t="s">
        <v>2416</v>
      </c>
      <c r="K592" s="16"/>
      <c r="L592" s="14" t="s">
        <v>2836</v>
      </c>
      <c r="M592" s="16"/>
      <c r="N592" s="15" t="s">
        <v>1171</v>
      </c>
      <c r="O592" s="14">
        <v>5000000</v>
      </c>
      <c r="P592" s="14" t="s">
        <v>2846</v>
      </c>
      <c r="Q592" s="14" cm="1">
        <f t="array" ref="Q592">_xlfn.IFS(P592="USD",O592,P592="VND",O592/26090,P592="JPY",O592/161)</f>
        <v>191.64430816404752</v>
      </c>
      <c r="R592" s="14">
        <v>14</v>
      </c>
      <c r="S592" s="14">
        <v>1</v>
      </c>
      <c r="T592" s="14"/>
      <c r="U592" s="14" t="s">
        <v>2848</v>
      </c>
      <c r="V592" s="14" t="s">
        <v>2857</v>
      </c>
      <c r="W592" s="14" t="s">
        <v>2858</v>
      </c>
      <c r="X592" s="17">
        <v>0</v>
      </c>
      <c r="Y592" s="15" t="s">
        <v>2875</v>
      </c>
      <c r="Z592" s="20">
        <v>46121</v>
      </c>
      <c r="AA592" s="22" t="s">
        <v>2973</v>
      </c>
      <c r="AB592" s="16"/>
      <c r="AC592" s="16"/>
      <c r="AD592" s="16"/>
      <c r="AE592" s="16" t="s">
        <v>2993</v>
      </c>
      <c r="AF592" s="16"/>
      <c r="AI592" s="3" t="str">
        <f t="shared" ca="1" si="9"/>
        <v>OK</v>
      </c>
    </row>
    <row r="593" spans="1:35" x14ac:dyDescent="0.3">
      <c r="A593" s="13">
        <v>46032</v>
      </c>
      <c r="B593" s="14" t="s">
        <v>2806</v>
      </c>
      <c r="C593" s="16"/>
      <c r="D593" s="16"/>
      <c r="E593" s="15" t="s">
        <v>898</v>
      </c>
      <c r="F593" s="15" t="s">
        <v>1280</v>
      </c>
      <c r="G593" s="15" t="s">
        <v>637</v>
      </c>
      <c r="H593" s="15"/>
      <c r="I593" s="15" t="s">
        <v>2417</v>
      </c>
      <c r="J593" s="15" t="s">
        <v>2418</v>
      </c>
      <c r="K593" s="16"/>
      <c r="L593" s="14" t="s">
        <v>2836</v>
      </c>
      <c r="M593" s="16"/>
      <c r="N593" s="15" t="s">
        <v>1171</v>
      </c>
      <c r="O593" s="14">
        <v>10218000</v>
      </c>
      <c r="P593" s="14" t="s">
        <v>2846</v>
      </c>
      <c r="Q593" s="14" cm="1">
        <f t="array" ref="Q593">_xlfn.IFS(P593="USD",O593,P593="VND",O593/26090,P593="JPY",O593/161)</f>
        <v>391.64430816404752</v>
      </c>
      <c r="R593" s="14">
        <v>14</v>
      </c>
      <c r="S593" s="14">
        <v>1</v>
      </c>
      <c r="T593" s="14"/>
      <c r="U593" s="14" t="s">
        <v>2848</v>
      </c>
      <c r="V593" s="14" t="s">
        <v>2857</v>
      </c>
      <c r="W593" s="14" t="s">
        <v>2858</v>
      </c>
      <c r="X593" s="17">
        <v>0</v>
      </c>
      <c r="Y593" s="15" t="s">
        <v>2875</v>
      </c>
      <c r="Z593" s="20">
        <v>46121</v>
      </c>
      <c r="AA593" s="22" t="s">
        <v>2973</v>
      </c>
      <c r="AB593" s="16"/>
      <c r="AC593" s="16"/>
      <c r="AD593" s="16"/>
      <c r="AE593" s="16" t="s">
        <v>2993</v>
      </c>
      <c r="AF593" s="16"/>
      <c r="AI593" s="3" t="str">
        <f t="shared" ca="1" si="9"/>
        <v>OK</v>
      </c>
    </row>
    <row r="594" spans="1:35" x14ac:dyDescent="0.3">
      <c r="A594" s="13">
        <v>46032</v>
      </c>
      <c r="B594" s="14" t="s">
        <v>2806</v>
      </c>
      <c r="C594" s="16"/>
      <c r="D594" s="16"/>
      <c r="E594" s="15" t="s">
        <v>898</v>
      </c>
      <c r="F594" s="15" t="s">
        <v>1280</v>
      </c>
      <c r="G594" s="15" t="s">
        <v>638</v>
      </c>
      <c r="H594" s="15"/>
      <c r="I594" s="15" t="s">
        <v>2419</v>
      </c>
      <c r="J594" s="15" t="s">
        <v>2420</v>
      </c>
      <c r="K594" s="16"/>
      <c r="L594" s="14" t="s">
        <v>2832</v>
      </c>
      <c r="M594" s="16"/>
      <c r="N594" s="15" t="s">
        <v>1171</v>
      </c>
      <c r="O594" s="14">
        <v>25000000</v>
      </c>
      <c r="P594" s="14" t="s">
        <v>2846</v>
      </c>
      <c r="Q594" s="14" cm="1">
        <f t="array" ref="Q594">_xlfn.IFS(P594="USD",O594,P594="VND",O594/26090,P594="JPY",O594/161)</f>
        <v>958.22154082023769</v>
      </c>
      <c r="R594" s="14">
        <v>14</v>
      </c>
      <c r="S594" s="14">
        <v>1</v>
      </c>
      <c r="T594" s="14"/>
      <c r="U594" s="14" t="s">
        <v>2848</v>
      </c>
      <c r="V594" s="14" t="s">
        <v>2857</v>
      </c>
      <c r="W594" s="14" t="s">
        <v>2858</v>
      </c>
      <c r="X594" s="17">
        <v>0</v>
      </c>
      <c r="Y594" s="15" t="s">
        <v>2875</v>
      </c>
      <c r="Z594" s="20">
        <v>46121</v>
      </c>
      <c r="AA594" s="22" t="s">
        <v>2973</v>
      </c>
      <c r="AB594" s="16"/>
      <c r="AC594" s="16"/>
      <c r="AD594" s="16"/>
      <c r="AE594" s="16" t="s">
        <v>2993</v>
      </c>
      <c r="AF594" s="16"/>
      <c r="AI594" s="3" t="str">
        <f t="shared" ca="1" si="9"/>
        <v>OK</v>
      </c>
    </row>
    <row r="595" spans="1:35" x14ac:dyDescent="0.3">
      <c r="A595" s="13">
        <v>46032</v>
      </c>
      <c r="B595" s="14" t="s">
        <v>2806</v>
      </c>
      <c r="C595" s="16"/>
      <c r="D595" s="16"/>
      <c r="E595" s="15" t="s">
        <v>898</v>
      </c>
      <c r="F595" s="15" t="s">
        <v>1280</v>
      </c>
      <c r="G595" s="15" t="s">
        <v>639</v>
      </c>
      <c r="H595" s="15"/>
      <c r="I595" s="15" t="s">
        <v>2421</v>
      </c>
      <c r="J595" s="15" t="s">
        <v>2422</v>
      </c>
      <c r="K595" s="16"/>
      <c r="L595" s="14" t="s">
        <v>2832</v>
      </c>
      <c r="M595" s="16"/>
      <c r="N595" s="15" t="s">
        <v>1166</v>
      </c>
      <c r="O595" s="14">
        <v>4000000</v>
      </c>
      <c r="P595" s="14" t="s">
        <v>2846</v>
      </c>
      <c r="Q595" s="14" cm="1">
        <f t="array" ref="Q595">_xlfn.IFS(P595="USD",O595,P595="VND",O595/26090,P595="JPY",O595/161)</f>
        <v>153.31544653123802</v>
      </c>
      <c r="R595" s="14">
        <v>14</v>
      </c>
      <c r="S595" s="14">
        <v>1</v>
      </c>
      <c r="T595" s="14"/>
      <c r="U595" s="14" t="s">
        <v>2848</v>
      </c>
      <c r="V595" s="14" t="s">
        <v>2857</v>
      </c>
      <c r="W595" s="14" t="s">
        <v>2858</v>
      </c>
      <c r="X595" s="17">
        <v>0</v>
      </c>
      <c r="Y595" s="15" t="s">
        <v>2875</v>
      </c>
      <c r="Z595" s="20">
        <v>46121</v>
      </c>
      <c r="AA595" s="22" t="s">
        <v>2973</v>
      </c>
      <c r="AB595" s="16"/>
      <c r="AC595" s="16"/>
      <c r="AD595" s="16"/>
      <c r="AE595" s="16" t="s">
        <v>2993</v>
      </c>
      <c r="AF595" s="16"/>
      <c r="AI595" s="3" t="str">
        <f t="shared" ca="1" si="9"/>
        <v>OK</v>
      </c>
    </row>
    <row r="596" spans="1:35" x14ac:dyDescent="0.3">
      <c r="A596" s="13">
        <v>46032</v>
      </c>
      <c r="B596" s="14" t="s">
        <v>2806</v>
      </c>
      <c r="C596" s="16"/>
      <c r="D596" s="16"/>
      <c r="E596" s="15" t="s">
        <v>898</v>
      </c>
      <c r="F596" s="15" t="s">
        <v>1280</v>
      </c>
      <c r="G596" s="15" t="s">
        <v>640</v>
      </c>
      <c r="H596" s="15"/>
      <c r="I596" s="15" t="s">
        <v>2423</v>
      </c>
      <c r="J596" s="15" t="s">
        <v>2424</v>
      </c>
      <c r="K596" s="16"/>
      <c r="L596" s="14" t="s">
        <v>2832</v>
      </c>
      <c r="M596" s="16"/>
      <c r="N596" s="15" t="s">
        <v>1166</v>
      </c>
      <c r="O596" s="14">
        <v>7600000</v>
      </c>
      <c r="P596" s="14" t="s">
        <v>2846</v>
      </c>
      <c r="Q596" s="14" cm="1">
        <f t="array" ref="Q596">_xlfn.IFS(P596="USD",O596,P596="VND",O596/26090,P596="JPY",O596/161)</f>
        <v>291.29934840935226</v>
      </c>
      <c r="R596" s="14">
        <v>14</v>
      </c>
      <c r="S596" s="14">
        <v>1</v>
      </c>
      <c r="T596" s="14"/>
      <c r="U596" s="14" t="s">
        <v>2848</v>
      </c>
      <c r="V596" s="14" t="s">
        <v>2857</v>
      </c>
      <c r="W596" s="14" t="s">
        <v>2858</v>
      </c>
      <c r="X596" s="17">
        <v>0</v>
      </c>
      <c r="Y596" s="15" t="s">
        <v>2875</v>
      </c>
      <c r="Z596" s="20">
        <v>46121</v>
      </c>
      <c r="AA596" s="22" t="s">
        <v>2973</v>
      </c>
      <c r="AB596" s="16"/>
      <c r="AC596" s="16"/>
      <c r="AD596" s="16"/>
      <c r="AE596" s="16" t="s">
        <v>2993</v>
      </c>
      <c r="AF596" s="16"/>
      <c r="AI596" s="3" t="str">
        <f t="shared" ca="1" si="9"/>
        <v>OK</v>
      </c>
    </row>
    <row r="597" spans="1:35" x14ac:dyDescent="0.3">
      <c r="A597" s="13">
        <v>46032</v>
      </c>
      <c r="B597" s="14" t="s">
        <v>2806</v>
      </c>
      <c r="C597" s="16"/>
      <c r="D597" s="16"/>
      <c r="E597" s="15" t="s">
        <v>898</v>
      </c>
      <c r="F597" s="15" t="s">
        <v>1280</v>
      </c>
      <c r="G597" s="15" t="s">
        <v>641</v>
      </c>
      <c r="H597" s="15"/>
      <c r="I597" s="15" t="s">
        <v>2425</v>
      </c>
      <c r="J597" s="15" t="s">
        <v>2426</v>
      </c>
      <c r="K597" s="16"/>
      <c r="L597" s="14" t="s">
        <v>2832</v>
      </c>
      <c r="M597" s="16"/>
      <c r="N597" s="15" t="s">
        <v>1166</v>
      </c>
      <c r="O597" s="14">
        <v>10000000</v>
      </c>
      <c r="P597" s="14" t="s">
        <v>2846</v>
      </c>
      <c r="Q597" s="14" cm="1">
        <f t="array" ref="Q597">_xlfn.IFS(P597="USD",O597,P597="VND",O597/26090,P597="JPY",O597/161)</f>
        <v>383.28861632809503</v>
      </c>
      <c r="R597" s="14">
        <v>14</v>
      </c>
      <c r="S597" s="14">
        <v>1</v>
      </c>
      <c r="T597" s="14"/>
      <c r="U597" s="14" t="s">
        <v>2848</v>
      </c>
      <c r="V597" s="14" t="s">
        <v>2857</v>
      </c>
      <c r="W597" s="14" t="s">
        <v>2858</v>
      </c>
      <c r="X597" s="17">
        <v>0</v>
      </c>
      <c r="Y597" s="15" t="s">
        <v>2875</v>
      </c>
      <c r="Z597" s="20">
        <v>46121</v>
      </c>
      <c r="AA597" s="22" t="s">
        <v>2973</v>
      </c>
      <c r="AB597" s="16"/>
      <c r="AC597" s="16"/>
      <c r="AD597" s="16"/>
      <c r="AE597" s="16" t="s">
        <v>2993</v>
      </c>
      <c r="AF597" s="16"/>
      <c r="AI597" s="3" t="str">
        <f t="shared" ca="1" si="9"/>
        <v>OK</v>
      </c>
    </row>
    <row r="598" spans="1:35" x14ac:dyDescent="0.3">
      <c r="A598" s="13">
        <v>46032</v>
      </c>
      <c r="B598" s="14" t="s">
        <v>2806</v>
      </c>
      <c r="C598" s="16"/>
      <c r="D598" s="16"/>
      <c r="E598" s="15" t="s">
        <v>898</v>
      </c>
      <c r="F598" s="15" t="s">
        <v>1280</v>
      </c>
      <c r="G598" s="15" t="s">
        <v>642</v>
      </c>
      <c r="H598" s="15"/>
      <c r="I598" s="15" t="s">
        <v>2427</v>
      </c>
      <c r="J598" s="15" t="s">
        <v>2428</v>
      </c>
      <c r="K598" s="16"/>
      <c r="L598" s="14" t="s">
        <v>2832</v>
      </c>
      <c r="M598" s="16"/>
      <c r="N598" s="15" t="s">
        <v>1166</v>
      </c>
      <c r="O598" s="14">
        <v>19400000</v>
      </c>
      <c r="P598" s="14" t="s">
        <v>2846</v>
      </c>
      <c r="Q598" s="14" cm="1">
        <f t="array" ref="Q598">_xlfn.IFS(P598="USD",O598,P598="VND",O598/26090,P598="JPY",O598/161)</f>
        <v>743.57991567650436</v>
      </c>
      <c r="R598" s="14">
        <v>14</v>
      </c>
      <c r="S598" s="14">
        <v>1</v>
      </c>
      <c r="T598" s="14"/>
      <c r="U598" s="14" t="s">
        <v>2848</v>
      </c>
      <c r="V598" s="14" t="s">
        <v>2857</v>
      </c>
      <c r="W598" s="14" t="s">
        <v>2858</v>
      </c>
      <c r="X598" s="17">
        <v>0</v>
      </c>
      <c r="Y598" s="15" t="s">
        <v>2875</v>
      </c>
      <c r="Z598" s="20">
        <v>46121</v>
      </c>
      <c r="AA598" s="22" t="s">
        <v>2973</v>
      </c>
      <c r="AB598" s="16"/>
      <c r="AC598" s="16"/>
      <c r="AD598" s="16"/>
      <c r="AE598" s="16" t="s">
        <v>2993</v>
      </c>
      <c r="AF598" s="16"/>
      <c r="AI598" s="3" t="str">
        <f t="shared" ca="1" si="9"/>
        <v>OK</v>
      </c>
    </row>
    <row r="599" spans="1:35" x14ac:dyDescent="0.3">
      <c r="A599" s="13">
        <v>46032</v>
      </c>
      <c r="B599" s="14" t="s">
        <v>2806</v>
      </c>
      <c r="C599" s="16"/>
      <c r="D599" s="16"/>
      <c r="E599" s="15" t="s">
        <v>898</v>
      </c>
      <c r="F599" s="15" t="s">
        <v>1280</v>
      </c>
      <c r="G599" s="15" t="s">
        <v>643</v>
      </c>
      <c r="H599" s="15"/>
      <c r="I599" s="15" t="s">
        <v>2429</v>
      </c>
      <c r="J599" s="15" t="s">
        <v>2430</v>
      </c>
      <c r="K599" s="16"/>
      <c r="L599" s="14" t="s">
        <v>2832</v>
      </c>
      <c r="M599" s="16"/>
      <c r="N599" s="15" t="s">
        <v>1166</v>
      </c>
      <c r="O599" s="14">
        <v>6600000</v>
      </c>
      <c r="P599" s="14" t="s">
        <v>2846</v>
      </c>
      <c r="Q599" s="14" cm="1">
        <f t="array" ref="Q599">_xlfn.IFS(P599="USD",O599,P599="VND",O599/26090,P599="JPY",O599/161)</f>
        <v>252.97048677654274</v>
      </c>
      <c r="R599" s="14">
        <v>14</v>
      </c>
      <c r="S599" s="14">
        <v>1</v>
      </c>
      <c r="T599" s="14"/>
      <c r="U599" s="14" t="s">
        <v>2848</v>
      </c>
      <c r="V599" s="14" t="s">
        <v>2857</v>
      </c>
      <c r="W599" s="14" t="s">
        <v>2858</v>
      </c>
      <c r="X599" s="17">
        <v>0</v>
      </c>
      <c r="Y599" s="15" t="s">
        <v>2875</v>
      </c>
      <c r="Z599" s="20">
        <v>46121</v>
      </c>
      <c r="AA599" s="22" t="s">
        <v>2973</v>
      </c>
      <c r="AB599" s="16"/>
      <c r="AC599" s="16"/>
      <c r="AD599" s="16"/>
      <c r="AE599" s="16" t="s">
        <v>2993</v>
      </c>
      <c r="AF599" s="16"/>
      <c r="AI599" s="3" t="str">
        <f t="shared" ca="1" si="9"/>
        <v>OK</v>
      </c>
    </row>
    <row r="600" spans="1:35" x14ac:dyDescent="0.3">
      <c r="A600" s="13">
        <v>46032</v>
      </c>
      <c r="B600" s="14" t="s">
        <v>2806</v>
      </c>
      <c r="C600" s="16"/>
      <c r="D600" s="16"/>
      <c r="E600" s="15" t="s">
        <v>898</v>
      </c>
      <c r="F600" s="15" t="s">
        <v>1280</v>
      </c>
      <c r="G600" s="15" t="s">
        <v>644</v>
      </c>
      <c r="H600" s="15"/>
      <c r="I600" s="15" t="s">
        <v>2431</v>
      </c>
      <c r="J600" s="15" t="s">
        <v>2432</v>
      </c>
      <c r="K600" s="16"/>
      <c r="L600" s="14" t="s">
        <v>2832</v>
      </c>
      <c r="M600" s="16"/>
      <c r="N600" s="15" t="s">
        <v>1166</v>
      </c>
      <c r="O600" s="14">
        <v>2000000</v>
      </c>
      <c r="P600" s="14" t="s">
        <v>2846</v>
      </c>
      <c r="Q600" s="14" cm="1">
        <f t="array" ref="Q600">_xlfn.IFS(P600="USD",O600,P600="VND",O600/26090,P600="JPY",O600/161)</f>
        <v>76.657723265619012</v>
      </c>
      <c r="R600" s="14">
        <v>14</v>
      </c>
      <c r="S600" s="14">
        <v>1</v>
      </c>
      <c r="T600" s="14"/>
      <c r="U600" s="14" t="s">
        <v>2848</v>
      </c>
      <c r="V600" s="14" t="s">
        <v>2857</v>
      </c>
      <c r="W600" s="14" t="s">
        <v>2858</v>
      </c>
      <c r="X600" s="17">
        <v>0</v>
      </c>
      <c r="Y600" s="15" t="s">
        <v>2875</v>
      </c>
      <c r="Z600" s="20">
        <v>46121</v>
      </c>
      <c r="AA600" s="22" t="s">
        <v>2973</v>
      </c>
      <c r="AB600" s="16"/>
      <c r="AC600" s="16"/>
      <c r="AD600" s="16"/>
      <c r="AE600" s="16" t="s">
        <v>2993</v>
      </c>
      <c r="AF600" s="16"/>
      <c r="AI600" s="3" t="str">
        <f t="shared" ca="1" si="9"/>
        <v>OK</v>
      </c>
    </row>
    <row r="601" spans="1:35" hidden="1" x14ac:dyDescent="0.3">
      <c r="A601" s="13">
        <v>46032</v>
      </c>
      <c r="B601" s="14" t="s">
        <v>2806</v>
      </c>
      <c r="C601" s="16"/>
      <c r="D601" s="16"/>
      <c r="E601" s="15" t="s">
        <v>888</v>
      </c>
      <c r="F601" s="15" t="s">
        <v>1273</v>
      </c>
      <c r="G601" s="15" t="s">
        <v>645</v>
      </c>
      <c r="H601" s="15"/>
      <c r="I601" s="15" t="s">
        <v>2433</v>
      </c>
      <c r="J601" s="15" t="s">
        <v>2434</v>
      </c>
      <c r="K601" s="16"/>
      <c r="L601" s="14" t="s">
        <v>2832</v>
      </c>
      <c r="M601" s="16"/>
      <c r="N601" s="15" t="s">
        <v>1158</v>
      </c>
      <c r="O601" s="14">
        <v>11524000</v>
      </c>
      <c r="P601" s="14" t="s">
        <v>2846</v>
      </c>
      <c r="Q601" s="14" cm="1">
        <f t="array" ref="Q601">_xlfn.IFS(P601="USD",O601,P601="VND",O601/26090,P601="JPY",O601/161)</f>
        <v>441.70180145649675</v>
      </c>
      <c r="R601" s="14">
        <v>35</v>
      </c>
      <c r="S601" s="14">
        <v>1</v>
      </c>
      <c r="T601" s="14"/>
      <c r="U601" s="14" t="s">
        <v>2848</v>
      </c>
      <c r="V601" s="14" t="s">
        <v>2857</v>
      </c>
      <c r="W601" s="14" t="s">
        <v>2858</v>
      </c>
      <c r="X601" s="17">
        <v>0</v>
      </c>
      <c r="Y601" s="15" t="s">
        <v>2875</v>
      </c>
      <c r="Z601" s="18" t="s">
        <v>2914</v>
      </c>
      <c r="AA601" s="18"/>
      <c r="AB601" s="16"/>
      <c r="AC601" s="16"/>
      <c r="AD601" s="16"/>
      <c r="AE601" s="16" t="s">
        <v>2917</v>
      </c>
      <c r="AF601" s="16"/>
      <c r="AI601" s="3" t="str">
        <f t="shared" ca="1" si="9"/>
        <v>OK</v>
      </c>
    </row>
    <row r="602" spans="1:35" hidden="1" x14ac:dyDescent="0.3">
      <c r="A602" s="13">
        <v>46032</v>
      </c>
      <c r="B602" s="14" t="s">
        <v>2806</v>
      </c>
      <c r="C602" s="16"/>
      <c r="D602" s="16"/>
      <c r="E602" s="15" t="s">
        <v>888</v>
      </c>
      <c r="F602" s="15" t="s">
        <v>1273</v>
      </c>
      <c r="G602" s="15" t="s">
        <v>646</v>
      </c>
      <c r="H602" s="15"/>
      <c r="I602" s="15" t="s">
        <v>2435</v>
      </c>
      <c r="J602" s="15" t="s">
        <v>2436</v>
      </c>
      <c r="K602" s="16"/>
      <c r="L602" s="14" t="s">
        <v>2832</v>
      </c>
      <c r="M602" s="16"/>
      <c r="N602" s="15" t="s">
        <v>1158</v>
      </c>
      <c r="O602" s="14">
        <v>3035000</v>
      </c>
      <c r="P602" s="14" t="s">
        <v>2846</v>
      </c>
      <c r="Q602" s="14" cm="1">
        <f t="array" ref="Q602">_xlfn.IFS(P602="USD",O602,P602="VND",O602/26090,P602="JPY",O602/161)</f>
        <v>116.32809505557685</v>
      </c>
      <c r="R602" s="14">
        <v>35</v>
      </c>
      <c r="S602" s="14">
        <v>1</v>
      </c>
      <c r="T602" s="14"/>
      <c r="U602" s="14" t="s">
        <v>2848</v>
      </c>
      <c r="V602" s="14" t="s">
        <v>2857</v>
      </c>
      <c r="W602" s="14" t="s">
        <v>2858</v>
      </c>
      <c r="X602" s="17">
        <v>0</v>
      </c>
      <c r="Y602" s="15" t="s">
        <v>2875</v>
      </c>
      <c r="Z602" s="18" t="s">
        <v>2914</v>
      </c>
      <c r="AA602" s="18"/>
      <c r="AB602" s="16"/>
      <c r="AC602" s="16"/>
      <c r="AD602" s="16"/>
      <c r="AE602" s="16" t="s">
        <v>2917</v>
      </c>
      <c r="AF602" s="16"/>
      <c r="AI602" s="3" t="str">
        <f t="shared" ca="1" si="9"/>
        <v>OK</v>
      </c>
    </row>
    <row r="603" spans="1:35" hidden="1" x14ac:dyDescent="0.3">
      <c r="A603" s="13">
        <v>46032</v>
      </c>
      <c r="B603" s="14" t="s">
        <v>2806</v>
      </c>
      <c r="C603" s="16"/>
      <c r="D603" s="16"/>
      <c r="E603" s="15" t="s">
        <v>888</v>
      </c>
      <c r="F603" s="15" t="s">
        <v>1273</v>
      </c>
      <c r="G603" s="15" t="s">
        <v>647</v>
      </c>
      <c r="H603" s="15"/>
      <c r="I603" s="15" t="s">
        <v>2437</v>
      </c>
      <c r="J603" s="15" t="s">
        <v>2438</v>
      </c>
      <c r="K603" s="16"/>
      <c r="L603" s="14" t="s">
        <v>2832</v>
      </c>
      <c r="M603" s="16"/>
      <c r="N603" s="15" t="s">
        <v>1158</v>
      </c>
      <c r="O603" s="14">
        <v>7152000</v>
      </c>
      <c r="P603" s="14" t="s">
        <v>2846</v>
      </c>
      <c r="Q603" s="14" cm="1">
        <f t="array" ref="Q603">_xlfn.IFS(P603="USD",O603,P603="VND",O603/26090,P603="JPY",O603/161)</f>
        <v>274.12801839785357</v>
      </c>
      <c r="R603" s="14">
        <v>35</v>
      </c>
      <c r="S603" s="14">
        <v>1</v>
      </c>
      <c r="T603" s="14"/>
      <c r="U603" s="14" t="s">
        <v>2848</v>
      </c>
      <c r="V603" s="14" t="s">
        <v>2857</v>
      </c>
      <c r="W603" s="14" t="s">
        <v>2858</v>
      </c>
      <c r="X603" s="17">
        <v>0</v>
      </c>
      <c r="Y603" s="15" t="s">
        <v>2875</v>
      </c>
      <c r="Z603" s="18" t="s">
        <v>2914</v>
      </c>
      <c r="AA603" s="18"/>
      <c r="AB603" s="16"/>
      <c r="AC603" s="16"/>
      <c r="AD603" s="16"/>
      <c r="AE603" s="16" t="s">
        <v>2917</v>
      </c>
      <c r="AF603" s="16"/>
      <c r="AI603" s="3" t="str">
        <f t="shared" ca="1" si="9"/>
        <v>OK</v>
      </c>
    </row>
    <row r="604" spans="1:35" hidden="1" x14ac:dyDescent="0.3">
      <c r="A604" s="13">
        <v>46032</v>
      </c>
      <c r="B604" s="14" t="s">
        <v>2806</v>
      </c>
      <c r="C604" s="16"/>
      <c r="D604" s="16"/>
      <c r="E604" s="15" t="s">
        <v>888</v>
      </c>
      <c r="F604" s="15" t="s">
        <v>1273</v>
      </c>
      <c r="G604" s="15" t="s">
        <v>648</v>
      </c>
      <c r="H604" s="15"/>
      <c r="I604" s="15" t="s">
        <v>2439</v>
      </c>
      <c r="J604" s="15" t="s">
        <v>2440</v>
      </c>
      <c r="K604" s="16"/>
      <c r="L604" s="14" t="s">
        <v>2832</v>
      </c>
      <c r="M604" s="16"/>
      <c r="N604" s="15" t="s">
        <v>1158</v>
      </c>
      <c r="O604" s="14">
        <v>6894000</v>
      </c>
      <c r="P604" s="14" t="s">
        <v>2846</v>
      </c>
      <c r="Q604" s="14" cm="1">
        <f t="array" ref="Q604">_xlfn.IFS(P604="USD",O604,P604="VND",O604/26090,P604="JPY",O604/161)</f>
        <v>264.23917209658873</v>
      </c>
      <c r="R604" s="14">
        <v>35</v>
      </c>
      <c r="S604" s="14">
        <v>1</v>
      </c>
      <c r="T604" s="14"/>
      <c r="U604" s="14" t="s">
        <v>2848</v>
      </c>
      <c r="V604" s="14" t="s">
        <v>2857</v>
      </c>
      <c r="W604" s="14" t="s">
        <v>2858</v>
      </c>
      <c r="X604" s="17">
        <v>0</v>
      </c>
      <c r="Y604" s="15" t="s">
        <v>2875</v>
      </c>
      <c r="Z604" s="18" t="s">
        <v>2914</v>
      </c>
      <c r="AA604" s="18"/>
      <c r="AB604" s="16"/>
      <c r="AC604" s="16"/>
      <c r="AD604" s="16"/>
      <c r="AE604" s="16" t="s">
        <v>2917</v>
      </c>
      <c r="AF604" s="16"/>
      <c r="AI604" s="3" t="str">
        <f t="shared" ca="1" si="9"/>
        <v>OK</v>
      </c>
    </row>
    <row r="605" spans="1:35" hidden="1" x14ac:dyDescent="0.3">
      <c r="A605" s="13">
        <v>46032</v>
      </c>
      <c r="B605" s="14" t="s">
        <v>2806</v>
      </c>
      <c r="C605" s="16"/>
      <c r="D605" s="16"/>
      <c r="E605" s="15" t="s">
        <v>888</v>
      </c>
      <c r="F605" s="15" t="s">
        <v>1273</v>
      </c>
      <c r="G605" s="15" t="s">
        <v>649</v>
      </c>
      <c r="H605" s="15"/>
      <c r="I605" s="15" t="s">
        <v>2441</v>
      </c>
      <c r="J605" s="15" t="s">
        <v>2442</v>
      </c>
      <c r="K605" s="16"/>
      <c r="L605" s="14" t="s">
        <v>2832</v>
      </c>
      <c r="M605" s="16"/>
      <c r="N605" s="15" t="s">
        <v>1158</v>
      </c>
      <c r="O605" s="14">
        <v>10313000</v>
      </c>
      <c r="P605" s="14" t="s">
        <v>2846</v>
      </c>
      <c r="Q605" s="14" cm="1">
        <f t="array" ref="Q605">_xlfn.IFS(P605="USD",O605,P605="VND",O605/26090,P605="JPY",O605/161)</f>
        <v>395.28555001916442</v>
      </c>
      <c r="R605" s="14">
        <v>35</v>
      </c>
      <c r="S605" s="14">
        <v>1</v>
      </c>
      <c r="T605" s="14"/>
      <c r="U605" s="14" t="s">
        <v>2848</v>
      </c>
      <c r="V605" s="14" t="s">
        <v>2857</v>
      </c>
      <c r="W605" s="14" t="s">
        <v>2858</v>
      </c>
      <c r="X605" s="17">
        <v>0</v>
      </c>
      <c r="Y605" s="15" t="s">
        <v>2875</v>
      </c>
      <c r="Z605" s="18" t="s">
        <v>2914</v>
      </c>
      <c r="AA605" s="18"/>
      <c r="AB605" s="16"/>
      <c r="AC605" s="16"/>
      <c r="AD605" s="16"/>
      <c r="AE605" s="16" t="s">
        <v>2917</v>
      </c>
      <c r="AF605" s="16"/>
      <c r="AI605" s="3" t="str">
        <f t="shared" ca="1" si="9"/>
        <v>OK</v>
      </c>
    </row>
    <row r="606" spans="1:35" hidden="1" x14ac:dyDescent="0.3">
      <c r="A606" s="13">
        <v>46032</v>
      </c>
      <c r="B606" s="14" t="s">
        <v>2806</v>
      </c>
      <c r="C606" s="16"/>
      <c r="D606" s="16"/>
      <c r="E606" s="15" t="s">
        <v>888</v>
      </c>
      <c r="F606" s="15" t="s">
        <v>1273</v>
      </c>
      <c r="G606" s="15" t="s">
        <v>650</v>
      </c>
      <c r="H606" s="15"/>
      <c r="I606" s="15" t="s">
        <v>2443</v>
      </c>
      <c r="J606" s="15" t="s">
        <v>2444</v>
      </c>
      <c r="K606" s="16"/>
      <c r="L606" s="14" t="s">
        <v>2832</v>
      </c>
      <c r="M606" s="16"/>
      <c r="N606" s="15" t="s">
        <v>1158</v>
      </c>
      <c r="O606" s="14">
        <v>10608000</v>
      </c>
      <c r="P606" s="14" t="s">
        <v>2846</v>
      </c>
      <c r="Q606" s="14" cm="1">
        <f t="array" ref="Q606">_xlfn.IFS(P606="USD",O606,P606="VND",O606/26090,P606="JPY",O606/161)</f>
        <v>406.59256420084324</v>
      </c>
      <c r="R606" s="14">
        <v>35</v>
      </c>
      <c r="S606" s="14">
        <v>1</v>
      </c>
      <c r="T606" s="14"/>
      <c r="U606" s="14" t="s">
        <v>2848</v>
      </c>
      <c r="V606" s="14" t="s">
        <v>2857</v>
      </c>
      <c r="W606" s="14" t="s">
        <v>2858</v>
      </c>
      <c r="X606" s="17">
        <v>0</v>
      </c>
      <c r="Y606" s="15" t="s">
        <v>2875</v>
      </c>
      <c r="Z606" s="18" t="s">
        <v>2914</v>
      </c>
      <c r="AA606" s="18"/>
      <c r="AB606" s="16"/>
      <c r="AC606" s="16"/>
      <c r="AD606" s="16"/>
      <c r="AE606" s="16" t="s">
        <v>2917</v>
      </c>
      <c r="AF606" s="16"/>
      <c r="AI606" s="3" t="str">
        <f t="shared" ca="1" si="9"/>
        <v>OK</v>
      </c>
    </row>
    <row r="607" spans="1:35" hidden="1" x14ac:dyDescent="0.3">
      <c r="A607" s="13">
        <v>46032</v>
      </c>
      <c r="B607" s="14" t="s">
        <v>2806</v>
      </c>
      <c r="C607" s="16"/>
      <c r="D607" s="16"/>
      <c r="E607" s="15" t="s">
        <v>888</v>
      </c>
      <c r="F607" s="15" t="s">
        <v>1273</v>
      </c>
      <c r="G607" s="15" t="s">
        <v>651</v>
      </c>
      <c r="H607" s="15"/>
      <c r="I607" s="15" t="s">
        <v>2445</v>
      </c>
      <c r="J607" s="15" t="s">
        <v>2446</v>
      </c>
      <c r="K607" s="16"/>
      <c r="L607" s="14" t="s">
        <v>2832</v>
      </c>
      <c r="M607" s="16"/>
      <c r="N607" s="15" t="s">
        <v>1096</v>
      </c>
      <c r="O607" s="14">
        <v>2803000</v>
      </c>
      <c r="P607" s="14" t="s">
        <v>2846</v>
      </c>
      <c r="Q607" s="14" cm="1">
        <f t="array" ref="Q607">_xlfn.IFS(P607="USD",O607,P607="VND",O607/26090,P607="JPY",O607/161)</f>
        <v>107.43579915676504</v>
      </c>
      <c r="R607" s="14">
        <v>35</v>
      </c>
      <c r="S607" s="14">
        <v>1</v>
      </c>
      <c r="T607" s="14"/>
      <c r="U607" s="14" t="s">
        <v>2848</v>
      </c>
      <c r="V607" s="14" t="s">
        <v>2857</v>
      </c>
      <c r="W607" s="14" t="s">
        <v>2858</v>
      </c>
      <c r="X607" s="17">
        <v>0</v>
      </c>
      <c r="Y607" s="15" t="s">
        <v>2875</v>
      </c>
      <c r="Z607" s="18" t="s">
        <v>2914</v>
      </c>
      <c r="AA607" s="18"/>
      <c r="AB607" s="16"/>
      <c r="AC607" s="16"/>
      <c r="AD607" s="16"/>
      <c r="AE607" s="16" t="s">
        <v>2917</v>
      </c>
      <c r="AF607" s="16"/>
      <c r="AI607" s="3" t="str">
        <f t="shared" ca="1" si="9"/>
        <v>OK</v>
      </c>
    </row>
    <row r="608" spans="1:35" hidden="1" x14ac:dyDescent="0.3">
      <c r="A608" s="13">
        <v>46032</v>
      </c>
      <c r="B608" s="14" t="s">
        <v>2806</v>
      </c>
      <c r="C608" s="16"/>
      <c r="D608" s="16"/>
      <c r="E608" s="15" t="s">
        <v>888</v>
      </c>
      <c r="F608" s="15" t="s">
        <v>1273</v>
      </c>
      <c r="G608" s="15" t="s">
        <v>652</v>
      </c>
      <c r="H608" s="15"/>
      <c r="I608" s="15" t="s">
        <v>2447</v>
      </c>
      <c r="J608" s="15" t="s">
        <v>2448</v>
      </c>
      <c r="K608" s="16"/>
      <c r="L608" s="14" t="s">
        <v>2832</v>
      </c>
      <c r="M608" s="16"/>
      <c r="N608" s="15" t="s">
        <v>1096</v>
      </c>
      <c r="O608" s="14">
        <v>2569000</v>
      </c>
      <c r="P608" s="14" t="s">
        <v>2846</v>
      </c>
      <c r="Q608" s="14" cm="1">
        <f t="array" ref="Q608">_xlfn.IFS(P608="USD",O608,P608="VND",O608/26090,P608="JPY",O608/161)</f>
        <v>98.466845534687621</v>
      </c>
      <c r="R608" s="14">
        <v>35</v>
      </c>
      <c r="S608" s="14">
        <v>1</v>
      </c>
      <c r="T608" s="14"/>
      <c r="U608" s="14" t="s">
        <v>2848</v>
      </c>
      <c r="V608" s="14" t="s">
        <v>2857</v>
      </c>
      <c r="W608" s="14" t="s">
        <v>2858</v>
      </c>
      <c r="X608" s="17">
        <v>0</v>
      </c>
      <c r="Y608" s="15" t="s">
        <v>2875</v>
      </c>
      <c r="Z608" s="18" t="s">
        <v>2914</v>
      </c>
      <c r="AA608" s="18"/>
      <c r="AB608" s="16"/>
      <c r="AC608" s="16"/>
      <c r="AD608" s="16"/>
      <c r="AE608" s="16" t="s">
        <v>2917</v>
      </c>
      <c r="AF608" s="16"/>
      <c r="AI608" s="3" t="str">
        <f t="shared" ca="1" si="9"/>
        <v>OK</v>
      </c>
    </row>
    <row r="609" spans="1:35" hidden="1" x14ac:dyDescent="0.3">
      <c r="A609" s="13">
        <v>46032</v>
      </c>
      <c r="B609" s="14" t="s">
        <v>2806</v>
      </c>
      <c r="C609" s="16"/>
      <c r="D609" s="16"/>
      <c r="E609" s="15" t="s">
        <v>888</v>
      </c>
      <c r="F609" s="15" t="s">
        <v>1273</v>
      </c>
      <c r="G609" s="15" t="s">
        <v>653</v>
      </c>
      <c r="H609" s="15"/>
      <c r="I609" s="15" t="s">
        <v>2449</v>
      </c>
      <c r="J609" s="15" t="s">
        <v>2450</v>
      </c>
      <c r="K609" s="16"/>
      <c r="L609" s="14" t="s">
        <v>2832</v>
      </c>
      <c r="M609" s="16"/>
      <c r="N609" s="15" t="s">
        <v>1050</v>
      </c>
      <c r="O609" s="14">
        <v>6576000</v>
      </c>
      <c r="P609" s="14" t="s">
        <v>2846</v>
      </c>
      <c r="Q609" s="14" cm="1">
        <f t="array" ref="Q609">_xlfn.IFS(P609="USD",O609,P609="VND",O609/26090,P609="JPY",O609/161)</f>
        <v>252.05059409735532</v>
      </c>
      <c r="R609" s="14">
        <v>35</v>
      </c>
      <c r="S609" s="14">
        <v>1</v>
      </c>
      <c r="T609" s="14"/>
      <c r="U609" s="14" t="s">
        <v>2848</v>
      </c>
      <c r="V609" s="14" t="s">
        <v>2857</v>
      </c>
      <c r="W609" s="14" t="s">
        <v>2858</v>
      </c>
      <c r="X609" s="17">
        <v>0</v>
      </c>
      <c r="Y609" s="15" t="s">
        <v>2875</v>
      </c>
      <c r="Z609" s="18" t="s">
        <v>2914</v>
      </c>
      <c r="AA609" s="18"/>
      <c r="AB609" s="16"/>
      <c r="AC609" s="16"/>
      <c r="AD609" s="16"/>
      <c r="AE609" s="16" t="s">
        <v>2917</v>
      </c>
      <c r="AF609" s="16"/>
      <c r="AI609" s="3" t="str">
        <f t="shared" ca="1" si="9"/>
        <v>OK</v>
      </c>
    </row>
    <row r="610" spans="1:35" hidden="1" x14ac:dyDescent="0.3">
      <c r="A610" s="13">
        <v>46032</v>
      </c>
      <c r="B610" s="14" t="s">
        <v>2806</v>
      </c>
      <c r="C610" s="16"/>
      <c r="D610" s="16"/>
      <c r="E610" s="15" t="s">
        <v>888</v>
      </c>
      <c r="F610" s="15" t="s">
        <v>1273</v>
      </c>
      <c r="G610" s="15" t="s">
        <v>654</v>
      </c>
      <c r="H610" s="15"/>
      <c r="I610" s="15" t="s">
        <v>2451</v>
      </c>
      <c r="J610" s="15" t="s">
        <v>2452</v>
      </c>
      <c r="K610" s="16"/>
      <c r="L610" s="14" t="s">
        <v>2832</v>
      </c>
      <c r="M610" s="16"/>
      <c r="N610" s="15" t="s">
        <v>1158</v>
      </c>
      <c r="O610" s="14">
        <v>4327000</v>
      </c>
      <c r="P610" s="14" t="s">
        <v>2846</v>
      </c>
      <c r="Q610" s="14" cm="1">
        <f t="array" ref="Q610">_xlfn.IFS(P610="USD",O610,P610="VND",O610/26090,P610="JPY",O610/161)</f>
        <v>165.84898428516672</v>
      </c>
      <c r="R610" s="14">
        <v>35</v>
      </c>
      <c r="S610" s="14">
        <v>1</v>
      </c>
      <c r="T610" s="14"/>
      <c r="U610" s="14" t="s">
        <v>2848</v>
      </c>
      <c r="V610" s="14" t="s">
        <v>2857</v>
      </c>
      <c r="W610" s="14" t="s">
        <v>2858</v>
      </c>
      <c r="X610" s="17">
        <v>0</v>
      </c>
      <c r="Y610" s="15" t="s">
        <v>2875</v>
      </c>
      <c r="Z610" s="18" t="s">
        <v>2914</v>
      </c>
      <c r="AA610" s="18"/>
      <c r="AB610" s="16"/>
      <c r="AC610" s="16"/>
      <c r="AD610" s="16"/>
      <c r="AE610" s="16" t="s">
        <v>2917</v>
      </c>
      <c r="AF610" s="16"/>
      <c r="AI610" s="3" t="str">
        <f t="shared" ca="1" si="9"/>
        <v>OK</v>
      </c>
    </row>
    <row r="611" spans="1:35" hidden="1" x14ac:dyDescent="0.3">
      <c r="A611" s="13">
        <v>46032</v>
      </c>
      <c r="B611" s="14" t="s">
        <v>2806</v>
      </c>
      <c r="C611" s="16"/>
      <c r="D611" s="16"/>
      <c r="E611" s="15" t="s">
        <v>888</v>
      </c>
      <c r="F611" s="15" t="s">
        <v>1273</v>
      </c>
      <c r="G611" s="15" t="s">
        <v>655</v>
      </c>
      <c r="H611" s="15"/>
      <c r="I611" s="15" t="s">
        <v>2453</v>
      </c>
      <c r="J611" s="15" t="s">
        <v>2454</v>
      </c>
      <c r="K611" s="16"/>
      <c r="L611" s="14" t="s">
        <v>2832</v>
      </c>
      <c r="M611" s="16"/>
      <c r="N611" s="15" t="s">
        <v>1158</v>
      </c>
      <c r="O611" s="14">
        <v>5998000</v>
      </c>
      <c r="P611" s="14" t="s">
        <v>2846</v>
      </c>
      <c r="Q611" s="14" cm="1">
        <f t="array" ref="Q611">_xlfn.IFS(P611="USD",O611,P611="VND",O611/26090,P611="JPY",O611/161)</f>
        <v>229.89651207359142</v>
      </c>
      <c r="R611" s="14">
        <v>35</v>
      </c>
      <c r="S611" s="14">
        <v>1</v>
      </c>
      <c r="T611" s="14"/>
      <c r="U611" s="14" t="s">
        <v>2848</v>
      </c>
      <c r="V611" s="14" t="s">
        <v>2857</v>
      </c>
      <c r="W611" s="14" t="s">
        <v>2858</v>
      </c>
      <c r="X611" s="17">
        <v>0</v>
      </c>
      <c r="Y611" s="15" t="s">
        <v>2875</v>
      </c>
      <c r="Z611" s="18" t="s">
        <v>2914</v>
      </c>
      <c r="AA611" s="18"/>
      <c r="AB611" s="16"/>
      <c r="AC611" s="16"/>
      <c r="AD611" s="16"/>
      <c r="AE611" s="16" t="s">
        <v>2917</v>
      </c>
      <c r="AF611" s="16"/>
      <c r="AI611" s="3" t="str">
        <f t="shared" ca="1" si="9"/>
        <v>OK</v>
      </c>
    </row>
    <row r="612" spans="1:35" hidden="1" x14ac:dyDescent="0.3">
      <c r="A612" s="13">
        <v>46032</v>
      </c>
      <c r="B612" s="14" t="s">
        <v>2806</v>
      </c>
      <c r="C612" s="16"/>
      <c r="D612" s="16"/>
      <c r="E612" s="15" t="s">
        <v>888</v>
      </c>
      <c r="F612" s="15" t="s">
        <v>1273</v>
      </c>
      <c r="G612" s="15" t="s">
        <v>656</v>
      </c>
      <c r="H612" s="15"/>
      <c r="I612" s="15" t="s">
        <v>2455</v>
      </c>
      <c r="J612" s="15" t="s">
        <v>2456</v>
      </c>
      <c r="K612" s="16"/>
      <c r="L612" s="14" t="s">
        <v>2832</v>
      </c>
      <c r="M612" s="16"/>
      <c r="N612" s="15" t="s">
        <v>1158</v>
      </c>
      <c r="O612" s="14">
        <v>4295000</v>
      </c>
      <c r="P612" s="14" t="s">
        <v>2846</v>
      </c>
      <c r="Q612" s="14" cm="1">
        <f t="array" ref="Q612">_xlfn.IFS(P612="USD",O612,P612="VND",O612/26090,P612="JPY",O612/161)</f>
        <v>164.62246071291682</v>
      </c>
      <c r="R612" s="14">
        <v>35</v>
      </c>
      <c r="S612" s="14">
        <v>1</v>
      </c>
      <c r="T612" s="14"/>
      <c r="U612" s="14" t="s">
        <v>2848</v>
      </c>
      <c r="V612" s="14" t="s">
        <v>2857</v>
      </c>
      <c r="W612" s="14" t="s">
        <v>2858</v>
      </c>
      <c r="X612" s="17">
        <v>0</v>
      </c>
      <c r="Y612" s="15" t="s">
        <v>2875</v>
      </c>
      <c r="Z612" s="18" t="s">
        <v>2914</v>
      </c>
      <c r="AA612" s="18"/>
      <c r="AB612" s="16"/>
      <c r="AC612" s="16"/>
      <c r="AD612" s="16"/>
      <c r="AE612" s="16" t="s">
        <v>2917</v>
      </c>
      <c r="AF612" s="16"/>
      <c r="AI612" s="3" t="str">
        <f t="shared" ca="1" si="9"/>
        <v>OK</v>
      </c>
    </row>
    <row r="613" spans="1:35" hidden="1" x14ac:dyDescent="0.3">
      <c r="A613" s="13">
        <v>46032</v>
      </c>
      <c r="B613" s="14" t="s">
        <v>2806</v>
      </c>
      <c r="C613" s="16"/>
      <c r="D613" s="16"/>
      <c r="E613" s="15" t="s">
        <v>888</v>
      </c>
      <c r="F613" s="15" t="s">
        <v>1273</v>
      </c>
      <c r="G613" s="15" t="s">
        <v>657</v>
      </c>
      <c r="H613" s="15"/>
      <c r="I613" s="15" t="s">
        <v>2457</v>
      </c>
      <c r="J613" s="15" t="s">
        <v>2458</v>
      </c>
      <c r="K613" s="16"/>
      <c r="L613" s="14" t="s">
        <v>2817</v>
      </c>
      <c r="M613" s="16"/>
      <c r="N613" s="15" t="s">
        <v>1050</v>
      </c>
      <c r="O613" s="14">
        <v>2153000</v>
      </c>
      <c r="P613" s="14" t="s">
        <v>2846</v>
      </c>
      <c r="Q613" s="14" cm="1">
        <f t="array" ref="Q613">_xlfn.IFS(P613="USD",O613,P613="VND",O613/26090,P613="JPY",O613/161)</f>
        <v>82.522039095438871</v>
      </c>
      <c r="R613" s="14">
        <v>14</v>
      </c>
      <c r="S613" s="14">
        <v>1</v>
      </c>
      <c r="T613" s="14"/>
      <c r="U613" s="14" t="s">
        <v>2848</v>
      </c>
      <c r="V613" s="14" t="s">
        <v>2857</v>
      </c>
      <c r="W613" s="14" t="s">
        <v>2858</v>
      </c>
      <c r="X613" s="17">
        <v>0</v>
      </c>
      <c r="Y613" s="15" t="s">
        <v>2875</v>
      </c>
      <c r="Z613" s="18" t="s">
        <v>2914</v>
      </c>
      <c r="AA613" s="18"/>
      <c r="AB613" s="16"/>
      <c r="AC613" s="16"/>
      <c r="AD613" s="16"/>
      <c r="AE613" s="16" t="s">
        <v>2917</v>
      </c>
      <c r="AF613" s="16"/>
      <c r="AI613" s="3" t="str">
        <f t="shared" ca="1" si="9"/>
        <v>OK</v>
      </c>
    </row>
    <row r="614" spans="1:35" hidden="1" x14ac:dyDescent="0.3">
      <c r="A614" s="13">
        <v>46032</v>
      </c>
      <c r="B614" s="14" t="s">
        <v>2806</v>
      </c>
      <c r="C614" s="16"/>
      <c r="D614" s="16"/>
      <c r="E614" s="15" t="s">
        <v>888</v>
      </c>
      <c r="F614" s="15" t="s">
        <v>1273</v>
      </c>
      <c r="G614" s="15" t="s">
        <v>658</v>
      </c>
      <c r="H614" s="15"/>
      <c r="I614" s="15" t="s">
        <v>2459</v>
      </c>
      <c r="J614" s="15" t="s">
        <v>2460</v>
      </c>
      <c r="K614" s="16"/>
      <c r="L614" s="14" t="s">
        <v>2832</v>
      </c>
      <c r="M614" s="16"/>
      <c r="N614" s="15" t="s">
        <v>1096</v>
      </c>
      <c r="O614" s="14">
        <v>3252000</v>
      </c>
      <c r="P614" s="14" t="s">
        <v>2846</v>
      </c>
      <c r="Q614" s="14" cm="1">
        <f t="array" ref="Q614">_xlfn.IFS(P614="USD",O614,P614="VND",O614/26090,P614="JPY",O614/161)</f>
        <v>124.64545802989652</v>
      </c>
      <c r="R614" s="14">
        <v>35</v>
      </c>
      <c r="S614" s="14">
        <v>1</v>
      </c>
      <c r="T614" s="14"/>
      <c r="U614" s="14" t="s">
        <v>2848</v>
      </c>
      <c r="V614" s="14" t="s">
        <v>2857</v>
      </c>
      <c r="W614" s="14" t="s">
        <v>2858</v>
      </c>
      <c r="X614" s="17">
        <v>0</v>
      </c>
      <c r="Y614" s="15" t="s">
        <v>2875</v>
      </c>
      <c r="Z614" s="18" t="s">
        <v>2914</v>
      </c>
      <c r="AA614" s="18"/>
      <c r="AB614" s="16"/>
      <c r="AC614" s="16"/>
      <c r="AD614" s="16"/>
      <c r="AE614" s="16" t="s">
        <v>2917</v>
      </c>
      <c r="AF614" s="16"/>
      <c r="AI614" s="3" t="str">
        <f t="shared" ca="1" si="9"/>
        <v>OK</v>
      </c>
    </row>
    <row r="615" spans="1:35" hidden="1" x14ac:dyDescent="0.3">
      <c r="A615" s="13">
        <v>46032</v>
      </c>
      <c r="B615" s="14" t="s">
        <v>2806</v>
      </c>
      <c r="C615" s="16"/>
      <c r="D615" s="16"/>
      <c r="E615" s="15" t="s">
        <v>888</v>
      </c>
      <c r="F615" s="15" t="s">
        <v>1273</v>
      </c>
      <c r="G615" s="15" t="s">
        <v>659</v>
      </c>
      <c r="H615" s="15"/>
      <c r="I615" s="15" t="s">
        <v>2461</v>
      </c>
      <c r="J615" s="15" t="s">
        <v>2462</v>
      </c>
      <c r="K615" s="16"/>
      <c r="L615" s="14" t="s">
        <v>2832</v>
      </c>
      <c r="M615" s="16"/>
      <c r="N615" s="15" t="s">
        <v>1158</v>
      </c>
      <c r="O615" s="14">
        <v>879000</v>
      </c>
      <c r="P615" s="14" t="s">
        <v>2846</v>
      </c>
      <c r="Q615" s="14" cm="1">
        <f t="array" ref="Q615">_xlfn.IFS(P615="USD",O615,P615="VND",O615/26090,P615="JPY",O615/161)</f>
        <v>33.691069375239557</v>
      </c>
      <c r="R615" s="14">
        <v>35</v>
      </c>
      <c r="S615" s="14">
        <v>1</v>
      </c>
      <c r="T615" s="14"/>
      <c r="U615" s="14" t="s">
        <v>2848</v>
      </c>
      <c r="V615" s="14" t="s">
        <v>2857</v>
      </c>
      <c r="W615" s="14" t="s">
        <v>2858</v>
      </c>
      <c r="X615" s="17">
        <v>0</v>
      </c>
      <c r="Y615" s="15" t="s">
        <v>2875</v>
      </c>
      <c r="Z615" s="18" t="s">
        <v>2914</v>
      </c>
      <c r="AA615" s="18"/>
      <c r="AB615" s="16"/>
      <c r="AC615" s="16"/>
      <c r="AD615" s="16"/>
      <c r="AE615" s="16" t="s">
        <v>2917</v>
      </c>
      <c r="AF615" s="16"/>
      <c r="AI615" s="3" t="str">
        <f t="shared" ca="1" si="9"/>
        <v>OK</v>
      </c>
    </row>
    <row r="616" spans="1:35" hidden="1" x14ac:dyDescent="0.3">
      <c r="A616" s="13">
        <v>46032</v>
      </c>
      <c r="B616" s="14" t="s">
        <v>2806</v>
      </c>
      <c r="C616" s="16"/>
      <c r="D616" s="16"/>
      <c r="E616" s="15" t="s">
        <v>888</v>
      </c>
      <c r="F616" s="15" t="s">
        <v>1273</v>
      </c>
      <c r="G616" s="15" t="s">
        <v>660</v>
      </c>
      <c r="H616" s="15"/>
      <c r="I616" s="15" t="s">
        <v>2463</v>
      </c>
      <c r="J616" s="15" t="s">
        <v>2464</v>
      </c>
      <c r="K616" s="16"/>
      <c r="L616" s="14" t="s">
        <v>2832</v>
      </c>
      <c r="M616" s="16"/>
      <c r="N616" s="15" t="s">
        <v>1158</v>
      </c>
      <c r="O616" s="14">
        <v>1004000</v>
      </c>
      <c r="P616" s="14" t="s">
        <v>2846</v>
      </c>
      <c r="Q616" s="14" cm="1">
        <f t="array" ref="Q616">_xlfn.IFS(P616="USD",O616,P616="VND",O616/26090,P616="JPY",O616/161)</f>
        <v>38.482177079340744</v>
      </c>
      <c r="R616" s="14">
        <v>14</v>
      </c>
      <c r="S616" s="14">
        <v>1</v>
      </c>
      <c r="T616" s="14"/>
      <c r="U616" s="14" t="s">
        <v>2848</v>
      </c>
      <c r="V616" s="14" t="s">
        <v>2857</v>
      </c>
      <c r="W616" s="14" t="s">
        <v>2858</v>
      </c>
      <c r="X616" s="17">
        <v>0</v>
      </c>
      <c r="Y616" s="15" t="s">
        <v>2875</v>
      </c>
      <c r="Z616" s="18" t="s">
        <v>2914</v>
      </c>
      <c r="AA616" s="18"/>
      <c r="AB616" s="16"/>
      <c r="AC616" s="16"/>
      <c r="AD616" s="16"/>
      <c r="AE616" s="16" t="s">
        <v>2917</v>
      </c>
      <c r="AF616" s="16"/>
      <c r="AI616" s="3" t="str">
        <f t="shared" ca="1" si="9"/>
        <v>OK</v>
      </c>
    </row>
    <row r="617" spans="1:35" hidden="1" x14ac:dyDescent="0.3">
      <c r="A617" s="13">
        <v>46032</v>
      </c>
      <c r="B617" s="14" t="s">
        <v>2806</v>
      </c>
      <c r="C617" s="16"/>
      <c r="D617" s="16"/>
      <c r="E617" s="15" t="s">
        <v>888</v>
      </c>
      <c r="F617" s="15" t="s">
        <v>1273</v>
      </c>
      <c r="G617" s="15" t="s">
        <v>661</v>
      </c>
      <c r="H617" s="15"/>
      <c r="I617" s="15" t="s">
        <v>2465</v>
      </c>
      <c r="J617" s="15" t="s">
        <v>2466</v>
      </c>
      <c r="K617" s="16"/>
      <c r="L617" s="14" t="s">
        <v>2832</v>
      </c>
      <c r="M617" s="16"/>
      <c r="N617" s="15" t="s">
        <v>1158</v>
      </c>
      <c r="O617" s="14">
        <v>1671000</v>
      </c>
      <c r="P617" s="14" t="s">
        <v>2846</v>
      </c>
      <c r="Q617" s="14" cm="1">
        <f t="array" ref="Q617">_xlfn.IFS(P617="USD",O617,P617="VND",O617/26090,P617="JPY",O617/161)</f>
        <v>64.047527788424688</v>
      </c>
      <c r="R617" s="14">
        <v>35</v>
      </c>
      <c r="S617" s="14">
        <v>1</v>
      </c>
      <c r="T617" s="14"/>
      <c r="U617" s="14" t="s">
        <v>2848</v>
      </c>
      <c r="V617" s="14" t="s">
        <v>2857</v>
      </c>
      <c r="W617" s="14" t="s">
        <v>2858</v>
      </c>
      <c r="X617" s="17">
        <v>0</v>
      </c>
      <c r="Y617" s="15" t="s">
        <v>2875</v>
      </c>
      <c r="Z617" s="18" t="s">
        <v>2914</v>
      </c>
      <c r="AA617" s="18"/>
      <c r="AB617" s="16"/>
      <c r="AC617" s="16"/>
      <c r="AD617" s="16"/>
      <c r="AE617" s="16" t="s">
        <v>2917</v>
      </c>
      <c r="AF617" s="16"/>
      <c r="AI617" s="3" t="str">
        <f t="shared" ca="1" si="9"/>
        <v>OK</v>
      </c>
    </row>
    <row r="618" spans="1:35" hidden="1" x14ac:dyDescent="0.3">
      <c r="A618" s="13">
        <v>46032</v>
      </c>
      <c r="B618" s="14" t="s">
        <v>2806</v>
      </c>
      <c r="C618" s="16"/>
      <c r="D618" s="16"/>
      <c r="E618" s="15" t="s">
        <v>888</v>
      </c>
      <c r="F618" s="15" t="s">
        <v>1273</v>
      </c>
      <c r="G618" s="15" t="s">
        <v>662</v>
      </c>
      <c r="H618" s="15"/>
      <c r="I618" s="15" t="s">
        <v>2467</v>
      </c>
      <c r="J618" s="15" t="s">
        <v>2468</v>
      </c>
      <c r="K618" s="16"/>
      <c r="L618" s="14" t="s">
        <v>2832</v>
      </c>
      <c r="M618" s="16"/>
      <c r="N618" s="15" t="s">
        <v>1158</v>
      </c>
      <c r="O618" s="14">
        <v>1030000</v>
      </c>
      <c r="P618" s="14" t="s">
        <v>2846</v>
      </c>
      <c r="Q618" s="14" cm="1">
        <f t="array" ref="Q618">_xlfn.IFS(P618="USD",O618,P618="VND",O618/26090,P618="JPY",O618/161)</f>
        <v>39.47872748179379</v>
      </c>
      <c r="R618" s="14">
        <v>35</v>
      </c>
      <c r="S618" s="14">
        <v>1</v>
      </c>
      <c r="T618" s="14"/>
      <c r="U618" s="14" t="s">
        <v>2848</v>
      </c>
      <c r="V618" s="14" t="s">
        <v>2857</v>
      </c>
      <c r="W618" s="14" t="s">
        <v>2858</v>
      </c>
      <c r="X618" s="17">
        <v>0</v>
      </c>
      <c r="Y618" s="15" t="s">
        <v>2875</v>
      </c>
      <c r="Z618" s="18" t="s">
        <v>2914</v>
      </c>
      <c r="AA618" s="18"/>
      <c r="AB618" s="16"/>
      <c r="AC618" s="16"/>
      <c r="AD618" s="16"/>
      <c r="AE618" s="16" t="s">
        <v>2917</v>
      </c>
      <c r="AF618" s="16"/>
      <c r="AI618" s="3" t="str">
        <f t="shared" ca="1" si="9"/>
        <v>OK</v>
      </c>
    </row>
    <row r="619" spans="1:35" hidden="1" x14ac:dyDescent="0.3">
      <c r="A619" s="13">
        <v>46032</v>
      </c>
      <c r="B619" s="14" t="s">
        <v>2806</v>
      </c>
      <c r="C619" s="16"/>
      <c r="D619" s="16"/>
      <c r="E619" s="15" t="s">
        <v>888</v>
      </c>
      <c r="F619" s="15" t="s">
        <v>1273</v>
      </c>
      <c r="G619" s="15" t="s">
        <v>663</v>
      </c>
      <c r="H619" s="15"/>
      <c r="I619" s="15" t="s">
        <v>2469</v>
      </c>
      <c r="J619" s="15" t="s">
        <v>2470</v>
      </c>
      <c r="K619" s="16"/>
      <c r="L619" s="14" t="s">
        <v>2832</v>
      </c>
      <c r="M619" s="16"/>
      <c r="N619" s="15" t="s">
        <v>1158</v>
      </c>
      <c r="O619" s="14">
        <v>1096000</v>
      </c>
      <c r="P619" s="14" t="s">
        <v>2846</v>
      </c>
      <c r="Q619" s="14" cm="1">
        <f t="array" ref="Q619">_xlfn.IFS(P619="USD",O619,P619="VND",O619/26090,P619="JPY",O619/161)</f>
        <v>42.008432349559222</v>
      </c>
      <c r="R619" s="14">
        <v>35</v>
      </c>
      <c r="S619" s="14">
        <v>1</v>
      </c>
      <c r="T619" s="14"/>
      <c r="U619" s="14" t="s">
        <v>2848</v>
      </c>
      <c r="V619" s="14" t="s">
        <v>2857</v>
      </c>
      <c r="W619" s="14" t="s">
        <v>2858</v>
      </c>
      <c r="X619" s="17">
        <v>0</v>
      </c>
      <c r="Y619" s="15" t="s">
        <v>2875</v>
      </c>
      <c r="Z619" s="18" t="s">
        <v>2914</v>
      </c>
      <c r="AA619" s="18"/>
      <c r="AB619" s="16"/>
      <c r="AC619" s="16"/>
      <c r="AD619" s="16"/>
      <c r="AE619" s="16" t="s">
        <v>2917</v>
      </c>
      <c r="AF619" s="16"/>
      <c r="AI619" s="3" t="str">
        <f t="shared" ca="1" si="9"/>
        <v>OK</v>
      </c>
    </row>
    <row r="620" spans="1:35" hidden="1" x14ac:dyDescent="0.3">
      <c r="A620" s="13">
        <v>46032</v>
      </c>
      <c r="B620" s="14" t="s">
        <v>2806</v>
      </c>
      <c r="C620" s="16"/>
      <c r="D620" s="16"/>
      <c r="E620" s="15" t="s">
        <v>888</v>
      </c>
      <c r="F620" s="15" t="s">
        <v>1273</v>
      </c>
      <c r="G620" s="15" t="s">
        <v>664</v>
      </c>
      <c r="H620" s="15"/>
      <c r="I620" s="15" t="s">
        <v>2471</v>
      </c>
      <c r="J620" s="15" t="s">
        <v>2472</v>
      </c>
      <c r="K620" s="16"/>
      <c r="L620" s="14" t="s">
        <v>2832</v>
      </c>
      <c r="M620" s="16"/>
      <c r="N620" s="15" t="s">
        <v>1158</v>
      </c>
      <c r="O620" s="14">
        <v>1591000</v>
      </c>
      <c r="P620" s="14" t="s">
        <v>2846</v>
      </c>
      <c r="Q620" s="14" cm="1">
        <f t="array" ref="Q620">_xlfn.IFS(P620="USD",O620,P620="VND",O620/26090,P620="JPY",O620/161)</f>
        <v>60.981218857799924</v>
      </c>
      <c r="R620" s="14">
        <v>35</v>
      </c>
      <c r="S620" s="14">
        <v>1</v>
      </c>
      <c r="T620" s="14"/>
      <c r="U620" s="14" t="s">
        <v>2848</v>
      </c>
      <c r="V620" s="14" t="s">
        <v>2857</v>
      </c>
      <c r="W620" s="14" t="s">
        <v>2858</v>
      </c>
      <c r="X620" s="17">
        <v>0</v>
      </c>
      <c r="Y620" s="15" t="s">
        <v>2875</v>
      </c>
      <c r="Z620" s="18" t="s">
        <v>2914</v>
      </c>
      <c r="AA620" s="18"/>
      <c r="AB620" s="16"/>
      <c r="AC620" s="16"/>
      <c r="AD620" s="16"/>
      <c r="AE620" s="16" t="s">
        <v>2917</v>
      </c>
      <c r="AF620" s="16"/>
      <c r="AI620" s="3" t="str">
        <f t="shared" ca="1" si="9"/>
        <v>OK</v>
      </c>
    </row>
    <row r="621" spans="1:35" hidden="1" x14ac:dyDescent="0.3">
      <c r="A621" s="13">
        <v>46032</v>
      </c>
      <c r="B621" s="14" t="s">
        <v>2806</v>
      </c>
      <c r="C621" s="16"/>
      <c r="D621" s="16"/>
      <c r="E621" s="15" t="s">
        <v>888</v>
      </c>
      <c r="F621" s="15" t="s">
        <v>1273</v>
      </c>
      <c r="G621" s="15" t="s">
        <v>665</v>
      </c>
      <c r="H621" s="15"/>
      <c r="I621" s="15" t="s">
        <v>2473</v>
      </c>
      <c r="J621" s="15" t="s">
        <v>2474</v>
      </c>
      <c r="K621" s="16"/>
      <c r="L621" s="14" t="s">
        <v>2832</v>
      </c>
      <c r="M621" s="16"/>
      <c r="N621" s="15" t="s">
        <v>1158</v>
      </c>
      <c r="O621" s="14">
        <v>1027000</v>
      </c>
      <c r="P621" s="14" t="s">
        <v>2846</v>
      </c>
      <c r="Q621" s="14" cm="1">
        <f t="array" ref="Q621">_xlfn.IFS(P621="USD",O621,P621="VND",O621/26090,P621="JPY",O621/161)</f>
        <v>39.363740896895365</v>
      </c>
      <c r="R621" s="14">
        <v>35</v>
      </c>
      <c r="S621" s="14">
        <v>1</v>
      </c>
      <c r="T621" s="14"/>
      <c r="U621" s="14" t="s">
        <v>2848</v>
      </c>
      <c r="V621" s="14" t="s">
        <v>2857</v>
      </c>
      <c r="W621" s="14" t="s">
        <v>2858</v>
      </c>
      <c r="X621" s="17">
        <v>0</v>
      </c>
      <c r="Y621" s="15" t="s">
        <v>2875</v>
      </c>
      <c r="Z621" s="18" t="s">
        <v>2914</v>
      </c>
      <c r="AA621" s="18"/>
      <c r="AB621" s="16"/>
      <c r="AC621" s="16"/>
      <c r="AD621" s="16"/>
      <c r="AE621" s="16" t="s">
        <v>2917</v>
      </c>
      <c r="AF621" s="16"/>
      <c r="AI621" s="3" t="str">
        <f t="shared" ca="1" si="9"/>
        <v>OK</v>
      </c>
    </row>
    <row r="622" spans="1:35" hidden="1" x14ac:dyDescent="0.3">
      <c r="A622" s="13">
        <v>46032</v>
      </c>
      <c r="B622" s="14" t="s">
        <v>2806</v>
      </c>
      <c r="C622" s="16"/>
      <c r="D622" s="16"/>
      <c r="E622" s="15" t="s">
        <v>888</v>
      </c>
      <c r="F622" s="15" t="s">
        <v>1273</v>
      </c>
      <c r="G622" s="15" t="s">
        <v>666</v>
      </c>
      <c r="H622" s="15"/>
      <c r="I622" s="15" t="s">
        <v>2475</v>
      </c>
      <c r="J622" s="15" t="s">
        <v>2476</v>
      </c>
      <c r="K622" s="16"/>
      <c r="L622" s="14" t="s">
        <v>2832</v>
      </c>
      <c r="M622" s="16"/>
      <c r="N622" s="15" t="s">
        <v>1158</v>
      </c>
      <c r="O622" s="14">
        <v>1084000</v>
      </c>
      <c r="P622" s="14" t="s">
        <v>2846</v>
      </c>
      <c r="Q622" s="14" cm="1">
        <f t="array" ref="Q622">_xlfn.IFS(P622="USD",O622,P622="VND",O622/26090,P622="JPY",O622/161)</f>
        <v>41.548486009965501</v>
      </c>
      <c r="R622" s="14">
        <v>35</v>
      </c>
      <c r="S622" s="14">
        <v>1</v>
      </c>
      <c r="T622" s="14"/>
      <c r="U622" s="14" t="s">
        <v>2848</v>
      </c>
      <c r="V622" s="14" t="s">
        <v>2857</v>
      </c>
      <c r="W622" s="14" t="s">
        <v>2858</v>
      </c>
      <c r="X622" s="17">
        <v>0</v>
      </c>
      <c r="Y622" s="15" t="s">
        <v>2875</v>
      </c>
      <c r="Z622" s="18" t="s">
        <v>2914</v>
      </c>
      <c r="AA622" s="18"/>
      <c r="AB622" s="16"/>
      <c r="AC622" s="16"/>
      <c r="AD622" s="16"/>
      <c r="AE622" s="16" t="s">
        <v>2917</v>
      </c>
      <c r="AF622" s="16"/>
      <c r="AI622" s="3" t="str">
        <f t="shared" ca="1" si="9"/>
        <v>OK</v>
      </c>
    </row>
    <row r="623" spans="1:35" hidden="1" x14ac:dyDescent="0.3">
      <c r="A623" s="13">
        <v>46032</v>
      </c>
      <c r="B623" s="14" t="s">
        <v>2806</v>
      </c>
      <c r="C623" s="16"/>
      <c r="D623" s="16"/>
      <c r="E623" s="15" t="s">
        <v>888</v>
      </c>
      <c r="F623" s="15" t="s">
        <v>1273</v>
      </c>
      <c r="G623" s="15" t="s">
        <v>667</v>
      </c>
      <c r="H623" s="15"/>
      <c r="I623" s="15" t="s">
        <v>2477</v>
      </c>
      <c r="J623" s="15" t="s">
        <v>2478</v>
      </c>
      <c r="K623" s="16"/>
      <c r="L623" s="14" t="s">
        <v>2832</v>
      </c>
      <c r="M623" s="16"/>
      <c r="N623" s="15" t="s">
        <v>1158</v>
      </c>
      <c r="O623" s="14">
        <v>1661000</v>
      </c>
      <c r="P623" s="14" t="s">
        <v>2846</v>
      </c>
      <c r="Q623" s="14" cm="1">
        <f t="array" ref="Q623">_xlfn.IFS(P623="USD",O623,P623="VND",O623/26090,P623="JPY",O623/161)</f>
        <v>63.664239172096586</v>
      </c>
      <c r="R623" s="14">
        <v>35</v>
      </c>
      <c r="S623" s="14">
        <v>1</v>
      </c>
      <c r="T623" s="14"/>
      <c r="U623" s="14" t="s">
        <v>2848</v>
      </c>
      <c r="V623" s="14" t="s">
        <v>2857</v>
      </c>
      <c r="W623" s="14" t="s">
        <v>2858</v>
      </c>
      <c r="X623" s="17">
        <v>0</v>
      </c>
      <c r="Y623" s="15" t="s">
        <v>2875</v>
      </c>
      <c r="Z623" s="18" t="s">
        <v>2914</v>
      </c>
      <c r="AA623" s="18"/>
      <c r="AB623" s="16"/>
      <c r="AC623" s="16"/>
      <c r="AD623" s="16"/>
      <c r="AE623" s="16" t="s">
        <v>2917</v>
      </c>
      <c r="AF623" s="16"/>
      <c r="AI623" s="3" t="str">
        <f t="shared" ca="1" si="9"/>
        <v>OK</v>
      </c>
    </row>
    <row r="624" spans="1:35" hidden="1" x14ac:dyDescent="0.3">
      <c r="A624" s="13">
        <v>46032</v>
      </c>
      <c r="B624" s="14" t="s">
        <v>2806</v>
      </c>
      <c r="C624" s="16"/>
      <c r="D624" s="16"/>
      <c r="E624" s="15" t="s">
        <v>888</v>
      </c>
      <c r="F624" s="15" t="s">
        <v>1273</v>
      </c>
      <c r="G624" s="15" t="s">
        <v>668</v>
      </c>
      <c r="H624" s="15"/>
      <c r="I624" s="15" t="s">
        <v>2479</v>
      </c>
      <c r="J624" s="15" t="s">
        <v>2480</v>
      </c>
      <c r="K624" s="16"/>
      <c r="L624" s="14" t="s">
        <v>2832</v>
      </c>
      <c r="M624" s="16"/>
      <c r="N624" s="15" t="s">
        <v>1158</v>
      </c>
      <c r="O624" s="14">
        <v>1049000</v>
      </c>
      <c r="P624" s="14" t="s">
        <v>2846</v>
      </c>
      <c r="Q624" s="14" cm="1">
        <f t="array" ref="Q624">_xlfn.IFS(P624="USD",O624,P624="VND",O624/26090,P624="JPY",O624/161)</f>
        <v>40.206975852817173</v>
      </c>
      <c r="R624" s="14">
        <v>35</v>
      </c>
      <c r="S624" s="14">
        <v>1</v>
      </c>
      <c r="T624" s="14"/>
      <c r="U624" s="14" t="s">
        <v>2848</v>
      </c>
      <c r="V624" s="14" t="s">
        <v>2857</v>
      </c>
      <c r="W624" s="14" t="s">
        <v>2858</v>
      </c>
      <c r="X624" s="17">
        <v>0</v>
      </c>
      <c r="Y624" s="15" t="s">
        <v>2875</v>
      </c>
      <c r="Z624" s="18" t="s">
        <v>2914</v>
      </c>
      <c r="AA624" s="18"/>
      <c r="AB624" s="16"/>
      <c r="AC624" s="16"/>
      <c r="AD624" s="16"/>
      <c r="AE624" s="16" t="s">
        <v>2917</v>
      </c>
      <c r="AF624" s="16"/>
      <c r="AI624" s="3" t="str">
        <f t="shared" ca="1" si="9"/>
        <v>OK</v>
      </c>
    </row>
    <row r="625" spans="1:35" hidden="1" x14ac:dyDescent="0.3">
      <c r="A625" s="13">
        <v>46032</v>
      </c>
      <c r="B625" s="14" t="s">
        <v>2806</v>
      </c>
      <c r="C625" s="16"/>
      <c r="D625" s="16"/>
      <c r="E625" s="15" t="s">
        <v>888</v>
      </c>
      <c r="F625" s="15" t="s">
        <v>1273</v>
      </c>
      <c r="G625" s="15" t="s">
        <v>669</v>
      </c>
      <c r="H625" s="15"/>
      <c r="I625" s="15" t="s">
        <v>2481</v>
      </c>
      <c r="J625" s="15" t="s">
        <v>2482</v>
      </c>
      <c r="K625" s="16"/>
      <c r="L625" s="14" t="s">
        <v>2832</v>
      </c>
      <c r="M625" s="16"/>
      <c r="N625" s="15" t="s">
        <v>1158</v>
      </c>
      <c r="O625" s="14">
        <v>1816000</v>
      </c>
      <c r="P625" s="14" t="s">
        <v>2846</v>
      </c>
      <c r="Q625" s="14" cm="1">
        <f t="array" ref="Q625">_xlfn.IFS(P625="USD",O625,P625="VND",O625/26090,P625="JPY",O625/161)</f>
        <v>69.605212725182056</v>
      </c>
      <c r="R625" s="14">
        <v>35</v>
      </c>
      <c r="S625" s="14">
        <v>1</v>
      </c>
      <c r="T625" s="14"/>
      <c r="U625" s="14" t="s">
        <v>2848</v>
      </c>
      <c r="V625" s="14" t="s">
        <v>2857</v>
      </c>
      <c r="W625" s="14" t="s">
        <v>2858</v>
      </c>
      <c r="X625" s="17">
        <v>0</v>
      </c>
      <c r="Y625" s="15" t="s">
        <v>2875</v>
      </c>
      <c r="Z625" s="18" t="s">
        <v>2914</v>
      </c>
      <c r="AA625" s="18"/>
      <c r="AB625" s="16"/>
      <c r="AC625" s="16"/>
      <c r="AD625" s="16"/>
      <c r="AE625" s="16" t="s">
        <v>2917</v>
      </c>
      <c r="AF625" s="16"/>
      <c r="AI625" s="3" t="str">
        <f t="shared" ca="1" si="9"/>
        <v>OK</v>
      </c>
    </row>
    <row r="626" spans="1:35" hidden="1" x14ac:dyDescent="0.3">
      <c r="A626" s="13">
        <v>46032</v>
      </c>
      <c r="B626" s="14" t="s">
        <v>2806</v>
      </c>
      <c r="C626" s="16"/>
      <c r="D626" s="16"/>
      <c r="E626" s="15" t="s">
        <v>888</v>
      </c>
      <c r="F626" s="15" t="s">
        <v>1273</v>
      </c>
      <c r="G626" s="15" t="s">
        <v>670</v>
      </c>
      <c r="H626" s="15"/>
      <c r="I626" s="15" t="s">
        <v>2483</v>
      </c>
      <c r="J626" s="15" t="s">
        <v>2484</v>
      </c>
      <c r="K626" s="16"/>
      <c r="L626" s="14" t="s">
        <v>2832</v>
      </c>
      <c r="M626" s="16"/>
      <c r="N626" s="15" t="s">
        <v>1158</v>
      </c>
      <c r="O626" s="14">
        <v>1609000</v>
      </c>
      <c r="P626" s="14" t="s">
        <v>2846</v>
      </c>
      <c r="Q626" s="14" cm="1">
        <f t="array" ref="Q626">_xlfn.IFS(P626="USD",O626,P626="VND",O626/26090,P626="JPY",O626/161)</f>
        <v>61.671138367190494</v>
      </c>
      <c r="R626" s="14">
        <v>35</v>
      </c>
      <c r="S626" s="14">
        <v>1</v>
      </c>
      <c r="T626" s="14"/>
      <c r="U626" s="14" t="s">
        <v>2848</v>
      </c>
      <c r="V626" s="14" t="s">
        <v>2857</v>
      </c>
      <c r="W626" s="14" t="s">
        <v>2858</v>
      </c>
      <c r="X626" s="17">
        <v>0</v>
      </c>
      <c r="Y626" s="15" t="s">
        <v>2875</v>
      </c>
      <c r="Z626" s="18" t="s">
        <v>2914</v>
      </c>
      <c r="AA626" s="18"/>
      <c r="AB626" s="16"/>
      <c r="AC626" s="16"/>
      <c r="AD626" s="16"/>
      <c r="AE626" s="16" t="s">
        <v>2917</v>
      </c>
      <c r="AF626" s="16"/>
      <c r="AI626" s="3" t="str">
        <f t="shared" ca="1" si="9"/>
        <v>OK</v>
      </c>
    </row>
    <row r="627" spans="1:35" hidden="1" x14ac:dyDescent="0.3">
      <c r="A627" s="13">
        <v>46032</v>
      </c>
      <c r="B627" s="14" t="s">
        <v>2806</v>
      </c>
      <c r="C627" s="16"/>
      <c r="D627" s="16"/>
      <c r="E627" s="15" t="s">
        <v>888</v>
      </c>
      <c r="F627" s="15" t="s">
        <v>1273</v>
      </c>
      <c r="G627" s="15" t="s">
        <v>671</v>
      </c>
      <c r="H627" s="15"/>
      <c r="I627" s="15" t="s">
        <v>2485</v>
      </c>
      <c r="J627" s="15" t="s">
        <v>2486</v>
      </c>
      <c r="K627" s="16"/>
      <c r="L627" s="14" t="s">
        <v>2832</v>
      </c>
      <c r="M627" s="16"/>
      <c r="N627" s="15" t="s">
        <v>1158</v>
      </c>
      <c r="O627" s="14">
        <v>1076000</v>
      </c>
      <c r="P627" s="14" t="s">
        <v>2846</v>
      </c>
      <c r="Q627" s="14" cm="1">
        <f t="array" ref="Q627">_xlfn.IFS(P627="USD",O627,P627="VND",O627/26090,P627="JPY",O627/161)</f>
        <v>41.241855116903025</v>
      </c>
      <c r="R627" s="14">
        <v>35</v>
      </c>
      <c r="S627" s="14">
        <v>1</v>
      </c>
      <c r="T627" s="14"/>
      <c r="U627" s="14" t="s">
        <v>2848</v>
      </c>
      <c r="V627" s="14" t="s">
        <v>2857</v>
      </c>
      <c r="W627" s="14" t="s">
        <v>2858</v>
      </c>
      <c r="X627" s="17">
        <v>0</v>
      </c>
      <c r="Y627" s="15" t="s">
        <v>2875</v>
      </c>
      <c r="Z627" s="18" t="s">
        <v>2914</v>
      </c>
      <c r="AA627" s="18"/>
      <c r="AB627" s="16"/>
      <c r="AC627" s="16"/>
      <c r="AD627" s="16"/>
      <c r="AE627" s="16" t="s">
        <v>2917</v>
      </c>
      <c r="AF627" s="16"/>
      <c r="AI627" s="3" t="str">
        <f t="shared" ca="1" si="9"/>
        <v>OK</v>
      </c>
    </row>
    <row r="628" spans="1:35" hidden="1" x14ac:dyDescent="0.3">
      <c r="A628" s="13">
        <v>46032</v>
      </c>
      <c r="B628" s="14" t="s">
        <v>2806</v>
      </c>
      <c r="C628" s="16"/>
      <c r="D628" s="16"/>
      <c r="E628" s="15" t="s">
        <v>888</v>
      </c>
      <c r="F628" s="15" t="s">
        <v>1273</v>
      </c>
      <c r="G628" s="15" t="s">
        <v>672</v>
      </c>
      <c r="H628" s="15"/>
      <c r="I628" s="15" t="s">
        <v>2487</v>
      </c>
      <c r="J628" s="15" t="s">
        <v>2488</v>
      </c>
      <c r="K628" s="16"/>
      <c r="L628" s="14" t="s">
        <v>2832</v>
      </c>
      <c r="M628" s="16"/>
      <c r="N628" s="15" t="s">
        <v>1158</v>
      </c>
      <c r="O628" s="14">
        <v>2084000</v>
      </c>
      <c r="P628" s="14" t="s">
        <v>2846</v>
      </c>
      <c r="Q628" s="14" cm="1">
        <f t="array" ref="Q628">_xlfn.IFS(P628="USD",O628,P628="VND",O628/26090,P628="JPY",O628/161)</f>
        <v>79.877347642775007</v>
      </c>
      <c r="R628" s="14">
        <v>14</v>
      </c>
      <c r="S628" s="14">
        <v>1</v>
      </c>
      <c r="T628" s="14"/>
      <c r="U628" s="14" t="s">
        <v>2848</v>
      </c>
      <c r="V628" s="14" t="s">
        <v>2857</v>
      </c>
      <c r="W628" s="14" t="s">
        <v>2858</v>
      </c>
      <c r="X628" s="17">
        <v>0</v>
      </c>
      <c r="Y628" s="15" t="s">
        <v>2875</v>
      </c>
      <c r="Z628" s="18" t="s">
        <v>2914</v>
      </c>
      <c r="AA628" s="18"/>
      <c r="AB628" s="16"/>
      <c r="AC628" s="16"/>
      <c r="AD628" s="16"/>
      <c r="AE628" s="16" t="s">
        <v>2917</v>
      </c>
      <c r="AF628" s="16"/>
      <c r="AI628" s="3" t="str">
        <f t="shared" ca="1" si="9"/>
        <v>OK</v>
      </c>
    </row>
    <row r="629" spans="1:35" hidden="1" x14ac:dyDescent="0.3">
      <c r="A629" s="13">
        <v>46032</v>
      </c>
      <c r="B629" s="14" t="s">
        <v>2806</v>
      </c>
      <c r="C629" s="16"/>
      <c r="D629" s="16"/>
      <c r="E629" s="15" t="s">
        <v>888</v>
      </c>
      <c r="F629" s="15" t="s">
        <v>1273</v>
      </c>
      <c r="G629" s="15" t="s">
        <v>673</v>
      </c>
      <c r="H629" s="15"/>
      <c r="I629" s="15" t="s">
        <v>2489</v>
      </c>
      <c r="J629" s="15" t="s">
        <v>2490</v>
      </c>
      <c r="K629" s="16"/>
      <c r="L629" s="14" t="s">
        <v>2832</v>
      </c>
      <c r="M629" s="16"/>
      <c r="N629" s="15" t="s">
        <v>1158</v>
      </c>
      <c r="O629" s="14">
        <v>2096000</v>
      </c>
      <c r="P629" s="14" t="s">
        <v>2846</v>
      </c>
      <c r="Q629" s="14" cm="1">
        <f t="array" ref="Q629">_xlfn.IFS(P629="USD",O629,P629="VND",O629/26090,P629="JPY",O629/161)</f>
        <v>80.33729398236872</v>
      </c>
      <c r="R629" s="14">
        <v>14</v>
      </c>
      <c r="S629" s="14">
        <v>1</v>
      </c>
      <c r="T629" s="14"/>
      <c r="U629" s="14" t="s">
        <v>2848</v>
      </c>
      <c r="V629" s="14" t="s">
        <v>2857</v>
      </c>
      <c r="W629" s="14" t="s">
        <v>2858</v>
      </c>
      <c r="X629" s="17">
        <v>0</v>
      </c>
      <c r="Y629" s="15" t="s">
        <v>2875</v>
      </c>
      <c r="Z629" s="18" t="s">
        <v>2914</v>
      </c>
      <c r="AA629" s="18"/>
      <c r="AB629" s="16"/>
      <c r="AC629" s="16"/>
      <c r="AD629" s="16"/>
      <c r="AE629" s="16" t="s">
        <v>2917</v>
      </c>
      <c r="AF629" s="16"/>
      <c r="AI629" s="3" t="str">
        <f t="shared" ca="1" si="9"/>
        <v>OK</v>
      </c>
    </row>
    <row r="630" spans="1:35" hidden="1" x14ac:dyDescent="0.3">
      <c r="A630" s="13">
        <v>46032</v>
      </c>
      <c r="B630" s="14" t="s">
        <v>2806</v>
      </c>
      <c r="C630" s="16"/>
      <c r="D630" s="16"/>
      <c r="E630" s="15" t="s">
        <v>888</v>
      </c>
      <c r="F630" s="15" t="s">
        <v>1273</v>
      </c>
      <c r="G630" s="15" t="s">
        <v>674</v>
      </c>
      <c r="H630" s="15"/>
      <c r="I630" s="15" t="s">
        <v>2491</v>
      </c>
      <c r="J630" s="15" t="s">
        <v>2492</v>
      </c>
      <c r="K630" s="16"/>
      <c r="L630" s="14" t="s">
        <v>2832</v>
      </c>
      <c r="M630" s="16"/>
      <c r="N630" s="15" t="s">
        <v>1158</v>
      </c>
      <c r="O630" s="14">
        <v>765000</v>
      </c>
      <c r="P630" s="14" t="s">
        <v>2846</v>
      </c>
      <c r="Q630" s="14" cm="1">
        <f t="array" ref="Q630">_xlfn.IFS(P630="USD",O630,P630="VND",O630/26090,P630="JPY",O630/161)</f>
        <v>29.321579149099271</v>
      </c>
      <c r="R630" s="14">
        <v>14</v>
      </c>
      <c r="S630" s="14">
        <v>1</v>
      </c>
      <c r="T630" s="14"/>
      <c r="U630" s="14" t="s">
        <v>2848</v>
      </c>
      <c r="V630" s="14" t="s">
        <v>2857</v>
      </c>
      <c r="W630" s="14" t="s">
        <v>2858</v>
      </c>
      <c r="X630" s="17">
        <v>0</v>
      </c>
      <c r="Y630" s="15" t="s">
        <v>2875</v>
      </c>
      <c r="Z630" s="18" t="s">
        <v>2914</v>
      </c>
      <c r="AA630" s="18"/>
      <c r="AB630" s="16"/>
      <c r="AC630" s="16"/>
      <c r="AD630" s="16"/>
      <c r="AE630" s="16" t="s">
        <v>2917</v>
      </c>
      <c r="AF630" s="16"/>
      <c r="AI630" s="3" t="str">
        <f t="shared" ca="1" si="9"/>
        <v>OK</v>
      </c>
    </row>
    <row r="631" spans="1:35" hidden="1" x14ac:dyDescent="0.3">
      <c r="A631" s="13">
        <v>46032</v>
      </c>
      <c r="B631" s="14" t="s">
        <v>2806</v>
      </c>
      <c r="C631" s="16"/>
      <c r="D631" s="16"/>
      <c r="E631" s="15" t="s">
        <v>888</v>
      </c>
      <c r="F631" s="15" t="s">
        <v>1273</v>
      </c>
      <c r="G631" s="15" t="s">
        <v>675</v>
      </c>
      <c r="H631" s="15"/>
      <c r="I631" s="15" t="s">
        <v>2493</v>
      </c>
      <c r="J631" s="15" t="s">
        <v>2494</v>
      </c>
      <c r="K631" s="16"/>
      <c r="L631" s="14" t="s">
        <v>2832</v>
      </c>
      <c r="M631" s="16"/>
      <c r="N631" s="15" t="s">
        <v>1158</v>
      </c>
      <c r="O631" s="14">
        <v>766000</v>
      </c>
      <c r="P631" s="14" t="s">
        <v>2846</v>
      </c>
      <c r="Q631" s="14" cm="1">
        <f t="array" ref="Q631">_xlfn.IFS(P631="USD",O631,P631="VND",O631/26090,P631="JPY",O631/161)</f>
        <v>29.359908010732081</v>
      </c>
      <c r="R631" s="14">
        <v>14</v>
      </c>
      <c r="S631" s="14">
        <v>1</v>
      </c>
      <c r="T631" s="14"/>
      <c r="U631" s="14" t="s">
        <v>2848</v>
      </c>
      <c r="V631" s="14" t="s">
        <v>2857</v>
      </c>
      <c r="W631" s="14" t="s">
        <v>2858</v>
      </c>
      <c r="X631" s="17">
        <v>0</v>
      </c>
      <c r="Y631" s="15" t="s">
        <v>2875</v>
      </c>
      <c r="Z631" s="18" t="s">
        <v>2914</v>
      </c>
      <c r="AA631" s="18"/>
      <c r="AB631" s="16"/>
      <c r="AC631" s="16"/>
      <c r="AD631" s="16"/>
      <c r="AE631" s="16" t="s">
        <v>2917</v>
      </c>
      <c r="AF631" s="16"/>
      <c r="AI631" s="3" t="str">
        <f t="shared" ca="1" si="9"/>
        <v>OK</v>
      </c>
    </row>
    <row r="632" spans="1:35" hidden="1" x14ac:dyDescent="0.3">
      <c r="A632" s="13">
        <v>46032</v>
      </c>
      <c r="B632" s="14" t="s">
        <v>2806</v>
      </c>
      <c r="C632" s="16"/>
      <c r="D632" s="16"/>
      <c r="E632" s="15" t="s">
        <v>888</v>
      </c>
      <c r="F632" s="15" t="s">
        <v>1273</v>
      </c>
      <c r="G632" s="15" t="s">
        <v>676</v>
      </c>
      <c r="H632" s="15"/>
      <c r="I632" s="15" t="s">
        <v>2495</v>
      </c>
      <c r="J632" s="15" t="s">
        <v>2496</v>
      </c>
      <c r="K632" s="16"/>
      <c r="L632" s="14" t="s">
        <v>2832</v>
      </c>
      <c r="M632" s="16"/>
      <c r="N632" s="15" t="s">
        <v>1158</v>
      </c>
      <c r="O632" s="14">
        <v>2222000</v>
      </c>
      <c r="P632" s="14" t="s">
        <v>2846</v>
      </c>
      <c r="Q632" s="14" cm="1">
        <f t="array" ref="Q632">_xlfn.IFS(P632="USD",O632,P632="VND",O632/26090,P632="JPY",O632/161)</f>
        <v>85.16673054810272</v>
      </c>
      <c r="R632" s="14">
        <v>14</v>
      </c>
      <c r="S632" s="14">
        <v>1</v>
      </c>
      <c r="T632" s="14"/>
      <c r="U632" s="14" t="s">
        <v>2848</v>
      </c>
      <c r="V632" s="14" t="s">
        <v>2857</v>
      </c>
      <c r="W632" s="14" t="s">
        <v>2858</v>
      </c>
      <c r="X632" s="17">
        <v>0</v>
      </c>
      <c r="Y632" s="15" t="s">
        <v>2875</v>
      </c>
      <c r="Z632" s="18" t="s">
        <v>2914</v>
      </c>
      <c r="AA632" s="18"/>
      <c r="AB632" s="16"/>
      <c r="AC632" s="16"/>
      <c r="AD632" s="16"/>
      <c r="AE632" s="16" t="s">
        <v>2917</v>
      </c>
      <c r="AF632" s="16"/>
      <c r="AI632" s="3" t="str">
        <f t="shared" ca="1" si="9"/>
        <v>OK</v>
      </c>
    </row>
    <row r="633" spans="1:35" hidden="1" x14ac:dyDescent="0.3">
      <c r="A633" s="13">
        <v>46032</v>
      </c>
      <c r="B633" s="14" t="s">
        <v>2806</v>
      </c>
      <c r="C633" s="16"/>
      <c r="D633" s="16"/>
      <c r="E633" s="15" t="s">
        <v>888</v>
      </c>
      <c r="F633" s="15" t="s">
        <v>1273</v>
      </c>
      <c r="G633" s="15" t="s">
        <v>677</v>
      </c>
      <c r="H633" s="15"/>
      <c r="I633" s="15" t="s">
        <v>2497</v>
      </c>
      <c r="J633" s="15" t="s">
        <v>2498</v>
      </c>
      <c r="K633" s="16"/>
      <c r="L633" s="14" t="s">
        <v>2832</v>
      </c>
      <c r="M633" s="16"/>
      <c r="N633" s="15" t="s">
        <v>1174</v>
      </c>
      <c r="O633" s="14">
        <v>145000</v>
      </c>
      <c r="P633" s="14" t="s">
        <v>2846</v>
      </c>
      <c r="Q633" s="14" cm="1">
        <f t="array" ref="Q633">_xlfn.IFS(P633="USD",O633,P633="VND",O633/26090,P633="JPY",O633/161)</f>
        <v>5.5576849367573784</v>
      </c>
      <c r="R633" s="14">
        <v>14</v>
      </c>
      <c r="S633" s="14">
        <v>1</v>
      </c>
      <c r="T633" s="14"/>
      <c r="U633" s="14" t="s">
        <v>2848</v>
      </c>
      <c r="V633" s="14" t="s">
        <v>2857</v>
      </c>
      <c r="W633" s="14" t="s">
        <v>2858</v>
      </c>
      <c r="X633" s="17">
        <v>0</v>
      </c>
      <c r="Y633" s="15" t="s">
        <v>2875</v>
      </c>
      <c r="Z633" s="18" t="s">
        <v>2914</v>
      </c>
      <c r="AA633" s="18"/>
      <c r="AB633" s="16"/>
      <c r="AC633" s="16"/>
      <c r="AD633" s="16"/>
      <c r="AE633" s="16" t="s">
        <v>2917</v>
      </c>
      <c r="AF633" s="16"/>
      <c r="AI633" s="3" t="str">
        <f t="shared" ca="1" si="9"/>
        <v>OK</v>
      </c>
    </row>
    <row r="634" spans="1:35" hidden="1" x14ac:dyDescent="0.3">
      <c r="A634" s="13">
        <v>46032</v>
      </c>
      <c r="B634" s="14" t="s">
        <v>2806</v>
      </c>
      <c r="C634" s="16"/>
      <c r="D634" s="16"/>
      <c r="E634" s="15" t="s">
        <v>888</v>
      </c>
      <c r="F634" s="15" t="s">
        <v>1273</v>
      </c>
      <c r="G634" s="15" t="s">
        <v>678</v>
      </c>
      <c r="H634" s="15"/>
      <c r="I634" s="15" t="s">
        <v>2499</v>
      </c>
      <c r="J634" s="15" t="s">
        <v>2500</v>
      </c>
      <c r="K634" s="16"/>
      <c r="L634" s="14" t="s">
        <v>2832</v>
      </c>
      <c r="M634" s="16"/>
      <c r="N634" s="15" t="s">
        <v>1174</v>
      </c>
      <c r="O634" s="14">
        <v>154000</v>
      </c>
      <c r="P634" s="14" t="s">
        <v>2846</v>
      </c>
      <c r="Q634" s="14" cm="1">
        <f t="array" ref="Q634">_xlfn.IFS(P634="USD",O634,P634="VND",O634/26090,P634="JPY",O634/161)</f>
        <v>5.9026446914526636</v>
      </c>
      <c r="R634" s="14">
        <v>14</v>
      </c>
      <c r="S634" s="14">
        <v>1</v>
      </c>
      <c r="T634" s="14"/>
      <c r="U634" s="14" t="s">
        <v>2848</v>
      </c>
      <c r="V634" s="14" t="s">
        <v>2857</v>
      </c>
      <c r="W634" s="14" t="s">
        <v>2858</v>
      </c>
      <c r="X634" s="17">
        <v>0</v>
      </c>
      <c r="Y634" s="15" t="s">
        <v>2875</v>
      </c>
      <c r="Z634" s="18" t="s">
        <v>2914</v>
      </c>
      <c r="AA634" s="18"/>
      <c r="AB634" s="16"/>
      <c r="AC634" s="16"/>
      <c r="AD634" s="16"/>
      <c r="AE634" s="16" t="s">
        <v>2917</v>
      </c>
      <c r="AF634" s="16"/>
      <c r="AI634" s="3" t="str">
        <f t="shared" ca="1" si="9"/>
        <v>OK</v>
      </c>
    </row>
    <row r="635" spans="1:35" hidden="1" x14ac:dyDescent="0.3">
      <c r="A635" s="13">
        <v>46032</v>
      </c>
      <c r="B635" s="14" t="s">
        <v>2806</v>
      </c>
      <c r="C635" s="16"/>
      <c r="D635" s="16"/>
      <c r="E635" s="15" t="s">
        <v>888</v>
      </c>
      <c r="F635" s="15" t="s">
        <v>1273</v>
      </c>
      <c r="G635" s="15" t="s">
        <v>679</v>
      </c>
      <c r="H635" s="15"/>
      <c r="I635" s="15" t="s">
        <v>2501</v>
      </c>
      <c r="J635" s="15" t="s">
        <v>2502</v>
      </c>
      <c r="K635" s="16"/>
      <c r="L635" s="14" t="s">
        <v>2832</v>
      </c>
      <c r="M635" s="16"/>
      <c r="N635" s="15" t="s">
        <v>1174</v>
      </c>
      <c r="O635" s="14">
        <v>215000</v>
      </c>
      <c r="P635" s="14" t="s">
        <v>2846</v>
      </c>
      <c r="Q635" s="14" cm="1">
        <f t="array" ref="Q635">_xlfn.IFS(P635="USD",O635,P635="VND",O635/26090,P635="JPY",O635/161)</f>
        <v>8.2407052510540435</v>
      </c>
      <c r="R635" s="14">
        <v>14</v>
      </c>
      <c r="S635" s="14">
        <v>1</v>
      </c>
      <c r="T635" s="14"/>
      <c r="U635" s="14" t="s">
        <v>2848</v>
      </c>
      <c r="V635" s="14" t="s">
        <v>2857</v>
      </c>
      <c r="W635" s="14" t="s">
        <v>2858</v>
      </c>
      <c r="X635" s="17">
        <v>0</v>
      </c>
      <c r="Y635" s="15" t="s">
        <v>2875</v>
      </c>
      <c r="Z635" s="18" t="s">
        <v>2914</v>
      </c>
      <c r="AA635" s="18"/>
      <c r="AB635" s="16"/>
      <c r="AC635" s="16"/>
      <c r="AD635" s="16"/>
      <c r="AE635" s="16" t="s">
        <v>2917</v>
      </c>
      <c r="AF635" s="16"/>
      <c r="AI635" s="3" t="str">
        <f t="shared" ca="1" si="9"/>
        <v>OK</v>
      </c>
    </row>
    <row r="636" spans="1:35" hidden="1" x14ac:dyDescent="0.3">
      <c r="A636" s="13">
        <v>46032</v>
      </c>
      <c r="B636" s="14" t="s">
        <v>2806</v>
      </c>
      <c r="C636" s="16"/>
      <c r="D636" s="16"/>
      <c r="E636" s="15" t="s">
        <v>888</v>
      </c>
      <c r="F636" s="15" t="s">
        <v>1273</v>
      </c>
      <c r="G636" s="15" t="s">
        <v>680</v>
      </c>
      <c r="H636" s="15"/>
      <c r="I636" s="15" t="s">
        <v>2503</v>
      </c>
      <c r="J636" s="15" t="s">
        <v>2504</v>
      </c>
      <c r="K636" s="16"/>
      <c r="L636" s="14" t="s">
        <v>2832</v>
      </c>
      <c r="M636" s="16"/>
      <c r="N636" s="15" t="s">
        <v>1174</v>
      </c>
      <c r="O636" s="14">
        <v>187000</v>
      </c>
      <c r="P636" s="14" t="s">
        <v>2846</v>
      </c>
      <c r="Q636" s="14" cm="1">
        <f t="array" ref="Q636">_xlfn.IFS(P636="USD",O636,P636="VND",O636/26090,P636="JPY",O636/161)</f>
        <v>7.1674971253353776</v>
      </c>
      <c r="R636" s="14">
        <v>14</v>
      </c>
      <c r="S636" s="14">
        <v>1</v>
      </c>
      <c r="T636" s="14"/>
      <c r="U636" s="14" t="s">
        <v>2848</v>
      </c>
      <c r="V636" s="14" t="s">
        <v>2857</v>
      </c>
      <c r="W636" s="14" t="s">
        <v>2858</v>
      </c>
      <c r="X636" s="17">
        <v>0</v>
      </c>
      <c r="Y636" s="15" t="s">
        <v>2875</v>
      </c>
      <c r="Z636" s="18" t="s">
        <v>2914</v>
      </c>
      <c r="AA636" s="18"/>
      <c r="AB636" s="16"/>
      <c r="AC636" s="16"/>
      <c r="AD636" s="16"/>
      <c r="AE636" s="16" t="s">
        <v>2917</v>
      </c>
      <c r="AF636" s="16"/>
      <c r="AI636" s="3" t="str">
        <f t="shared" ca="1" si="9"/>
        <v>OK</v>
      </c>
    </row>
    <row r="637" spans="1:35" hidden="1" x14ac:dyDescent="0.3">
      <c r="A637" s="13">
        <v>46032</v>
      </c>
      <c r="B637" s="14" t="s">
        <v>2806</v>
      </c>
      <c r="C637" s="16"/>
      <c r="D637" s="16"/>
      <c r="E637" s="15" t="s">
        <v>888</v>
      </c>
      <c r="F637" s="15" t="s">
        <v>1273</v>
      </c>
      <c r="G637" s="15" t="s">
        <v>681</v>
      </c>
      <c r="H637" s="15"/>
      <c r="I637" s="15" t="s">
        <v>2505</v>
      </c>
      <c r="J637" s="15" t="s">
        <v>2506</v>
      </c>
      <c r="K637" s="16"/>
      <c r="L637" s="14" t="s">
        <v>2832</v>
      </c>
      <c r="M637" s="16"/>
      <c r="N637" s="15" t="s">
        <v>1174</v>
      </c>
      <c r="O637" s="14">
        <v>215000</v>
      </c>
      <c r="P637" s="14" t="s">
        <v>2846</v>
      </c>
      <c r="Q637" s="14" cm="1">
        <f t="array" ref="Q637">_xlfn.IFS(P637="USD",O637,P637="VND",O637/26090,P637="JPY",O637/161)</f>
        <v>8.2407052510540435</v>
      </c>
      <c r="R637" s="14">
        <v>14</v>
      </c>
      <c r="S637" s="14">
        <v>1</v>
      </c>
      <c r="T637" s="14"/>
      <c r="U637" s="14" t="s">
        <v>2848</v>
      </c>
      <c r="V637" s="14" t="s">
        <v>2857</v>
      </c>
      <c r="W637" s="14" t="s">
        <v>2858</v>
      </c>
      <c r="X637" s="17">
        <v>0</v>
      </c>
      <c r="Y637" s="15" t="s">
        <v>2875</v>
      </c>
      <c r="Z637" s="18" t="s">
        <v>2914</v>
      </c>
      <c r="AA637" s="18"/>
      <c r="AB637" s="16"/>
      <c r="AC637" s="16"/>
      <c r="AD637" s="16"/>
      <c r="AE637" s="16" t="s">
        <v>2917</v>
      </c>
      <c r="AF637" s="16"/>
      <c r="AI637" s="3" t="str">
        <f t="shared" ca="1" si="9"/>
        <v>OK</v>
      </c>
    </row>
    <row r="638" spans="1:35" hidden="1" x14ac:dyDescent="0.3">
      <c r="A638" s="13">
        <v>46032</v>
      </c>
      <c r="B638" s="14" t="s">
        <v>2806</v>
      </c>
      <c r="C638" s="16"/>
      <c r="D638" s="16"/>
      <c r="E638" s="15" t="s">
        <v>888</v>
      </c>
      <c r="F638" s="15" t="s">
        <v>1273</v>
      </c>
      <c r="G638" s="15" t="s">
        <v>682</v>
      </c>
      <c r="H638" s="15"/>
      <c r="I638" s="15" t="s">
        <v>2507</v>
      </c>
      <c r="J638" s="15" t="s">
        <v>2508</v>
      </c>
      <c r="K638" s="16"/>
      <c r="L638" s="14" t="s">
        <v>2832</v>
      </c>
      <c r="M638" s="16"/>
      <c r="N638" s="15" t="s">
        <v>1106</v>
      </c>
      <c r="O638" s="14">
        <v>64000</v>
      </c>
      <c r="P638" s="14" t="s">
        <v>2846</v>
      </c>
      <c r="Q638" s="14" cm="1">
        <f t="array" ref="Q638">_xlfn.IFS(P638="USD",O638,P638="VND",O638/26090,P638="JPY",O638/161)</f>
        <v>2.4530471444998083</v>
      </c>
      <c r="R638" s="14">
        <v>14</v>
      </c>
      <c r="S638" s="14">
        <v>1</v>
      </c>
      <c r="T638" s="14"/>
      <c r="U638" s="14" t="s">
        <v>2848</v>
      </c>
      <c r="V638" s="14" t="s">
        <v>2857</v>
      </c>
      <c r="W638" s="14" t="s">
        <v>2858</v>
      </c>
      <c r="X638" s="17">
        <v>0</v>
      </c>
      <c r="Y638" s="15" t="s">
        <v>2875</v>
      </c>
      <c r="Z638" s="18" t="s">
        <v>2914</v>
      </c>
      <c r="AA638" s="18"/>
      <c r="AB638" s="16"/>
      <c r="AC638" s="16"/>
      <c r="AD638" s="16"/>
      <c r="AE638" s="16" t="s">
        <v>2917</v>
      </c>
      <c r="AF638" s="16"/>
      <c r="AI638" s="3" t="str">
        <f t="shared" ca="1" si="9"/>
        <v>OK</v>
      </c>
    </row>
    <row r="639" spans="1:35" hidden="1" x14ac:dyDescent="0.3">
      <c r="A639" s="13">
        <v>46032</v>
      </c>
      <c r="B639" s="14" t="s">
        <v>2806</v>
      </c>
      <c r="C639" s="16"/>
      <c r="D639" s="16"/>
      <c r="E639" s="15" t="s">
        <v>888</v>
      </c>
      <c r="F639" s="15" t="s">
        <v>1273</v>
      </c>
      <c r="G639" s="15" t="s">
        <v>683</v>
      </c>
      <c r="H639" s="15"/>
      <c r="I639" s="15" t="s">
        <v>2509</v>
      </c>
      <c r="J639" s="15" t="s">
        <v>2510</v>
      </c>
      <c r="K639" s="16"/>
      <c r="L639" s="14" t="s">
        <v>2832</v>
      </c>
      <c r="M639" s="16"/>
      <c r="N639" s="15" t="s">
        <v>1158</v>
      </c>
      <c r="O639" s="14">
        <v>53000</v>
      </c>
      <c r="P639" s="14" t="s">
        <v>2846</v>
      </c>
      <c r="Q639" s="14" cm="1">
        <f t="array" ref="Q639">_xlfn.IFS(P639="USD",O639,P639="VND",O639/26090,P639="JPY",O639/161)</f>
        <v>2.0314296665389038</v>
      </c>
      <c r="R639" s="14">
        <v>14</v>
      </c>
      <c r="S639" s="14">
        <v>1</v>
      </c>
      <c r="T639" s="14"/>
      <c r="U639" s="14" t="s">
        <v>2848</v>
      </c>
      <c r="V639" s="14" t="s">
        <v>2857</v>
      </c>
      <c r="W639" s="14" t="s">
        <v>2858</v>
      </c>
      <c r="X639" s="17">
        <v>0</v>
      </c>
      <c r="Y639" s="15" t="s">
        <v>2875</v>
      </c>
      <c r="Z639" s="18" t="s">
        <v>2914</v>
      </c>
      <c r="AA639" s="18"/>
      <c r="AB639" s="16"/>
      <c r="AC639" s="16"/>
      <c r="AD639" s="16"/>
      <c r="AE639" s="16" t="s">
        <v>2917</v>
      </c>
      <c r="AF639" s="16"/>
      <c r="AI639" s="3" t="str">
        <f t="shared" ca="1" si="9"/>
        <v>OK</v>
      </c>
    </row>
    <row r="640" spans="1:35" hidden="1" x14ac:dyDescent="0.3">
      <c r="A640" s="13">
        <v>46032</v>
      </c>
      <c r="B640" s="14" t="s">
        <v>2806</v>
      </c>
      <c r="C640" s="16"/>
      <c r="D640" s="16"/>
      <c r="E640" s="15" t="s">
        <v>888</v>
      </c>
      <c r="F640" s="15" t="s">
        <v>1273</v>
      </c>
      <c r="G640" s="15" t="s">
        <v>684</v>
      </c>
      <c r="H640" s="15"/>
      <c r="I640" s="15" t="s">
        <v>2511</v>
      </c>
      <c r="J640" s="15" t="s">
        <v>2512</v>
      </c>
      <c r="K640" s="16"/>
      <c r="L640" s="14" t="s">
        <v>2832</v>
      </c>
      <c r="M640" s="16"/>
      <c r="N640" s="15" t="s">
        <v>1158</v>
      </c>
      <c r="O640" s="14">
        <v>66000</v>
      </c>
      <c r="P640" s="14" t="s">
        <v>2846</v>
      </c>
      <c r="Q640" s="14" cm="1">
        <f t="array" ref="Q640">_xlfn.IFS(P640="USD",O640,P640="VND",O640/26090,P640="JPY",O640/161)</f>
        <v>2.5297048677654272</v>
      </c>
      <c r="R640" s="14">
        <v>14</v>
      </c>
      <c r="S640" s="14">
        <v>1</v>
      </c>
      <c r="T640" s="14"/>
      <c r="U640" s="14" t="s">
        <v>2848</v>
      </c>
      <c r="V640" s="14" t="s">
        <v>2857</v>
      </c>
      <c r="W640" s="14" t="s">
        <v>2858</v>
      </c>
      <c r="X640" s="17">
        <v>0</v>
      </c>
      <c r="Y640" s="15" t="s">
        <v>2875</v>
      </c>
      <c r="Z640" s="18" t="s">
        <v>2914</v>
      </c>
      <c r="AA640" s="18"/>
      <c r="AB640" s="16"/>
      <c r="AC640" s="16"/>
      <c r="AD640" s="16"/>
      <c r="AE640" s="16" t="s">
        <v>2917</v>
      </c>
      <c r="AF640" s="16"/>
      <c r="AI640" s="3" t="str">
        <f t="shared" ca="1" si="9"/>
        <v>OK</v>
      </c>
    </row>
    <row r="641" spans="1:35" hidden="1" x14ac:dyDescent="0.3">
      <c r="A641" s="13">
        <v>46032</v>
      </c>
      <c r="B641" s="14" t="s">
        <v>2806</v>
      </c>
      <c r="C641" s="16"/>
      <c r="D641" s="16"/>
      <c r="E641" s="15" t="s">
        <v>888</v>
      </c>
      <c r="F641" s="15" t="s">
        <v>1273</v>
      </c>
      <c r="G641" s="15" t="s">
        <v>685</v>
      </c>
      <c r="H641" s="15"/>
      <c r="I641" s="15" t="s">
        <v>2513</v>
      </c>
      <c r="J641" s="15" t="s">
        <v>2514</v>
      </c>
      <c r="K641" s="16"/>
      <c r="L641" s="14" t="s">
        <v>2832</v>
      </c>
      <c r="M641" s="16"/>
      <c r="N641" s="15" t="s">
        <v>1158</v>
      </c>
      <c r="O641" s="14">
        <v>56000</v>
      </c>
      <c r="P641" s="14" t="s">
        <v>2846</v>
      </c>
      <c r="Q641" s="14" cm="1">
        <f t="array" ref="Q641">_xlfn.IFS(P641="USD",O641,P641="VND",O641/26090,P641="JPY",O641/161)</f>
        <v>2.1464162514373322</v>
      </c>
      <c r="R641" s="14">
        <v>14</v>
      </c>
      <c r="S641" s="14">
        <v>1</v>
      </c>
      <c r="T641" s="14"/>
      <c r="U641" s="14" t="s">
        <v>2848</v>
      </c>
      <c r="V641" s="14" t="s">
        <v>2857</v>
      </c>
      <c r="W641" s="14" t="s">
        <v>2858</v>
      </c>
      <c r="X641" s="17">
        <v>0</v>
      </c>
      <c r="Y641" s="15" t="s">
        <v>2875</v>
      </c>
      <c r="Z641" s="18" t="s">
        <v>2914</v>
      </c>
      <c r="AA641" s="18"/>
      <c r="AB641" s="16"/>
      <c r="AC641" s="16"/>
      <c r="AD641" s="16"/>
      <c r="AE641" s="16" t="s">
        <v>2917</v>
      </c>
      <c r="AF641" s="16"/>
      <c r="AI641" s="3" t="str">
        <f t="shared" ca="1" si="9"/>
        <v>OK</v>
      </c>
    </row>
    <row r="642" spans="1:35" hidden="1" x14ac:dyDescent="0.3">
      <c r="A642" s="13">
        <v>46032</v>
      </c>
      <c r="B642" s="14" t="s">
        <v>2806</v>
      </c>
      <c r="C642" s="16"/>
      <c r="D642" s="16"/>
      <c r="E642" s="15" t="s">
        <v>849</v>
      </c>
      <c r="F642" s="15" t="s">
        <v>1243</v>
      </c>
      <c r="G642" s="15" t="s">
        <v>686</v>
      </c>
      <c r="H642" s="15"/>
      <c r="I642" s="15" t="s">
        <v>2515</v>
      </c>
      <c r="J642" s="15" t="s">
        <v>2516</v>
      </c>
      <c r="K642" s="16"/>
      <c r="L642" s="14" t="s">
        <v>2823</v>
      </c>
      <c r="M642" s="16"/>
      <c r="N642" s="15" t="s">
        <v>1175</v>
      </c>
      <c r="O642" s="14">
        <v>68.8</v>
      </c>
      <c r="P642" s="14" t="s">
        <v>2845</v>
      </c>
      <c r="Q642" s="14" cm="1">
        <f t="array" ref="Q642">_xlfn.IFS(P642="USD",O642,P642="VND",O642/26090,P642="JPY",O642/161)</f>
        <v>68.8</v>
      </c>
      <c r="R642" s="14">
        <v>21</v>
      </c>
      <c r="S642" s="14">
        <v>1</v>
      </c>
      <c r="T642" s="14"/>
      <c r="U642" s="14" t="s">
        <v>2849</v>
      </c>
      <c r="V642" s="14" t="s">
        <v>2857</v>
      </c>
      <c r="W642" s="14" t="s">
        <v>2858</v>
      </c>
      <c r="X642" s="17">
        <v>0</v>
      </c>
      <c r="Y642" s="15" t="s">
        <v>2875</v>
      </c>
      <c r="Z642" s="20">
        <v>46028</v>
      </c>
      <c r="AA642" s="20">
        <v>46393</v>
      </c>
      <c r="AB642" s="16"/>
      <c r="AC642" s="16"/>
      <c r="AD642" s="16"/>
      <c r="AE642" s="16" t="s">
        <v>2959</v>
      </c>
      <c r="AF642" s="16"/>
      <c r="AI642" s="3" t="str">
        <f t="shared" ca="1" si="9"/>
        <v>OK</v>
      </c>
    </row>
    <row r="643" spans="1:35" hidden="1" x14ac:dyDescent="0.3">
      <c r="A643" s="13">
        <v>46032</v>
      </c>
      <c r="B643" s="14" t="s">
        <v>2806</v>
      </c>
      <c r="C643" s="16"/>
      <c r="D643" s="16"/>
      <c r="E643" s="15" t="s">
        <v>857</v>
      </c>
      <c r="F643" s="15" t="s">
        <v>912</v>
      </c>
      <c r="G643" s="15" t="s">
        <v>687</v>
      </c>
      <c r="H643" s="15"/>
      <c r="I643" s="15" t="s">
        <v>2517</v>
      </c>
      <c r="J643" s="15" t="s">
        <v>2518</v>
      </c>
      <c r="K643" s="16"/>
      <c r="L643" s="14" t="s">
        <v>2823</v>
      </c>
      <c r="M643" s="16"/>
      <c r="N643" s="15" t="s">
        <v>1176</v>
      </c>
      <c r="O643" s="14">
        <v>2.3199999999999998</v>
      </c>
      <c r="P643" s="14" t="s">
        <v>2845</v>
      </c>
      <c r="Q643" s="14" cm="1">
        <f t="array" ref="Q643">_xlfn.IFS(P643="USD",O643,P643="VND",O643/26090,P643="JPY",O643/161)</f>
        <v>2.3199999999999998</v>
      </c>
      <c r="R643" s="14">
        <v>35</v>
      </c>
      <c r="S643" s="14">
        <v>1</v>
      </c>
      <c r="T643" s="14"/>
      <c r="U643" s="14" t="s">
        <v>2848</v>
      </c>
      <c r="V643" s="14" t="s">
        <v>2857</v>
      </c>
      <c r="W643" s="14" t="s">
        <v>2858</v>
      </c>
      <c r="X643" s="17">
        <v>0</v>
      </c>
      <c r="Y643" s="15" t="s">
        <v>2875</v>
      </c>
      <c r="Z643" s="20">
        <v>46243</v>
      </c>
      <c r="AA643" s="20">
        <v>46608</v>
      </c>
      <c r="AB643" s="16"/>
      <c r="AC643" s="16"/>
      <c r="AD643" s="16"/>
      <c r="AE643" s="16" t="s">
        <v>2957</v>
      </c>
      <c r="AF643" s="16"/>
      <c r="AI643" s="3" t="str">
        <f t="shared" ref="AI643:AI706" ca="1" si="10">IF(AA643="","OK",IF(AA643&lt;TODAY(),"NG","OK"))</f>
        <v>OK</v>
      </c>
    </row>
    <row r="644" spans="1:35" x14ac:dyDescent="0.3">
      <c r="A644" s="13">
        <v>46032</v>
      </c>
      <c r="B644" s="14" t="s">
        <v>2806</v>
      </c>
      <c r="C644" s="16"/>
      <c r="D644" s="16"/>
      <c r="E644" s="15" t="s">
        <v>862</v>
      </c>
      <c r="F644" s="15" t="s">
        <v>1251</v>
      </c>
      <c r="G644" s="15" t="s">
        <v>688</v>
      </c>
      <c r="H644" s="15"/>
      <c r="I644" s="15" t="s">
        <v>2519</v>
      </c>
      <c r="J644" s="15" t="s">
        <v>2520</v>
      </c>
      <c r="K644" s="16"/>
      <c r="L644" s="14" t="s">
        <v>2823</v>
      </c>
      <c r="M644" s="16"/>
      <c r="N644" s="15" t="s">
        <v>1177</v>
      </c>
      <c r="O644" s="14">
        <v>327000</v>
      </c>
      <c r="P644" s="14" t="s">
        <v>2846</v>
      </c>
      <c r="Q644" s="14" cm="1">
        <f t="array" ref="Q644">_xlfn.IFS(P644="USD",O644,P644="VND",O644/26090,P644="JPY",O644/161)</f>
        <v>12.533537753928709</v>
      </c>
      <c r="R644" s="14">
        <v>45</v>
      </c>
      <c r="S644" s="14">
        <v>200</v>
      </c>
      <c r="T644" s="14"/>
      <c r="U644" s="14" t="s">
        <v>2848</v>
      </c>
      <c r="V644" s="14" t="s">
        <v>2857</v>
      </c>
      <c r="W644" s="14" t="s">
        <v>2858</v>
      </c>
      <c r="X644" s="17">
        <v>0</v>
      </c>
      <c r="Y644" s="15" t="s">
        <v>2875</v>
      </c>
      <c r="Z644" s="18" t="s">
        <v>2929</v>
      </c>
      <c r="AA644" s="22" t="s">
        <v>2931</v>
      </c>
      <c r="AB644" s="16"/>
      <c r="AC644" s="16"/>
      <c r="AD644" s="16"/>
      <c r="AE644" s="16" t="s">
        <v>2933</v>
      </c>
      <c r="AF644" s="16"/>
      <c r="AI644" s="3" t="str">
        <f t="shared" ca="1" si="10"/>
        <v>OK</v>
      </c>
    </row>
    <row r="645" spans="1:35" x14ac:dyDescent="0.3">
      <c r="A645" s="13">
        <v>46032</v>
      </c>
      <c r="B645" s="14" t="s">
        <v>2806</v>
      </c>
      <c r="C645" s="16"/>
      <c r="D645" s="16"/>
      <c r="E645" s="15" t="s">
        <v>862</v>
      </c>
      <c r="F645" s="15" t="s">
        <v>1251</v>
      </c>
      <c r="G645" s="15" t="s">
        <v>689</v>
      </c>
      <c r="H645" s="15"/>
      <c r="I645" s="15" t="s">
        <v>2521</v>
      </c>
      <c r="J645" s="15" t="s">
        <v>2522</v>
      </c>
      <c r="K645" s="16"/>
      <c r="L645" s="14" t="s">
        <v>2825</v>
      </c>
      <c r="M645" s="16"/>
      <c r="N645" s="15" t="s">
        <v>1178</v>
      </c>
      <c r="O645" s="14">
        <v>3600</v>
      </c>
      <c r="P645" s="14" t="s">
        <v>2846</v>
      </c>
      <c r="Q645" s="14" cm="1">
        <f t="array" ref="Q645">_xlfn.IFS(P645="USD",O645,P645="VND",O645/26090,P645="JPY",O645/161)</f>
        <v>0.13798390187811421</v>
      </c>
      <c r="R645" s="14">
        <v>7</v>
      </c>
      <c r="S645" s="14">
        <v>30</v>
      </c>
      <c r="T645" s="14"/>
      <c r="U645" s="14" t="s">
        <v>2848</v>
      </c>
      <c r="V645" s="14" t="s">
        <v>2857</v>
      </c>
      <c r="W645" s="14" t="s">
        <v>2858</v>
      </c>
      <c r="X645" s="17">
        <v>0</v>
      </c>
      <c r="Y645" s="15" t="s">
        <v>2875</v>
      </c>
      <c r="Z645" s="18" t="s">
        <v>2929</v>
      </c>
      <c r="AA645" s="22" t="s">
        <v>2931</v>
      </c>
      <c r="AB645" s="16"/>
      <c r="AC645" s="16"/>
      <c r="AD645" s="16"/>
      <c r="AE645" s="16" t="s">
        <v>2933</v>
      </c>
      <c r="AF645" s="16"/>
      <c r="AI645" s="3" t="str">
        <f t="shared" ca="1" si="10"/>
        <v>OK</v>
      </c>
    </row>
    <row r="646" spans="1:35" x14ac:dyDescent="0.3">
      <c r="A646" s="13">
        <v>46032</v>
      </c>
      <c r="B646" s="14" t="s">
        <v>2806</v>
      </c>
      <c r="C646" s="16"/>
      <c r="D646" s="16"/>
      <c r="E646" s="15" t="s">
        <v>900</v>
      </c>
      <c r="F646" s="15" t="s">
        <v>1281</v>
      </c>
      <c r="G646" s="15" t="s">
        <v>690</v>
      </c>
      <c r="H646" s="15"/>
      <c r="I646" s="15" t="s">
        <v>2523</v>
      </c>
      <c r="J646" s="15" t="s">
        <v>2524</v>
      </c>
      <c r="K646" s="16"/>
      <c r="L646" s="14" t="s">
        <v>2844</v>
      </c>
      <c r="M646" s="16"/>
      <c r="N646" s="15" t="s">
        <v>1179</v>
      </c>
      <c r="O646" s="14">
        <v>483000</v>
      </c>
      <c r="P646" s="14" t="s">
        <v>2846</v>
      </c>
      <c r="Q646" s="14" cm="1">
        <f t="array" ref="Q646">_xlfn.IFS(P646="USD",O646,P646="VND",O646/26090,P646="JPY",O646/161)</f>
        <v>18.512840168646992</v>
      </c>
      <c r="R646" s="14">
        <v>30</v>
      </c>
      <c r="S646" s="14">
        <v>15</v>
      </c>
      <c r="T646" s="14"/>
      <c r="U646" s="14" t="s">
        <v>2848</v>
      </c>
      <c r="V646" s="14" t="s">
        <v>2857</v>
      </c>
      <c r="W646" s="14" t="s">
        <v>2858</v>
      </c>
      <c r="X646" s="17">
        <v>0</v>
      </c>
      <c r="Y646" s="15" t="s">
        <v>2875</v>
      </c>
      <c r="Z646" s="18" t="s">
        <v>2981</v>
      </c>
      <c r="AA646" s="22" t="s">
        <v>2982</v>
      </c>
      <c r="AB646" s="16"/>
      <c r="AC646" s="16"/>
      <c r="AD646" s="16"/>
      <c r="AE646" s="16" t="s">
        <v>2980</v>
      </c>
      <c r="AF646" s="16"/>
      <c r="AI646" s="3" t="str">
        <f t="shared" ca="1" si="10"/>
        <v>OK</v>
      </c>
    </row>
    <row r="647" spans="1:35" x14ac:dyDescent="0.3">
      <c r="A647" s="13">
        <v>46032</v>
      </c>
      <c r="B647" s="14" t="s">
        <v>2806</v>
      </c>
      <c r="C647" s="16"/>
      <c r="D647" s="16"/>
      <c r="E647" s="15" t="s">
        <v>900</v>
      </c>
      <c r="F647" s="15" t="s">
        <v>1281</v>
      </c>
      <c r="G647" s="15" t="s">
        <v>691</v>
      </c>
      <c r="H647" s="15"/>
      <c r="I647" s="15" t="s">
        <v>2525</v>
      </c>
      <c r="J647" s="15" t="s">
        <v>2526</v>
      </c>
      <c r="K647" s="16"/>
      <c r="L647" s="14" t="s">
        <v>2844</v>
      </c>
      <c r="M647" s="16"/>
      <c r="N647" s="15" t="s">
        <v>1179</v>
      </c>
      <c r="O647" s="14">
        <v>718000</v>
      </c>
      <c r="P647" s="14" t="s">
        <v>2846</v>
      </c>
      <c r="Q647" s="14" cm="1">
        <f t="array" ref="Q647">_xlfn.IFS(P647="USD",O647,P647="VND",O647/26090,P647="JPY",O647/161)</f>
        <v>27.520122652357227</v>
      </c>
      <c r="R647" s="14">
        <v>30</v>
      </c>
      <c r="S647" s="14">
        <v>15</v>
      </c>
      <c r="T647" s="14"/>
      <c r="U647" s="14" t="s">
        <v>2848</v>
      </c>
      <c r="V647" s="14" t="s">
        <v>2857</v>
      </c>
      <c r="W647" s="14" t="s">
        <v>2858</v>
      </c>
      <c r="X647" s="17">
        <v>0</v>
      </c>
      <c r="Y647" s="15" t="s">
        <v>2875</v>
      </c>
      <c r="Z647" s="18" t="s">
        <v>2981</v>
      </c>
      <c r="AA647" s="22" t="s">
        <v>2982</v>
      </c>
      <c r="AB647" s="16"/>
      <c r="AC647" s="16"/>
      <c r="AD647" s="16"/>
      <c r="AE647" s="16" t="s">
        <v>2980</v>
      </c>
      <c r="AF647" s="16"/>
      <c r="AI647" s="3" t="str">
        <f t="shared" ca="1" si="10"/>
        <v>OK</v>
      </c>
    </row>
    <row r="648" spans="1:35" x14ac:dyDescent="0.3">
      <c r="A648" s="13">
        <v>46032</v>
      </c>
      <c r="B648" s="14" t="s">
        <v>2806</v>
      </c>
      <c r="C648" s="16"/>
      <c r="D648" s="16"/>
      <c r="E648" s="15" t="s">
        <v>900</v>
      </c>
      <c r="F648" s="15" t="s">
        <v>1281</v>
      </c>
      <c r="G648" s="15" t="s">
        <v>692</v>
      </c>
      <c r="H648" s="15"/>
      <c r="I648" s="15" t="s">
        <v>2527</v>
      </c>
      <c r="J648" s="15" t="s">
        <v>2528</v>
      </c>
      <c r="K648" s="16"/>
      <c r="L648" s="14" t="s">
        <v>2844</v>
      </c>
      <c r="M648" s="16"/>
      <c r="N648" s="15" t="s">
        <v>1179</v>
      </c>
      <c r="O648" s="14">
        <v>613000</v>
      </c>
      <c r="P648" s="14" t="s">
        <v>2846</v>
      </c>
      <c r="Q648" s="14" cm="1">
        <f t="array" ref="Q648">_xlfn.IFS(P648="USD",O648,P648="VND",O648/26090,P648="JPY",O648/161)</f>
        <v>23.495592180912226</v>
      </c>
      <c r="R648" s="14">
        <v>30</v>
      </c>
      <c r="S648" s="14">
        <v>15</v>
      </c>
      <c r="T648" s="14"/>
      <c r="U648" s="14" t="s">
        <v>2848</v>
      </c>
      <c r="V648" s="14" t="s">
        <v>2857</v>
      </c>
      <c r="W648" s="14" t="s">
        <v>2858</v>
      </c>
      <c r="X648" s="17">
        <v>0</v>
      </c>
      <c r="Y648" s="15" t="s">
        <v>2875</v>
      </c>
      <c r="Z648" s="18" t="s">
        <v>2981</v>
      </c>
      <c r="AA648" s="22" t="s">
        <v>2982</v>
      </c>
      <c r="AB648" s="16"/>
      <c r="AC648" s="16"/>
      <c r="AD648" s="16"/>
      <c r="AE648" s="16" t="s">
        <v>2980</v>
      </c>
      <c r="AF648" s="16"/>
      <c r="AI648" s="3" t="str">
        <f t="shared" ca="1" si="10"/>
        <v>OK</v>
      </c>
    </row>
    <row r="649" spans="1:35" x14ac:dyDescent="0.3">
      <c r="A649" s="13">
        <v>46032</v>
      </c>
      <c r="B649" s="14" t="s">
        <v>2806</v>
      </c>
      <c r="C649" s="16"/>
      <c r="D649" s="16"/>
      <c r="E649" s="15" t="s">
        <v>900</v>
      </c>
      <c r="F649" s="15" t="s">
        <v>1281</v>
      </c>
      <c r="G649" s="15" t="s">
        <v>693</v>
      </c>
      <c r="H649" s="15"/>
      <c r="I649" s="15" t="s">
        <v>2529</v>
      </c>
      <c r="J649" s="15" t="s">
        <v>2530</v>
      </c>
      <c r="K649" s="16"/>
      <c r="L649" s="14" t="s">
        <v>2844</v>
      </c>
      <c r="M649" s="16"/>
      <c r="N649" s="15" t="s">
        <v>1179</v>
      </c>
      <c r="O649" s="14">
        <v>613000</v>
      </c>
      <c r="P649" s="14" t="s">
        <v>2846</v>
      </c>
      <c r="Q649" s="14" cm="1">
        <f t="array" ref="Q649">_xlfn.IFS(P649="USD",O649,P649="VND",O649/26090,P649="JPY",O649/161)</f>
        <v>23.495592180912226</v>
      </c>
      <c r="R649" s="14">
        <v>30</v>
      </c>
      <c r="S649" s="14">
        <v>15</v>
      </c>
      <c r="T649" s="14"/>
      <c r="U649" s="14" t="s">
        <v>2848</v>
      </c>
      <c r="V649" s="14" t="s">
        <v>2857</v>
      </c>
      <c r="W649" s="14" t="s">
        <v>2858</v>
      </c>
      <c r="X649" s="17">
        <v>0</v>
      </c>
      <c r="Y649" s="15" t="s">
        <v>2875</v>
      </c>
      <c r="Z649" s="18" t="s">
        <v>2981</v>
      </c>
      <c r="AA649" s="22" t="s">
        <v>2982</v>
      </c>
      <c r="AB649" s="16"/>
      <c r="AC649" s="16"/>
      <c r="AD649" s="16"/>
      <c r="AE649" s="16" t="s">
        <v>2980</v>
      </c>
      <c r="AF649" s="16"/>
      <c r="AI649" s="3" t="str">
        <f t="shared" ca="1" si="10"/>
        <v>OK</v>
      </c>
    </row>
    <row r="650" spans="1:35" hidden="1" x14ac:dyDescent="0.3">
      <c r="A650" s="13">
        <v>46032</v>
      </c>
      <c r="B650" s="14" t="s">
        <v>2806</v>
      </c>
      <c r="C650" s="16"/>
      <c r="D650" s="16"/>
      <c r="E650" s="15" t="s">
        <v>857</v>
      </c>
      <c r="F650" s="15" t="s">
        <v>912</v>
      </c>
      <c r="G650" s="15" t="s">
        <v>694</v>
      </c>
      <c r="H650" s="15"/>
      <c r="I650" s="15" t="s">
        <v>2531</v>
      </c>
      <c r="J650" s="15" t="s">
        <v>2532</v>
      </c>
      <c r="K650" s="16"/>
      <c r="L650" s="14" t="s">
        <v>2834</v>
      </c>
      <c r="M650" s="16"/>
      <c r="N650" s="15" t="s">
        <v>1180</v>
      </c>
      <c r="O650" s="14">
        <v>50</v>
      </c>
      <c r="P650" s="14" t="s">
        <v>2845</v>
      </c>
      <c r="Q650" s="14" cm="1">
        <f t="array" ref="Q650">_xlfn.IFS(P650="USD",O650,P650="VND",O650/26090,P650="JPY",O650/161)</f>
        <v>50</v>
      </c>
      <c r="R650" s="14">
        <v>35</v>
      </c>
      <c r="S650" s="14">
        <v>1</v>
      </c>
      <c r="T650" s="14"/>
      <c r="U650" s="14" t="s">
        <v>2848</v>
      </c>
      <c r="V650" s="14" t="s">
        <v>2857</v>
      </c>
      <c r="W650" s="14" t="s">
        <v>2858</v>
      </c>
      <c r="X650" s="17">
        <v>0</v>
      </c>
      <c r="Y650" s="15" t="s">
        <v>2875</v>
      </c>
      <c r="Z650" s="20">
        <v>46243</v>
      </c>
      <c r="AA650" s="20">
        <v>46608</v>
      </c>
      <c r="AB650" s="16"/>
      <c r="AC650" s="16"/>
      <c r="AD650" s="16"/>
      <c r="AE650" s="16" t="s">
        <v>2957</v>
      </c>
      <c r="AF650" s="16"/>
      <c r="AI650" s="3" t="str">
        <f t="shared" ca="1" si="10"/>
        <v>OK</v>
      </c>
    </row>
    <row r="651" spans="1:35" hidden="1" x14ac:dyDescent="0.3">
      <c r="A651" s="13">
        <v>46032</v>
      </c>
      <c r="B651" s="14" t="s">
        <v>2806</v>
      </c>
      <c r="C651" s="16"/>
      <c r="D651" s="16"/>
      <c r="E651" s="15" t="s">
        <v>857</v>
      </c>
      <c r="F651" s="15" t="s">
        <v>912</v>
      </c>
      <c r="G651" s="15" t="s">
        <v>695</v>
      </c>
      <c r="H651" s="15"/>
      <c r="I651" s="15" t="s">
        <v>2533</v>
      </c>
      <c r="J651" s="15" t="s">
        <v>2534</v>
      </c>
      <c r="K651" s="16"/>
      <c r="L651" s="14" t="s">
        <v>2823</v>
      </c>
      <c r="M651" s="16"/>
      <c r="N651" s="15" t="s">
        <v>1048</v>
      </c>
      <c r="O651" s="14">
        <v>0.43</v>
      </c>
      <c r="P651" s="14" t="s">
        <v>2845</v>
      </c>
      <c r="Q651" s="14" cm="1">
        <f t="array" ref="Q651">_xlfn.IFS(P651="USD",O651,P651="VND",O651/26090,P651="JPY",O651/161)</f>
        <v>0.43</v>
      </c>
      <c r="R651" s="14">
        <v>35</v>
      </c>
      <c r="S651" s="14">
        <v>1</v>
      </c>
      <c r="T651" s="14"/>
      <c r="U651" s="14" t="s">
        <v>2848</v>
      </c>
      <c r="V651" s="14" t="s">
        <v>2857</v>
      </c>
      <c r="W651" s="14" t="s">
        <v>2858</v>
      </c>
      <c r="X651" s="17">
        <v>0</v>
      </c>
      <c r="Y651" s="15" t="s">
        <v>2875</v>
      </c>
      <c r="Z651" s="20">
        <v>46243</v>
      </c>
      <c r="AA651" s="20">
        <v>46608</v>
      </c>
      <c r="AB651" s="16"/>
      <c r="AC651" s="16"/>
      <c r="AD651" s="16"/>
      <c r="AE651" s="16" t="s">
        <v>2957</v>
      </c>
      <c r="AF651" s="16"/>
      <c r="AI651" s="3" t="str">
        <f t="shared" ca="1" si="10"/>
        <v>OK</v>
      </c>
    </row>
    <row r="652" spans="1:35" hidden="1" x14ac:dyDescent="0.3">
      <c r="A652" s="13">
        <v>46032</v>
      </c>
      <c r="B652" s="14" t="s">
        <v>2806</v>
      </c>
      <c r="C652" s="16"/>
      <c r="D652" s="16"/>
      <c r="E652" s="15" t="s">
        <v>888</v>
      </c>
      <c r="F652" s="15" t="s">
        <v>1273</v>
      </c>
      <c r="G652" s="15" t="s">
        <v>696</v>
      </c>
      <c r="H652" s="15"/>
      <c r="I652" s="15" t="s">
        <v>2535</v>
      </c>
      <c r="J652" s="15" t="s">
        <v>2536</v>
      </c>
      <c r="K652" s="16"/>
      <c r="L652" s="14" t="s">
        <v>2832</v>
      </c>
      <c r="M652" s="16"/>
      <c r="N652" s="15" t="s">
        <v>1181</v>
      </c>
      <c r="O652" s="14">
        <v>58000</v>
      </c>
      <c r="P652" s="14" t="s">
        <v>2846</v>
      </c>
      <c r="Q652" s="14" cm="1">
        <f t="array" ref="Q652">_xlfn.IFS(P652="USD",O652,P652="VND",O652/26090,P652="JPY",O652/161)</f>
        <v>2.2230739747029515</v>
      </c>
      <c r="R652" s="14">
        <v>14</v>
      </c>
      <c r="S652" s="14">
        <v>1</v>
      </c>
      <c r="T652" s="14"/>
      <c r="U652" s="14" t="s">
        <v>2848</v>
      </c>
      <c r="V652" s="14" t="s">
        <v>2857</v>
      </c>
      <c r="W652" s="14" t="s">
        <v>2858</v>
      </c>
      <c r="X652" s="17">
        <v>0</v>
      </c>
      <c r="Y652" s="15" t="s">
        <v>2875</v>
      </c>
      <c r="Z652" s="18" t="s">
        <v>2914</v>
      </c>
      <c r="AA652" s="18"/>
      <c r="AB652" s="16"/>
      <c r="AC652" s="16"/>
      <c r="AD652" s="16"/>
      <c r="AE652" s="16" t="s">
        <v>2917</v>
      </c>
      <c r="AF652" s="16"/>
      <c r="AI652" s="3" t="str">
        <f t="shared" ca="1" si="10"/>
        <v>OK</v>
      </c>
    </row>
    <row r="653" spans="1:35" x14ac:dyDescent="0.3">
      <c r="A653" s="13">
        <v>46032</v>
      </c>
      <c r="B653" s="14" t="s">
        <v>2806</v>
      </c>
      <c r="C653" s="16"/>
      <c r="D653" s="16"/>
      <c r="E653" s="15" t="s">
        <v>901</v>
      </c>
      <c r="F653" s="15" t="s">
        <v>1282</v>
      </c>
      <c r="G653" s="15" t="s">
        <v>697</v>
      </c>
      <c r="H653" s="15"/>
      <c r="I653" s="15" t="s">
        <v>2537</v>
      </c>
      <c r="J653" s="15" t="s">
        <v>2538</v>
      </c>
      <c r="K653" s="16"/>
      <c r="L653" s="14" t="s">
        <v>2823</v>
      </c>
      <c r="M653" s="16"/>
      <c r="N653" s="15" t="s">
        <v>1038</v>
      </c>
      <c r="O653" s="14">
        <v>50</v>
      </c>
      <c r="P653" s="14" t="s">
        <v>2845</v>
      </c>
      <c r="Q653" s="14" cm="1">
        <f t="array" ref="Q653">_xlfn.IFS(P653="USD",O653,P653="VND",O653/26090,P653="JPY",O653/161)</f>
        <v>50</v>
      </c>
      <c r="R653" s="14">
        <v>84</v>
      </c>
      <c r="S653" s="14">
        <v>1</v>
      </c>
      <c r="T653" s="14"/>
      <c r="U653" s="14" t="s">
        <v>2848</v>
      </c>
      <c r="V653" s="14" t="s">
        <v>2857</v>
      </c>
      <c r="W653" s="14" t="s">
        <v>2858</v>
      </c>
      <c r="X653" s="17">
        <v>0</v>
      </c>
      <c r="Y653" s="15" t="s">
        <v>2875</v>
      </c>
      <c r="Z653" s="20">
        <v>45973</v>
      </c>
      <c r="AA653" s="23">
        <v>46327</v>
      </c>
      <c r="AB653" s="16"/>
      <c r="AC653" s="16"/>
      <c r="AD653" s="16"/>
      <c r="AE653" s="16" t="s">
        <v>3008</v>
      </c>
      <c r="AF653" s="16"/>
      <c r="AI653" s="3" t="str">
        <f t="shared" ca="1" si="10"/>
        <v>OK</v>
      </c>
    </row>
    <row r="654" spans="1:35" x14ac:dyDescent="0.3">
      <c r="A654" s="13">
        <v>46032</v>
      </c>
      <c r="B654" s="14" t="s">
        <v>2806</v>
      </c>
      <c r="C654" s="16"/>
      <c r="D654" s="16"/>
      <c r="E654" s="15" t="s">
        <v>899</v>
      </c>
      <c r="F654" s="15" t="s">
        <v>913</v>
      </c>
      <c r="G654" s="15" t="s">
        <v>698</v>
      </c>
      <c r="H654" s="15"/>
      <c r="I654" s="15" t="s">
        <v>2539</v>
      </c>
      <c r="J654" s="15" t="s">
        <v>2540</v>
      </c>
      <c r="K654" s="16"/>
      <c r="L654" s="14" t="s">
        <v>2815</v>
      </c>
      <c r="M654" s="16"/>
      <c r="N654" s="15" t="s">
        <v>1182</v>
      </c>
      <c r="O654" s="14">
        <v>1219770</v>
      </c>
      <c r="P654" s="14" t="s">
        <v>2846</v>
      </c>
      <c r="Q654" s="14" cm="1">
        <f t="array" ref="Q654">_xlfn.IFS(P654="USD",O654,P654="VND",O654/26090,P654="JPY",O654/161)</f>
        <v>46.752395553852054</v>
      </c>
      <c r="R654" s="14">
        <v>30</v>
      </c>
      <c r="S654" s="14">
        <v>1</v>
      </c>
      <c r="T654" s="14"/>
      <c r="U654" s="14" t="s">
        <v>2848</v>
      </c>
      <c r="V654" s="14" t="s">
        <v>2857</v>
      </c>
      <c r="W654" s="14" t="s">
        <v>2858</v>
      </c>
      <c r="X654" s="17">
        <v>0</v>
      </c>
      <c r="Y654" s="15" t="s">
        <v>2875</v>
      </c>
      <c r="Z654" s="20">
        <v>46121</v>
      </c>
      <c r="AA654" s="23">
        <v>46122</v>
      </c>
      <c r="AB654" s="16"/>
      <c r="AC654" s="16"/>
      <c r="AD654" s="16"/>
      <c r="AE654" s="16" t="s">
        <v>3007</v>
      </c>
      <c r="AF654" s="16"/>
      <c r="AI654" s="3" t="str">
        <f t="shared" ca="1" si="10"/>
        <v>NG</v>
      </c>
    </row>
    <row r="655" spans="1:35" hidden="1" x14ac:dyDescent="0.3">
      <c r="A655" s="13">
        <v>46032</v>
      </c>
      <c r="B655" s="14" t="s">
        <v>2806</v>
      </c>
      <c r="C655" s="16"/>
      <c r="D655" s="16"/>
      <c r="E655" s="15" t="s">
        <v>849</v>
      </c>
      <c r="F655" s="15" t="s">
        <v>1243</v>
      </c>
      <c r="G655" s="15" t="s">
        <v>699</v>
      </c>
      <c r="H655" s="15"/>
      <c r="I655" s="15" t="s">
        <v>2541</v>
      </c>
      <c r="J655" s="15" t="s">
        <v>2542</v>
      </c>
      <c r="K655" s="16"/>
      <c r="L655" s="14" t="s">
        <v>2823</v>
      </c>
      <c r="M655" s="16"/>
      <c r="N655" s="15" t="s">
        <v>1183</v>
      </c>
      <c r="O655" s="14">
        <v>295</v>
      </c>
      <c r="P655" s="14" t="s">
        <v>2845</v>
      </c>
      <c r="Q655" s="14" cm="1">
        <f t="array" ref="Q655">_xlfn.IFS(P655="USD",O655,P655="VND",O655/26090,P655="JPY",O655/161)</f>
        <v>295</v>
      </c>
      <c r="R655" s="14">
        <v>21</v>
      </c>
      <c r="S655" s="14">
        <v>1</v>
      </c>
      <c r="T655" s="14"/>
      <c r="U655" s="14" t="s">
        <v>2849</v>
      </c>
      <c r="V655" s="14" t="s">
        <v>2857</v>
      </c>
      <c r="W655" s="14" t="s">
        <v>2858</v>
      </c>
      <c r="X655" s="17">
        <v>0</v>
      </c>
      <c r="Y655" s="15" t="s">
        <v>2875</v>
      </c>
      <c r="Z655" s="20">
        <v>46028</v>
      </c>
      <c r="AA655" s="20">
        <v>46393</v>
      </c>
      <c r="AB655" s="16"/>
      <c r="AC655" s="16"/>
      <c r="AD655" s="16"/>
      <c r="AE655" s="16" t="s">
        <v>2959</v>
      </c>
      <c r="AF655" s="16"/>
      <c r="AI655" s="3" t="str">
        <f t="shared" ca="1" si="10"/>
        <v>OK</v>
      </c>
    </row>
    <row r="656" spans="1:35" hidden="1" x14ac:dyDescent="0.3">
      <c r="A656" s="13">
        <v>46032</v>
      </c>
      <c r="B656" s="14" t="s">
        <v>2806</v>
      </c>
      <c r="C656" s="16"/>
      <c r="D656" s="16"/>
      <c r="E656" s="15" t="s">
        <v>849</v>
      </c>
      <c r="F656" s="15" t="s">
        <v>1243</v>
      </c>
      <c r="G656" s="15" t="s">
        <v>700</v>
      </c>
      <c r="H656" s="15"/>
      <c r="I656" s="15" t="s">
        <v>2543</v>
      </c>
      <c r="J656" s="15" t="s">
        <v>2544</v>
      </c>
      <c r="K656" s="16"/>
      <c r="L656" s="14" t="s">
        <v>2821</v>
      </c>
      <c r="M656" s="16"/>
      <c r="N656" s="15" t="s">
        <v>1184</v>
      </c>
      <c r="O656" s="14">
        <v>22</v>
      </c>
      <c r="P656" s="14" t="s">
        <v>2845</v>
      </c>
      <c r="Q656" s="14" cm="1">
        <f t="array" ref="Q656">_xlfn.IFS(P656="USD",O656,P656="VND",O656/26090,P656="JPY",O656/161)</f>
        <v>22</v>
      </c>
      <c r="R656" s="14">
        <v>21</v>
      </c>
      <c r="S656" s="14">
        <v>1</v>
      </c>
      <c r="T656" s="14"/>
      <c r="U656" s="14" t="s">
        <v>2849</v>
      </c>
      <c r="V656" s="14" t="s">
        <v>2857</v>
      </c>
      <c r="W656" s="14" t="s">
        <v>2858</v>
      </c>
      <c r="X656" s="17">
        <v>0</v>
      </c>
      <c r="Y656" s="15" t="s">
        <v>2875</v>
      </c>
      <c r="Z656" s="20">
        <v>46028</v>
      </c>
      <c r="AA656" s="20">
        <v>46393</v>
      </c>
      <c r="AB656" s="16"/>
      <c r="AC656" s="16"/>
      <c r="AD656" s="16"/>
      <c r="AE656" s="16" t="s">
        <v>2959</v>
      </c>
      <c r="AF656" s="16"/>
      <c r="AI656" s="3" t="str">
        <f t="shared" ca="1" si="10"/>
        <v>OK</v>
      </c>
    </row>
    <row r="657" spans="1:35" x14ac:dyDescent="0.3">
      <c r="A657" s="13">
        <v>46032</v>
      </c>
      <c r="B657" s="14" t="s">
        <v>2806</v>
      </c>
      <c r="C657" s="16"/>
      <c r="D657" s="16"/>
      <c r="E657" s="15" t="s">
        <v>886</v>
      </c>
      <c r="F657" s="15" t="s">
        <v>1271</v>
      </c>
      <c r="G657" s="15" t="s">
        <v>701</v>
      </c>
      <c r="H657" s="15"/>
      <c r="I657" s="15" t="s">
        <v>2545</v>
      </c>
      <c r="J657" s="15" t="s">
        <v>2546</v>
      </c>
      <c r="K657" s="16"/>
      <c r="L657" s="14" t="s">
        <v>2823</v>
      </c>
      <c r="M657" s="16"/>
      <c r="N657" s="15" t="s">
        <v>1185</v>
      </c>
      <c r="O657" s="14">
        <v>298.3</v>
      </c>
      <c r="P657" s="14" t="s">
        <v>2845</v>
      </c>
      <c r="Q657" s="14" cm="1">
        <f t="array" ref="Q657">_xlfn.IFS(P657="USD",O657,P657="VND",O657/26090,P657="JPY",O657/161)</f>
        <v>298.3</v>
      </c>
      <c r="R657" s="14">
        <v>42</v>
      </c>
      <c r="S657" s="14">
        <v>1</v>
      </c>
      <c r="T657" s="14"/>
      <c r="U657" s="14" t="s">
        <v>2850</v>
      </c>
      <c r="V657" s="14" t="s">
        <v>2859</v>
      </c>
      <c r="W657" s="14" t="s">
        <v>2860</v>
      </c>
      <c r="X657" s="17">
        <v>0</v>
      </c>
      <c r="Y657" s="15" t="s">
        <v>2899</v>
      </c>
      <c r="Z657" s="18" t="s">
        <v>3044</v>
      </c>
      <c r="AA657" s="22" t="s">
        <v>3045</v>
      </c>
      <c r="AB657" s="16"/>
      <c r="AC657" s="16"/>
      <c r="AD657" s="16"/>
      <c r="AE657" s="16" t="s">
        <v>3046</v>
      </c>
      <c r="AF657" s="16"/>
      <c r="AI657" s="3" t="str">
        <f t="shared" ca="1" si="10"/>
        <v>OK</v>
      </c>
    </row>
    <row r="658" spans="1:35" x14ac:dyDescent="0.3">
      <c r="A658" s="13">
        <v>46032</v>
      </c>
      <c r="B658" s="14" t="s">
        <v>2806</v>
      </c>
      <c r="C658" s="16"/>
      <c r="D658" s="16"/>
      <c r="E658" s="15" t="s">
        <v>862</v>
      </c>
      <c r="F658" s="15" t="s">
        <v>1251</v>
      </c>
      <c r="G658" s="15" t="s">
        <v>702</v>
      </c>
      <c r="H658" s="15"/>
      <c r="I658" s="15" t="s">
        <v>2547</v>
      </c>
      <c r="J658" s="15" t="s">
        <v>2548</v>
      </c>
      <c r="K658" s="16"/>
      <c r="L658" s="14" t="s">
        <v>2823</v>
      </c>
      <c r="M658" s="16"/>
      <c r="N658" s="15" t="s">
        <v>950</v>
      </c>
      <c r="O658" s="14">
        <v>800000</v>
      </c>
      <c r="P658" s="14" t="s">
        <v>2846</v>
      </c>
      <c r="Q658" s="14" cm="1">
        <f t="array" ref="Q658">_xlfn.IFS(P658="USD",O658,P658="VND",O658/26090,P658="JPY",O658/161)</f>
        <v>30.663089306247606</v>
      </c>
      <c r="R658" s="14">
        <v>15</v>
      </c>
      <c r="S658" s="14">
        <v>30</v>
      </c>
      <c r="T658" s="14"/>
      <c r="U658" s="14" t="s">
        <v>2848</v>
      </c>
      <c r="V658" s="14" t="s">
        <v>2857</v>
      </c>
      <c r="W658" s="14" t="s">
        <v>2858</v>
      </c>
      <c r="X658" s="17">
        <v>0</v>
      </c>
      <c r="Y658" s="15" t="s">
        <v>2875</v>
      </c>
      <c r="Z658" s="18" t="s">
        <v>2929</v>
      </c>
      <c r="AA658" s="22" t="s">
        <v>2931</v>
      </c>
      <c r="AB658" s="16"/>
      <c r="AC658" s="16"/>
      <c r="AD658" s="16"/>
      <c r="AE658" s="16" t="s">
        <v>2933</v>
      </c>
      <c r="AF658" s="16"/>
      <c r="AI658" s="3" t="str">
        <f t="shared" ca="1" si="10"/>
        <v>OK</v>
      </c>
    </row>
    <row r="659" spans="1:35" x14ac:dyDescent="0.3">
      <c r="A659" s="13">
        <v>46032</v>
      </c>
      <c r="B659" s="14" t="s">
        <v>2806</v>
      </c>
      <c r="C659" s="16"/>
      <c r="D659" s="16"/>
      <c r="E659" s="15" t="s">
        <v>862</v>
      </c>
      <c r="F659" s="15" t="s">
        <v>1251</v>
      </c>
      <c r="G659" s="15" t="s">
        <v>703</v>
      </c>
      <c r="H659" s="15"/>
      <c r="I659" s="15" t="s">
        <v>2549</v>
      </c>
      <c r="J659" s="15" t="s">
        <v>2548</v>
      </c>
      <c r="K659" s="16"/>
      <c r="L659" s="14" t="s">
        <v>2823</v>
      </c>
      <c r="M659" s="16"/>
      <c r="N659" s="15" t="s">
        <v>950</v>
      </c>
      <c r="O659" s="14">
        <v>795000</v>
      </c>
      <c r="P659" s="14" t="s">
        <v>2846</v>
      </c>
      <c r="Q659" s="14" cm="1">
        <f t="array" ref="Q659">_xlfn.IFS(P659="USD",O659,P659="VND",O659/26090,P659="JPY",O659/161)</f>
        <v>30.471444998083555</v>
      </c>
      <c r="R659" s="14">
        <v>15</v>
      </c>
      <c r="S659" s="14">
        <v>30</v>
      </c>
      <c r="T659" s="14"/>
      <c r="U659" s="14" t="s">
        <v>2848</v>
      </c>
      <c r="V659" s="14" t="s">
        <v>2857</v>
      </c>
      <c r="W659" s="14" t="s">
        <v>2858</v>
      </c>
      <c r="X659" s="17">
        <v>0</v>
      </c>
      <c r="Y659" s="15" t="s">
        <v>2875</v>
      </c>
      <c r="Z659" s="18" t="s">
        <v>2929</v>
      </c>
      <c r="AA659" s="22" t="s">
        <v>2931</v>
      </c>
      <c r="AB659" s="16"/>
      <c r="AC659" s="16"/>
      <c r="AD659" s="16"/>
      <c r="AE659" s="16" t="s">
        <v>2933</v>
      </c>
      <c r="AF659" s="16"/>
      <c r="AI659" s="3" t="str">
        <f t="shared" ca="1" si="10"/>
        <v>OK</v>
      </c>
    </row>
    <row r="660" spans="1:35" x14ac:dyDescent="0.3">
      <c r="A660" s="13">
        <v>46032</v>
      </c>
      <c r="B660" s="14" t="s">
        <v>2806</v>
      </c>
      <c r="C660" s="16"/>
      <c r="D660" s="16"/>
      <c r="E660" s="15" t="s">
        <v>862</v>
      </c>
      <c r="F660" s="15" t="s">
        <v>1251</v>
      </c>
      <c r="G660" s="15" t="s">
        <v>704</v>
      </c>
      <c r="H660" s="15"/>
      <c r="I660" s="15" t="s">
        <v>2550</v>
      </c>
      <c r="J660" s="15" t="s">
        <v>2551</v>
      </c>
      <c r="K660" s="16"/>
      <c r="L660" s="14" t="s">
        <v>2823</v>
      </c>
      <c r="M660" s="16"/>
      <c r="N660" s="15" t="s">
        <v>950</v>
      </c>
      <c r="O660" s="14">
        <v>2900000</v>
      </c>
      <c r="P660" s="14" t="s">
        <v>2846</v>
      </c>
      <c r="Q660" s="14" cm="1">
        <f t="array" ref="Q660">_xlfn.IFS(P660="USD",O660,P660="VND",O660/26090,P660="JPY",O660/161)</f>
        <v>111.15369873514757</v>
      </c>
      <c r="R660" s="14">
        <v>15</v>
      </c>
      <c r="S660" s="14">
        <v>1</v>
      </c>
      <c r="T660" s="14"/>
      <c r="U660" s="14" t="s">
        <v>2848</v>
      </c>
      <c r="V660" s="14" t="s">
        <v>2857</v>
      </c>
      <c r="W660" s="14" t="s">
        <v>2858</v>
      </c>
      <c r="X660" s="17">
        <v>0</v>
      </c>
      <c r="Y660" s="15" t="s">
        <v>2875</v>
      </c>
      <c r="Z660" s="18" t="s">
        <v>2929</v>
      </c>
      <c r="AA660" s="22" t="s">
        <v>2931</v>
      </c>
      <c r="AB660" s="16"/>
      <c r="AC660" s="16"/>
      <c r="AD660" s="16"/>
      <c r="AE660" s="16" t="s">
        <v>2933</v>
      </c>
      <c r="AF660" s="16"/>
      <c r="AI660" s="3" t="str">
        <f t="shared" ca="1" si="10"/>
        <v>OK</v>
      </c>
    </row>
    <row r="661" spans="1:35" x14ac:dyDescent="0.3">
      <c r="A661" s="13">
        <v>46032</v>
      </c>
      <c r="B661" s="14" t="s">
        <v>2806</v>
      </c>
      <c r="C661" s="16"/>
      <c r="D661" s="16"/>
      <c r="E661" s="15" t="s">
        <v>862</v>
      </c>
      <c r="F661" s="15" t="s">
        <v>1251</v>
      </c>
      <c r="G661" s="15" t="s">
        <v>705</v>
      </c>
      <c r="H661" s="15"/>
      <c r="I661" s="15" t="s">
        <v>2552</v>
      </c>
      <c r="J661" s="15" t="s">
        <v>2553</v>
      </c>
      <c r="K661" s="16"/>
      <c r="L661" s="14" t="s">
        <v>2823</v>
      </c>
      <c r="M661" s="16"/>
      <c r="N661" s="15" t="s">
        <v>1186</v>
      </c>
      <c r="O661" s="14">
        <v>280000</v>
      </c>
      <c r="P661" s="14" t="s">
        <v>2846</v>
      </c>
      <c r="Q661" s="14" cm="1">
        <f t="array" ref="Q661">_xlfn.IFS(P661="USD",O661,P661="VND",O661/26090,P661="JPY",O661/161)</f>
        <v>10.732081257186662</v>
      </c>
      <c r="R661" s="14">
        <v>30</v>
      </c>
      <c r="S661" s="14">
        <v>5</v>
      </c>
      <c r="T661" s="14"/>
      <c r="U661" s="14" t="s">
        <v>2848</v>
      </c>
      <c r="V661" s="14" t="s">
        <v>2857</v>
      </c>
      <c r="W661" s="14" t="s">
        <v>2858</v>
      </c>
      <c r="X661" s="17">
        <v>0</v>
      </c>
      <c r="Y661" s="15" t="s">
        <v>2875</v>
      </c>
      <c r="Z661" s="18" t="s">
        <v>2929</v>
      </c>
      <c r="AA661" s="22" t="s">
        <v>2931</v>
      </c>
      <c r="AB661" s="16"/>
      <c r="AC661" s="16"/>
      <c r="AD661" s="16"/>
      <c r="AE661" s="16" t="s">
        <v>2933</v>
      </c>
      <c r="AF661" s="16"/>
      <c r="AI661" s="3" t="str">
        <f t="shared" ca="1" si="10"/>
        <v>OK</v>
      </c>
    </row>
    <row r="662" spans="1:35" hidden="1" x14ac:dyDescent="0.3">
      <c r="A662" s="13">
        <v>46032</v>
      </c>
      <c r="B662" s="14" t="s">
        <v>2806</v>
      </c>
      <c r="C662" s="16"/>
      <c r="D662" s="16"/>
      <c r="E662" s="15" t="s">
        <v>857</v>
      </c>
      <c r="F662" s="15" t="s">
        <v>912</v>
      </c>
      <c r="G662" s="15" t="s">
        <v>706</v>
      </c>
      <c r="H662" s="15"/>
      <c r="I662" s="15" t="s">
        <v>2554</v>
      </c>
      <c r="J662" s="15" t="s">
        <v>2555</v>
      </c>
      <c r="K662" s="16"/>
      <c r="L662" s="14" t="s">
        <v>2825</v>
      </c>
      <c r="M662" s="16"/>
      <c r="N662" s="15" t="s">
        <v>1048</v>
      </c>
      <c r="O662" s="14">
        <v>3.4</v>
      </c>
      <c r="P662" s="14" t="s">
        <v>2845</v>
      </c>
      <c r="Q662" s="14" cm="1">
        <f t="array" ref="Q662">_xlfn.IFS(P662="USD",O662,P662="VND",O662/26090,P662="JPY",O662/161)</f>
        <v>3.4</v>
      </c>
      <c r="R662" s="14">
        <v>35</v>
      </c>
      <c r="S662" s="14">
        <v>1</v>
      </c>
      <c r="T662" s="14"/>
      <c r="U662" s="14" t="s">
        <v>2848</v>
      </c>
      <c r="V662" s="14" t="s">
        <v>2857</v>
      </c>
      <c r="W662" s="14" t="s">
        <v>2858</v>
      </c>
      <c r="X662" s="17">
        <v>0</v>
      </c>
      <c r="Y662" s="15" t="s">
        <v>2875</v>
      </c>
      <c r="Z662" s="20">
        <v>46243</v>
      </c>
      <c r="AA662" s="20">
        <v>46608</v>
      </c>
      <c r="AB662" s="16"/>
      <c r="AC662" s="16"/>
      <c r="AD662" s="16"/>
      <c r="AE662" s="16" t="s">
        <v>2957</v>
      </c>
      <c r="AF662" s="16"/>
      <c r="AI662" s="3" t="str">
        <f t="shared" ca="1" si="10"/>
        <v>OK</v>
      </c>
    </row>
    <row r="663" spans="1:35" hidden="1" x14ac:dyDescent="0.3">
      <c r="A663" s="13">
        <v>46032</v>
      </c>
      <c r="B663" s="14" t="s">
        <v>2806</v>
      </c>
      <c r="C663" s="16"/>
      <c r="D663" s="16"/>
      <c r="E663" s="15" t="s">
        <v>857</v>
      </c>
      <c r="F663" s="15" t="s">
        <v>912</v>
      </c>
      <c r="G663" s="15" t="s">
        <v>707</v>
      </c>
      <c r="H663" s="15"/>
      <c r="I663" s="15" t="s">
        <v>2556</v>
      </c>
      <c r="J663" s="15" t="s">
        <v>2557</v>
      </c>
      <c r="K663" s="16"/>
      <c r="L663" s="14" t="s">
        <v>2821</v>
      </c>
      <c r="M663" s="16"/>
      <c r="N663" s="15" t="s">
        <v>1187</v>
      </c>
      <c r="O663" s="14">
        <v>192.82</v>
      </c>
      <c r="P663" s="14" t="s">
        <v>2845</v>
      </c>
      <c r="Q663" s="14" cm="1">
        <f t="array" ref="Q663">_xlfn.IFS(P663="USD",O663,P663="VND",O663/26090,P663="JPY",O663/161)</f>
        <v>192.82</v>
      </c>
      <c r="R663" s="14">
        <v>35</v>
      </c>
      <c r="S663" s="14">
        <v>1</v>
      </c>
      <c r="T663" s="14"/>
      <c r="U663" s="14" t="s">
        <v>2848</v>
      </c>
      <c r="V663" s="14" t="s">
        <v>2857</v>
      </c>
      <c r="W663" s="14" t="s">
        <v>2858</v>
      </c>
      <c r="X663" s="17">
        <v>0</v>
      </c>
      <c r="Y663" s="15" t="s">
        <v>2875</v>
      </c>
      <c r="Z663" s="20">
        <v>46243</v>
      </c>
      <c r="AA663" s="20">
        <v>46608</v>
      </c>
      <c r="AB663" s="16"/>
      <c r="AC663" s="16"/>
      <c r="AD663" s="16"/>
      <c r="AE663" s="16" t="s">
        <v>2957</v>
      </c>
      <c r="AF663" s="16"/>
      <c r="AI663" s="3" t="str">
        <f t="shared" ca="1" si="10"/>
        <v>OK</v>
      </c>
    </row>
    <row r="664" spans="1:35" hidden="1" x14ac:dyDescent="0.3">
      <c r="A664" s="13">
        <v>46032</v>
      </c>
      <c r="B664" s="14" t="s">
        <v>2806</v>
      </c>
      <c r="C664" s="16"/>
      <c r="D664" s="16"/>
      <c r="E664" s="15" t="s">
        <v>849</v>
      </c>
      <c r="F664" s="15" t="s">
        <v>1243</v>
      </c>
      <c r="G664" s="15" t="s">
        <v>708</v>
      </c>
      <c r="H664" s="15"/>
      <c r="I664" s="15" t="s">
        <v>2558</v>
      </c>
      <c r="J664" s="15" t="s">
        <v>2559</v>
      </c>
      <c r="K664" s="16"/>
      <c r="L664" s="14" t="s">
        <v>2823</v>
      </c>
      <c r="M664" s="16"/>
      <c r="N664" s="15" t="s">
        <v>1188</v>
      </c>
      <c r="O664" s="14">
        <v>214</v>
      </c>
      <c r="P664" s="14" t="s">
        <v>2845</v>
      </c>
      <c r="Q664" s="14" cm="1">
        <f t="array" ref="Q664">_xlfn.IFS(P664="USD",O664,P664="VND",O664/26090,P664="JPY",O664/161)</f>
        <v>214</v>
      </c>
      <c r="R664" s="14">
        <v>21</v>
      </c>
      <c r="S664" s="14">
        <v>1</v>
      </c>
      <c r="T664" s="14"/>
      <c r="U664" s="14" t="s">
        <v>2849</v>
      </c>
      <c r="V664" s="14" t="s">
        <v>2857</v>
      </c>
      <c r="W664" s="14" t="s">
        <v>2858</v>
      </c>
      <c r="X664" s="17">
        <v>0</v>
      </c>
      <c r="Y664" s="15" t="s">
        <v>2875</v>
      </c>
      <c r="Z664" s="20">
        <v>46028</v>
      </c>
      <c r="AA664" s="20">
        <v>46393</v>
      </c>
      <c r="AB664" s="16"/>
      <c r="AC664" s="16"/>
      <c r="AD664" s="16"/>
      <c r="AE664" s="16" t="s">
        <v>2959</v>
      </c>
      <c r="AF664" s="16"/>
      <c r="AI664" s="3" t="str">
        <f t="shared" ca="1" si="10"/>
        <v>OK</v>
      </c>
    </row>
    <row r="665" spans="1:35" hidden="1" x14ac:dyDescent="0.3">
      <c r="A665" s="13">
        <v>46032</v>
      </c>
      <c r="B665" s="14" t="s">
        <v>2806</v>
      </c>
      <c r="C665" s="16"/>
      <c r="D665" s="16"/>
      <c r="E665" s="15" t="s">
        <v>849</v>
      </c>
      <c r="F665" s="15" t="s">
        <v>1243</v>
      </c>
      <c r="G665" s="15" t="s">
        <v>709</v>
      </c>
      <c r="H665" s="15"/>
      <c r="I665" s="15" t="s">
        <v>2560</v>
      </c>
      <c r="J665" s="15" t="s">
        <v>2561</v>
      </c>
      <c r="K665" s="16"/>
      <c r="L665" s="14" t="s">
        <v>2823</v>
      </c>
      <c r="M665" s="16"/>
      <c r="N665" s="15" t="s">
        <v>1188</v>
      </c>
      <c r="O665" s="14">
        <v>34.700000000000003</v>
      </c>
      <c r="P665" s="14" t="s">
        <v>2845</v>
      </c>
      <c r="Q665" s="14" cm="1">
        <f t="array" ref="Q665">_xlfn.IFS(P665="USD",O665,P665="VND",O665/26090,P665="JPY",O665/161)</f>
        <v>34.700000000000003</v>
      </c>
      <c r="R665" s="14">
        <v>21</v>
      </c>
      <c r="S665" s="14">
        <v>1</v>
      </c>
      <c r="T665" s="14"/>
      <c r="U665" s="14" t="s">
        <v>2849</v>
      </c>
      <c r="V665" s="14" t="s">
        <v>2857</v>
      </c>
      <c r="W665" s="14" t="s">
        <v>2858</v>
      </c>
      <c r="X665" s="17">
        <v>0</v>
      </c>
      <c r="Y665" s="15" t="s">
        <v>2875</v>
      </c>
      <c r="Z665" s="20">
        <v>46028</v>
      </c>
      <c r="AA665" s="20">
        <v>46393</v>
      </c>
      <c r="AB665" s="16"/>
      <c r="AC665" s="16"/>
      <c r="AD665" s="16"/>
      <c r="AE665" s="16" t="s">
        <v>2959</v>
      </c>
      <c r="AF665" s="16"/>
      <c r="AI665" s="3" t="str">
        <f t="shared" ca="1" si="10"/>
        <v>OK</v>
      </c>
    </row>
    <row r="666" spans="1:35" hidden="1" x14ac:dyDescent="0.3">
      <c r="A666" s="13">
        <v>46032</v>
      </c>
      <c r="B666" s="14" t="s">
        <v>2806</v>
      </c>
      <c r="C666" s="16"/>
      <c r="D666" s="16"/>
      <c r="E666" s="15" t="s">
        <v>849</v>
      </c>
      <c r="F666" s="15" t="s">
        <v>1243</v>
      </c>
      <c r="G666" s="15" t="s">
        <v>710</v>
      </c>
      <c r="H666" s="15"/>
      <c r="I666" s="15" t="s">
        <v>2562</v>
      </c>
      <c r="J666" s="15" t="s">
        <v>2563</v>
      </c>
      <c r="K666" s="16"/>
      <c r="L666" s="14" t="s">
        <v>2823</v>
      </c>
      <c r="M666" s="16"/>
      <c r="N666" s="15" t="s">
        <v>1189</v>
      </c>
      <c r="O666" s="14">
        <v>21</v>
      </c>
      <c r="P666" s="14" t="s">
        <v>2845</v>
      </c>
      <c r="Q666" s="14" cm="1">
        <f t="array" ref="Q666">_xlfn.IFS(P666="USD",O666,P666="VND",O666/26090,P666="JPY",O666/161)</f>
        <v>21</v>
      </c>
      <c r="R666" s="14">
        <v>21</v>
      </c>
      <c r="S666" s="14">
        <v>1</v>
      </c>
      <c r="T666" s="14"/>
      <c r="U666" s="14" t="s">
        <v>2849</v>
      </c>
      <c r="V666" s="14" t="s">
        <v>2857</v>
      </c>
      <c r="W666" s="14" t="s">
        <v>2858</v>
      </c>
      <c r="X666" s="17">
        <v>0</v>
      </c>
      <c r="Y666" s="15" t="s">
        <v>2875</v>
      </c>
      <c r="Z666" s="20">
        <v>46028</v>
      </c>
      <c r="AA666" s="20">
        <v>46393</v>
      </c>
      <c r="AB666" s="16"/>
      <c r="AC666" s="16"/>
      <c r="AD666" s="16"/>
      <c r="AE666" s="16" t="s">
        <v>2959</v>
      </c>
      <c r="AF666" s="16"/>
      <c r="AI666" s="3" t="str">
        <f t="shared" ca="1" si="10"/>
        <v>OK</v>
      </c>
    </row>
    <row r="667" spans="1:35" hidden="1" x14ac:dyDescent="0.3">
      <c r="A667" s="13">
        <v>46032</v>
      </c>
      <c r="B667" s="14" t="s">
        <v>2806</v>
      </c>
      <c r="C667" s="16"/>
      <c r="D667" s="16"/>
      <c r="E667" s="15" t="s">
        <v>849</v>
      </c>
      <c r="F667" s="15" t="s">
        <v>1243</v>
      </c>
      <c r="G667" s="15" t="s">
        <v>711</v>
      </c>
      <c r="H667" s="15"/>
      <c r="I667" s="15" t="s">
        <v>2564</v>
      </c>
      <c r="J667" s="15" t="s">
        <v>2565</v>
      </c>
      <c r="K667" s="16"/>
      <c r="L667" s="14" t="s">
        <v>2823</v>
      </c>
      <c r="M667" s="16"/>
      <c r="N667" s="15" t="s">
        <v>1188</v>
      </c>
      <c r="O667" s="14">
        <v>53.8</v>
      </c>
      <c r="P667" s="14" t="s">
        <v>2845</v>
      </c>
      <c r="Q667" s="14" cm="1">
        <f t="array" ref="Q667">_xlfn.IFS(P667="USD",O667,P667="VND",O667/26090,P667="JPY",O667/161)</f>
        <v>53.8</v>
      </c>
      <c r="R667" s="14">
        <v>21</v>
      </c>
      <c r="S667" s="14">
        <v>1</v>
      </c>
      <c r="T667" s="14"/>
      <c r="U667" s="14" t="s">
        <v>2849</v>
      </c>
      <c r="V667" s="14" t="s">
        <v>2857</v>
      </c>
      <c r="W667" s="14" t="s">
        <v>2858</v>
      </c>
      <c r="X667" s="17">
        <v>0</v>
      </c>
      <c r="Y667" s="15" t="s">
        <v>2875</v>
      </c>
      <c r="Z667" s="20">
        <v>46028</v>
      </c>
      <c r="AA667" s="20">
        <v>46393</v>
      </c>
      <c r="AB667" s="16"/>
      <c r="AC667" s="16"/>
      <c r="AD667" s="16"/>
      <c r="AE667" s="16" t="s">
        <v>2959</v>
      </c>
      <c r="AF667" s="16"/>
      <c r="AI667" s="3" t="str">
        <f t="shared" ca="1" si="10"/>
        <v>OK</v>
      </c>
    </row>
    <row r="668" spans="1:35" hidden="1" x14ac:dyDescent="0.3">
      <c r="A668" s="13">
        <v>46032</v>
      </c>
      <c r="B668" s="14" t="s">
        <v>2806</v>
      </c>
      <c r="C668" s="16"/>
      <c r="D668" s="16"/>
      <c r="E668" s="15" t="s">
        <v>849</v>
      </c>
      <c r="F668" s="15" t="s">
        <v>1243</v>
      </c>
      <c r="G668" s="15" t="s">
        <v>712</v>
      </c>
      <c r="H668" s="15"/>
      <c r="I668" s="15" t="s">
        <v>2566</v>
      </c>
      <c r="J668" s="15" t="s">
        <v>2567</v>
      </c>
      <c r="K668" s="16"/>
      <c r="L668" s="14" t="s">
        <v>2829</v>
      </c>
      <c r="M668" s="16"/>
      <c r="N668" s="15" t="s">
        <v>1188</v>
      </c>
      <c r="O668" s="14">
        <v>27.82</v>
      </c>
      <c r="P668" s="14" t="s">
        <v>2845</v>
      </c>
      <c r="Q668" s="14" cm="1">
        <f t="array" ref="Q668">_xlfn.IFS(P668="USD",O668,P668="VND",O668/26090,P668="JPY",O668/161)</f>
        <v>27.82</v>
      </c>
      <c r="R668" s="14">
        <v>21</v>
      </c>
      <c r="S668" s="14">
        <v>1</v>
      </c>
      <c r="T668" s="14"/>
      <c r="U668" s="14" t="s">
        <v>2849</v>
      </c>
      <c r="V668" s="14" t="s">
        <v>2857</v>
      </c>
      <c r="W668" s="14" t="s">
        <v>2858</v>
      </c>
      <c r="X668" s="17">
        <v>0</v>
      </c>
      <c r="Y668" s="15" t="s">
        <v>2875</v>
      </c>
      <c r="Z668" s="20">
        <v>46028</v>
      </c>
      <c r="AA668" s="20">
        <v>46393</v>
      </c>
      <c r="AB668" s="16"/>
      <c r="AC668" s="16"/>
      <c r="AD668" s="16"/>
      <c r="AE668" s="16" t="s">
        <v>2959</v>
      </c>
      <c r="AF668" s="16"/>
      <c r="AI668" s="3" t="str">
        <f t="shared" ca="1" si="10"/>
        <v>OK</v>
      </c>
    </row>
    <row r="669" spans="1:35" hidden="1" x14ac:dyDescent="0.3">
      <c r="A669" s="13">
        <v>46032</v>
      </c>
      <c r="B669" s="14" t="s">
        <v>2806</v>
      </c>
      <c r="C669" s="16"/>
      <c r="D669" s="16"/>
      <c r="E669" s="15" t="s">
        <v>849</v>
      </c>
      <c r="F669" s="15" t="s">
        <v>1243</v>
      </c>
      <c r="G669" s="15" t="s">
        <v>713</v>
      </c>
      <c r="H669" s="15"/>
      <c r="I669" s="15" t="s">
        <v>2568</v>
      </c>
      <c r="J669" s="15" t="s">
        <v>2569</v>
      </c>
      <c r="K669" s="16"/>
      <c r="L669" s="14" t="s">
        <v>2823</v>
      </c>
      <c r="M669" s="16"/>
      <c r="N669" s="15" t="s">
        <v>1190</v>
      </c>
      <c r="O669" s="14">
        <v>24.6</v>
      </c>
      <c r="P669" s="14" t="s">
        <v>2845</v>
      </c>
      <c r="Q669" s="14" cm="1">
        <f t="array" ref="Q669">_xlfn.IFS(P669="USD",O669,P669="VND",O669/26090,P669="JPY",O669/161)</f>
        <v>24.6</v>
      </c>
      <c r="R669" s="14">
        <v>21</v>
      </c>
      <c r="S669" s="14">
        <v>1</v>
      </c>
      <c r="T669" s="14"/>
      <c r="U669" s="14" t="s">
        <v>2849</v>
      </c>
      <c r="V669" s="14" t="s">
        <v>2857</v>
      </c>
      <c r="W669" s="14" t="s">
        <v>2858</v>
      </c>
      <c r="X669" s="17">
        <v>0</v>
      </c>
      <c r="Y669" s="15" t="s">
        <v>2875</v>
      </c>
      <c r="Z669" s="20">
        <v>46028</v>
      </c>
      <c r="AA669" s="20">
        <v>46393</v>
      </c>
      <c r="AB669" s="16"/>
      <c r="AC669" s="16"/>
      <c r="AD669" s="16"/>
      <c r="AE669" s="16" t="s">
        <v>2959</v>
      </c>
      <c r="AF669" s="16"/>
      <c r="AI669" s="3" t="str">
        <f t="shared" ca="1" si="10"/>
        <v>OK</v>
      </c>
    </row>
    <row r="670" spans="1:35" hidden="1" x14ac:dyDescent="0.3">
      <c r="A670" s="13">
        <v>46032</v>
      </c>
      <c r="B670" s="14" t="s">
        <v>2806</v>
      </c>
      <c r="C670" s="16"/>
      <c r="D670" s="16"/>
      <c r="E670" s="15" t="s">
        <v>888</v>
      </c>
      <c r="F670" s="15" t="s">
        <v>1273</v>
      </c>
      <c r="G670" s="15" t="s">
        <v>714</v>
      </c>
      <c r="H670" s="15"/>
      <c r="I670" s="15" t="s">
        <v>2570</v>
      </c>
      <c r="J670" s="15" t="s">
        <v>2571</v>
      </c>
      <c r="K670" s="16"/>
      <c r="L670" s="14" t="s">
        <v>2832</v>
      </c>
      <c r="M670" s="16"/>
      <c r="N670" s="15" t="s">
        <v>1191</v>
      </c>
      <c r="O670" s="14">
        <v>136000</v>
      </c>
      <c r="P670" s="14" t="s">
        <v>2846</v>
      </c>
      <c r="Q670" s="14" cm="1">
        <f t="array" ref="Q670">_xlfn.IFS(P670="USD",O670,P670="VND",O670/26090,P670="JPY",O670/161)</f>
        <v>5.2127251820620923</v>
      </c>
      <c r="R670" s="14">
        <v>14</v>
      </c>
      <c r="S670" s="14">
        <v>1</v>
      </c>
      <c r="T670" s="14"/>
      <c r="U670" s="14" t="s">
        <v>2848</v>
      </c>
      <c r="V670" s="14" t="s">
        <v>2857</v>
      </c>
      <c r="W670" s="14" t="s">
        <v>2858</v>
      </c>
      <c r="X670" s="17">
        <v>0</v>
      </c>
      <c r="Y670" s="15" t="s">
        <v>2875</v>
      </c>
      <c r="Z670" s="18" t="s">
        <v>2914</v>
      </c>
      <c r="AA670" s="18"/>
      <c r="AB670" s="16"/>
      <c r="AC670" s="16"/>
      <c r="AD670" s="16"/>
      <c r="AE670" s="16" t="s">
        <v>2917</v>
      </c>
      <c r="AF670" s="16"/>
      <c r="AI670" s="3" t="str">
        <f t="shared" ca="1" si="10"/>
        <v>OK</v>
      </c>
    </row>
    <row r="671" spans="1:35" hidden="1" x14ac:dyDescent="0.3">
      <c r="A671" s="13">
        <v>46032</v>
      </c>
      <c r="B671" s="14" t="s">
        <v>2806</v>
      </c>
      <c r="C671" s="16"/>
      <c r="D671" s="16"/>
      <c r="E671" s="15" t="s">
        <v>849</v>
      </c>
      <c r="F671" s="15" t="s">
        <v>1243</v>
      </c>
      <c r="G671" s="15" t="s">
        <v>715</v>
      </c>
      <c r="H671" s="15" t="s">
        <v>849</v>
      </c>
      <c r="I671" s="15" t="s">
        <v>2572</v>
      </c>
      <c r="J671" s="15" t="s">
        <v>2573</v>
      </c>
      <c r="K671" s="16"/>
      <c r="L671" s="14" t="s">
        <v>2823</v>
      </c>
      <c r="M671" s="16"/>
      <c r="N671" s="15" t="s">
        <v>1192</v>
      </c>
      <c r="O671" s="14">
        <v>344.5</v>
      </c>
      <c r="P671" s="14" t="s">
        <v>2845</v>
      </c>
      <c r="Q671" s="14" cm="1">
        <f t="array" ref="Q671">_xlfn.IFS(P671="USD",O671,P671="VND",O671/26090,P671="JPY",O671/161)</f>
        <v>344.5</v>
      </c>
      <c r="R671" s="14">
        <v>21</v>
      </c>
      <c r="S671" s="14">
        <v>1</v>
      </c>
      <c r="T671" s="14"/>
      <c r="U671" s="14" t="s">
        <v>2849</v>
      </c>
      <c r="V671" s="14" t="s">
        <v>2857</v>
      </c>
      <c r="W671" s="14" t="s">
        <v>2858</v>
      </c>
      <c r="X671" s="17">
        <v>0</v>
      </c>
      <c r="Y671" s="15" t="s">
        <v>2875</v>
      </c>
      <c r="Z671" s="20">
        <v>46028</v>
      </c>
      <c r="AA671" s="20">
        <v>46393</v>
      </c>
      <c r="AB671" s="16"/>
      <c r="AC671" s="16"/>
      <c r="AD671" s="16"/>
      <c r="AE671" s="16" t="s">
        <v>2959</v>
      </c>
      <c r="AF671" s="16"/>
      <c r="AI671" s="3" t="str">
        <f t="shared" ca="1" si="10"/>
        <v>OK</v>
      </c>
    </row>
    <row r="672" spans="1:35" hidden="1" x14ac:dyDescent="0.3">
      <c r="A672" s="13">
        <v>46032</v>
      </c>
      <c r="B672" s="14" t="s">
        <v>2806</v>
      </c>
      <c r="C672" s="16"/>
      <c r="D672" s="16"/>
      <c r="E672" s="15" t="s">
        <v>849</v>
      </c>
      <c r="F672" s="15" t="s">
        <v>1243</v>
      </c>
      <c r="G672" s="15" t="s">
        <v>716</v>
      </c>
      <c r="H672" s="15" t="s">
        <v>849</v>
      </c>
      <c r="I672" s="15" t="s">
        <v>2574</v>
      </c>
      <c r="J672" s="15" t="s">
        <v>2575</v>
      </c>
      <c r="K672" s="16"/>
      <c r="L672" s="14" t="s">
        <v>2823</v>
      </c>
      <c r="M672" s="16"/>
      <c r="N672" s="15" t="s">
        <v>1192</v>
      </c>
      <c r="O672" s="14">
        <v>317.5</v>
      </c>
      <c r="P672" s="14" t="s">
        <v>2845</v>
      </c>
      <c r="Q672" s="14" cm="1">
        <f t="array" ref="Q672">_xlfn.IFS(P672="USD",O672,P672="VND",O672/26090,P672="JPY",O672/161)</f>
        <v>317.5</v>
      </c>
      <c r="R672" s="14">
        <v>21</v>
      </c>
      <c r="S672" s="14">
        <v>1</v>
      </c>
      <c r="T672" s="14"/>
      <c r="U672" s="14" t="s">
        <v>2849</v>
      </c>
      <c r="V672" s="14" t="s">
        <v>2857</v>
      </c>
      <c r="W672" s="14" t="s">
        <v>2858</v>
      </c>
      <c r="X672" s="17">
        <v>0</v>
      </c>
      <c r="Y672" s="15" t="s">
        <v>2875</v>
      </c>
      <c r="Z672" s="20">
        <v>46028</v>
      </c>
      <c r="AA672" s="20">
        <v>46393</v>
      </c>
      <c r="AB672" s="16"/>
      <c r="AC672" s="16"/>
      <c r="AD672" s="16"/>
      <c r="AE672" s="16" t="s">
        <v>2959</v>
      </c>
      <c r="AF672" s="16"/>
      <c r="AI672" s="3" t="str">
        <f t="shared" ca="1" si="10"/>
        <v>OK</v>
      </c>
    </row>
    <row r="673" spans="1:35" hidden="1" x14ac:dyDescent="0.3">
      <c r="A673" s="13">
        <v>46032</v>
      </c>
      <c r="B673" s="14" t="s">
        <v>2806</v>
      </c>
      <c r="C673" s="16"/>
      <c r="D673" s="16"/>
      <c r="E673" s="15" t="s">
        <v>875</v>
      </c>
      <c r="F673" s="15" t="s">
        <v>1261</v>
      </c>
      <c r="G673" s="15" t="s">
        <v>717</v>
      </c>
      <c r="H673" s="15"/>
      <c r="I673" s="15" t="s">
        <v>2576</v>
      </c>
      <c r="J673" s="15" t="s">
        <v>2577</v>
      </c>
      <c r="K673" s="16"/>
      <c r="L673" s="14" t="s">
        <v>2823</v>
      </c>
      <c r="M673" s="16"/>
      <c r="N673" s="15" t="s">
        <v>1193</v>
      </c>
      <c r="O673" s="14">
        <v>6.3</v>
      </c>
      <c r="P673" s="14" t="s">
        <v>2845</v>
      </c>
      <c r="Q673" s="14" cm="1">
        <f t="array" ref="Q673">_xlfn.IFS(P673="USD",O673,P673="VND",O673/26090,P673="JPY",O673/161)</f>
        <v>6.3</v>
      </c>
      <c r="R673" s="14">
        <v>42</v>
      </c>
      <c r="S673" s="14">
        <v>1</v>
      </c>
      <c r="T673" s="14"/>
      <c r="U673" s="14" t="s">
        <v>2848</v>
      </c>
      <c r="V673" s="14" t="s">
        <v>2857</v>
      </c>
      <c r="W673" s="14" t="s">
        <v>2858</v>
      </c>
      <c r="X673" s="17">
        <v>0</v>
      </c>
      <c r="Y673" s="15" t="s">
        <v>2875</v>
      </c>
      <c r="Z673" s="18" t="s">
        <v>2935</v>
      </c>
      <c r="AA673" s="18"/>
      <c r="AB673" s="16"/>
      <c r="AC673" s="16"/>
      <c r="AD673" s="16"/>
      <c r="AE673" s="16" t="s">
        <v>2999</v>
      </c>
      <c r="AF673" s="16"/>
      <c r="AI673" s="3" t="str">
        <f t="shared" ca="1" si="10"/>
        <v>OK</v>
      </c>
    </row>
    <row r="674" spans="1:35" hidden="1" x14ac:dyDescent="0.3">
      <c r="A674" s="13">
        <v>46032</v>
      </c>
      <c r="B674" s="14" t="s">
        <v>2806</v>
      </c>
      <c r="C674" s="16"/>
      <c r="D674" s="16"/>
      <c r="E674" s="15" t="s">
        <v>872</v>
      </c>
      <c r="F674" s="15" t="s">
        <v>1258</v>
      </c>
      <c r="G674" s="15" t="s">
        <v>718</v>
      </c>
      <c r="H674" s="15" t="s">
        <v>872</v>
      </c>
      <c r="I674" s="15" t="s">
        <v>2578</v>
      </c>
      <c r="J674" s="15" t="s">
        <v>2579</v>
      </c>
      <c r="K674" s="16"/>
      <c r="L674" s="14" t="s">
        <v>2823</v>
      </c>
      <c r="M674" s="16"/>
      <c r="N674" s="15" t="s">
        <v>1194</v>
      </c>
      <c r="O674" s="14">
        <v>312</v>
      </c>
      <c r="P674" s="14" t="s">
        <v>2845</v>
      </c>
      <c r="Q674" s="14" cm="1">
        <f t="array" ref="Q674">_xlfn.IFS(P674="USD",O674,P674="VND",O674/26090,P674="JPY",O674/161)</f>
        <v>312</v>
      </c>
      <c r="R674" s="14">
        <v>7</v>
      </c>
      <c r="S674" s="14">
        <v>1</v>
      </c>
      <c r="T674" s="14"/>
      <c r="U674" s="14" t="s">
        <v>2849</v>
      </c>
      <c r="V674" s="14" t="s">
        <v>2857</v>
      </c>
      <c r="W674" s="14" t="s">
        <v>2858</v>
      </c>
      <c r="X674" s="17">
        <v>0</v>
      </c>
      <c r="Y674" s="15" t="s">
        <v>2893</v>
      </c>
      <c r="Z674" s="18" t="s">
        <v>2930</v>
      </c>
      <c r="AA674" s="18"/>
      <c r="AB674" s="16"/>
      <c r="AC674" s="16"/>
      <c r="AD674" s="16"/>
      <c r="AE674" s="16" t="s">
        <v>2953</v>
      </c>
      <c r="AF674" s="16"/>
      <c r="AI674" s="3" t="str">
        <f t="shared" ca="1" si="10"/>
        <v>OK</v>
      </c>
    </row>
    <row r="675" spans="1:35" x14ac:dyDescent="0.3">
      <c r="A675" s="13">
        <v>46032</v>
      </c>
      <c r="B675" s="14" t="s">
        <v>2806</v>
      </c>
      <c r="C675" s="16"/>
      <c r="D675" s="16"/>
      <c r="E675" s="15" t="s">
        <v>891</v>
      </c>
      <c r="F675" s="15" t="s">
        <v>1276</v>
      </c>
      <c r="G675" s="15" t="s">
        <v>719</v>
      </c>
      <c r="H675" s="15" t="s">
        <v>891</v>
      </c>
      <c r="I675" s="15" t="s">
        <v>2580</v>
      </c>
      <c r="J675" s="15" t="s">
        <v>2581</v>
      </c>
      <c r="K675" s="16"/>
      <c r="L675" s="14" t="s">
        <v>2823</v>
      </c>
      <c r="M675" s="16"/>
      <c r="N675" s="15" t="s">
        <v>1195</v>
      </c>
      <c r="O675" s="14">
        <v>1.03</v>
      </c>
      <c r="P675" s="14" t="s">
        <v>2845</v>
      </c>
      <c r="Q675" s="14" cm="1">
        <f t="array" ref="Q675">_xlfn.IFS(P675="USD",O675,P675="VND",O675/26090,P675="JPY",O675/161)</f>
        <v>1.03</v>
      </c>
      <c r="R675" s="14">
        <v>42</v>
      </c>
      <c r="S675" s="14">
        <v>50</v>
      </c>
      <c r="T675" s="14"/>
      <c r="U675" s="14" t="s">
        <v>2848</v>
      </c>
      <c r="V675" s="14" t="s">
        <v>2857</v>
      </c>
      <c r="W675" s="14" t="s">
        <v>2858</v>
      </c>
      <c r="X675" s="17">
        <v>0</v>
      </c>
      <c r="Y675" s="15" t="s">
        <v>2901</v>
      </c>
      <c r="Z675" s="18" t="s">
        <v>2937</v>
      </c>
      <c r="AA675" s="22" t="s">
        <v>2938</v>
      </c>
      <c r="AB675" s="16"/>
      <c r="AC675" s="16"/>
      <c r="AD675" s="16"/>
      <c r="AE675" s="16" t="s">
        <v>2939</v>
      </c>
      <c r="AF675" s="16"/>
      <c r="AI675" s="3" t="str">
        <f t="shared" ca="1" si="10"/>
        <v>OK</v>
      </c>
    </row>
    <row r="676" spans="1:35" x14ac:dyDescent="0.3">
      <c r="A676" s="13">
        <v>46032</v>
      </c>
      <c r="B676" s="14" t="s">
        <v>2806</v>
      </c>
      <c r="C676" s="16"/>
      <c r="D676" s="16"/>
      <c r="E676" s="15" t="s">
        <v>891</v>
      </c>
      <c r="F676" s="15" t="s">
        <v>1276</v>
      </c>
      <c r="G676" s="15" t="s">
        <v>720</v>
      </c>
      <c r="H676" s="15" t="s">
        <v>891</v>
      </c>
      <c r="I676" s="15" t="s">
        <v>2582</v>
      </c>
      <c r="J676" s="15" t="s">
        <v>2583</v>
      </c>
      <c r="K676" s="16"/>
      <c r="L676" s="14" t="s">
        <v>2823</v>
      </c>
      <c r="M676" s="16"/>
      <c r="N676" s="15" t="s">
        <v>1195</v>
      </c>
      <c r="O676" s="14">
        <v>2.4500000000000002</v>
      </c>
      <c r="P676" s="14" t="s">
        <v>2845</v>
      </c>
      <c r="Q676" s="14" cm="1">
        <f t="array" ref="Q676">_xlfn.IFS(P676="USD",O676,P676="VND",O676/26090,P676="JPY",O676/161)</f>
        <v>2.4500000000000002</v>
      </c>
      <c r="R676" s="14">
        <v>42</v>
      </c>
      <c r="S676" s="14">
        <v>10</v>
      </c>
      <c r="T676" s="14"/>
      <c r="U676" s="14" t="s">
        <v>2848</v>
      </c>
      <c r="V676" s="14" t="s">
        <v>2857</v>
      </c>
      <c r="W676" s="14" t="s">
        <v>2858</v>
      </c>
      <c r="X676" s="17">
        <v>0</v>
      </c>
      <c r="Y676" s="15" t="s">
        <v>2901</v>
      </c>
      <c r="Z676" s="18" t="s">
        <v>2937</v>
      </c>
      <c r="AA676" s="22" t="s">
        <v>2938</v>
      </c>
      <c r="AB676" s="16"/>
      <c r="AC676" s="16"/>
      <c r="AD676" s="16"/>
      <c r="AE676" s="16" t="s">
        <v>2939</v>
      </c>
      <c r="AF676" s="16"/>
      <c r="AI676" s="3" t="str">
        <f t="shared" ca="1" si="10"/>
        <v>OK</v>
      </c>
    </row>
    <row r="677" spans="1:35" x14ac:dyDescent="0.3">
      <c r="A677" s="13">
        <v>46032</v>
      </c>
      <c r="B677" s="14" t="s">
        <v>2806</v>
      </c>
      <c r="C677" s="16"/>
      <c r="D677" s="16"/>
      <c r="E677" s="15" t="s">
        <v>891</v>
      </c>
      <c r="F677" s="15" t="s">
        <v>1276</v>
      </c>
      <c r="G677" s="15" t="s">
        <v>721</v>
      </c>
      <c r="H677" s="15" t="s">
        <v>891</v>
      </c>
      <c r="I677" s="15" t="s">
        <v>2584</v>
      </c>
      <c r="J677" s="15" t="s">
        <v>2585</v>
      </c>
      <c r="K677" s="16"/>
      <c r="L677" s="14" t="s">
        <v>2823</v>
      </c>
      <c r="M677" s="16"/>
      <c r="N677" s="15" t="s">
        <v>1195</v>
      </c>
      <c r="O677" s="14">
        <v>2.4500000000000002</v>
      </c>
      <c r="P677" s="14" t="s">
        <v>2845</v>
      </c>
      <c r="Q677" s="14" cm="1">
        <f t="array" ref="Q677">_xlfn.IFS(P677="USD",O677,P677="VND",O677/26090,P677="JPY",O677/161)</f>
        <v>2.4500000000000002</v>
      </c>
      <c r="R677" s="14">
        <v>42</v>
      </c>
      <c r="S677" s="14">
        <v>10</v>
      </c>
      <c r="T677" s="14"/>
      <c r="U677" s="14" t="s">
        <v>2848</v>
      </c>
      <c r="V677" s="14" t="s">
        <v>2857</v>
      </c>
      <c r="W677" s="14" t="s">
        <v>2858</v>
      </c>
      <c r="X677" s="17">
        <v>0</v>
      </c>
      <c r="Y677" s="15" t="s">
        <v>2901</v>
      </c>
      <c r="Z677" s="18" t="s">
        <v>2937</v>
      </c>
      <c r="AA677" s="22" t="s">
        <v>2938</v>
      </c>
      <c r="AB677" s="16"/>
      <c r="AC677" s="16"/>
      <c r="AD677" s="16"/>
      <c r="AE677" s="16" t="s">
        <v>2939</v>
      </c>
      <c r="AF677" s="16"/>
      <c r="AI677" s="3" t="str">
        <f t="shared" ca="1" si="10"/>
        <v>OK</v>
      </c>
    </row>
    <row r="678" spans="1:35" x14ac:dyDescent="0.3">
      <c r="A678" s="13">
        <v>46032</v>
      </c>
      <c r="B678" s="14" t="s">
        <v>2806</v>
      </c>
      <c r="C678" s="16"/>
      <c r="D678" s="16"/>
      <c r="E678" s="15" t="s">
        <v>899</v>
      </c>
      <c r="F678" s="15" t="s">
        <v>913</v>
      </c>
      <c r="G678" s="15" t="s">
        <v>722</v>
      </c>
      <c r="H678" s="15" t="s">
        <v>899</v>
      </c>
      <c r="I678" s="15" t="s">
        <v>2586</v>
      </c>
      <c r="J678" s="15" t="s">
        <v>2587</v>
      </c>
      <c r="K678" s="16"/>
      <c r="L678" s="14" t="s">
        <v>2819</v>
      </c>
      <c r="M678" s="16"/>
      <c r="N678" s="15" t="s">
        <v>1196</v>
      </c>
      <c r="O678" s="14">
        <v>851330</v>
      </c>
      <c r="P678" s="14" t="s">
        <v>2846</v>
      </c>
      <c r="Q678" s="14" cm="1">
        <f t="array" ref="Q678">_xlfn.IFS(P678="USD",O678,P678="VND",O678/26090,P678="JPY",O678/161)</f>
        <v>32.630509773859714</v>
      </c>
      <c r="R678" s="14">
        <v>30</v>
      </c>
      <c r="S678" s="14">
        <v>1</v>
      </c>
      <c r="T678" s="14"/>
      <c r="U678" s="14" t="s">
        <v>2848</v>
      </c>
      <c r="V678" s="14" t="s">
        <v>2857</v>
      </c>
      <c r="W678" s="14" t="s">
        <v>2858</v>
      </c>
      <c r="X678" s="17">
        <v>0</v>
      </c>
      <c r="Y678" s="15" t="s">
        <v>2875</v>
      </c>
      <c r="Z678" s="20">
        <v>46121</v>
      </c>
      <c r="AA678" s="23">
        <v>46122</v>
      </c>
      <c r="AB678" s="16"/>
      <c r="AC678" s="16"/>
      <c r="AD678" s="16"/>
      <c r="AE678" s="16" t="s">
        <v>3007</v>
      </c>
      <c r="AF678" s="16"/>
      <c r="AI678" s="3" t="str">
        <f t="shared" ca="1" si="10"/>
        <v>NG</v>
      </c>
    </row>
    <row r="679" spans="1:35" x14ac:dyDescent="0.3">
      <c r="A679" s="13">
        <v>46032</v>
      </c>
      <c r="B679" s="14" t="s">
        <v>2806</v>
      </c>
      <c r="C679" s="16"/>
      <c r="D679" s="16"/>
      <c r="E679" s="15" t="s">
        <v>899</v>
      </c>
      <c r="F679" s="15" t="s">
        <v>913</v>
      </c>
      <c r="G679" s="15" t="s">
        <v>723</v>
      </c>
      <c r="H679" s="15" t="s">
        <v>899</v>
      </c>
      <c r="I679" s="15" t="s">
        <v>2588</v>
      </c>
      <c r="J679" s="15" t="s">
        <v>2589</v>
      </c>
      <c r="K679" s="16"/>
      <c r="L679" s="14" t="s">
        <v>2819</v>
      </c>
      <c r="M679" s="16"/>
      <c r="N679" s="15" t="s">
        <v>1197</v>
      </c>
      <c r="O679" s="14">
        <v>221615</v>
      </c>
      <c r="P679" s="14" t="s">
        <v>2846</v>
      </c>
      <c r="Q679" s="14" cm="1">
        <f t="array" ref="Q679">_xlfn.IFS(P679="USD",O679,P679="VND",O679/26090,P679="JPY",O679/161)</f>
        <v>8.4942506707550791</v>
      </c>
      <c r="R679" s="14">
        <v>30</v>
      </c>
      <c r="S679" s="14">
        <v>1</v>
      </c>
      <c r="T679" s="14"/>
      <c r="U679" s="14" t="s">
        <v>2848</v>
      </c>
      <c r="V679" s="14" t="s">
        <v>2857</v>
      </c>
      <c r="W679" s="14" t="s">
        <v>2858</v>
      </c>
      <c r="X679" s="17">
        <v>0</v>
      </c>
      <c r="Y679" s="15" t="s">
        <v>2875</v>
      </c>
      <c r="Z679" s="20">
        <v>46121</v>
      </c>
      <c r="AA679" s="23">
        <v>46122</v>
      </c>
      <c r="AB679" s="16"/>
      <c r="AC679" s="16"/>
      <c r="AD679" s="16"/>
      <c r="AE679" s="16" t="s">
        <v>3007</v>
      </c>
      <c r="AF679" s="16"/>
      <c r="AI679" s="3" t="str">
        <f t="shared" ca="1" si="10"/>
        <v>NG</v>
      </c>
    </row>
    <row r="680" spans="1:35" x14ac:dyDescent="0.3">
      <c r="A680" s="13">
        <v>46032</v>
      </c>
      <c r="B680" s="14" t="s">
        <v>2806</v>
      </c>
      <c r="C680" s="16"/>
      <c r="D680" s="16"/>
      <c r="E680" s="15" t="s">
        <v>899</v>
      </c>
      <c r="F680" s="15" t="s">
        <v>913</v>
      </c>
      <c r="G680" s="15" t="s">
        <v>724</v>
      </c>
      <c r="H680" s="15" t="s">
        <v>899</v>
      </c>
      <c r="I680" s="15" t="s">
        <v>2590</v>
      </c>
      <c r="J680" s="15" t="s">
        <v>2591</v>
      </c>
      <c r="K680" s="16"/>
      <c r="L680" s="14" t="s">
        <v>2819</v>
      </c>
      <c r="M680" s="16"/>
      <c r="N680" s="15" t="s">
        <v>1198</v>
      </c>
      <c r="O680" s="14">
        <v>78530</v>
      </c>
      <c r="P680" s="14" t="s">
        <v>2846</v>
      </c>
      <c r="Q680" s="14" cm="1">
        <f t="array" ref="Q680">_xlfn.IFS(P680="USD",O680,P680="VND",O680/26090,P680="JPY",O680/161)</f>
        <v>3.0099655040245303</v>
      </c>
      <c r="R680" s="14">
        <v>30</v>
      </c>
      <c r="S680" s="14">
        <v>1</v>
      </c>
      <c r="T680" s="14"/>
      <c r="U680" s="14" t="s">
        <v>2848</v>
      </c>
      <c r="V680" s="14" t="s">
        <v>2857</v>
      </c>
      <c r="W680" s="14" t="s">
        <v>2858</v>
      </c>
      <c r="X680" s="17">
        <v>0</v>
      </c>
      <c r="Y680" s="15" t="s">
        <v>2875</v>
      </c>
      <c r="Z680" s="20">
        <v>46121</v>
      </c>
      <c r="AA680" s="23">
        <v>46122</v>
      </c>
      <c r="AB680" s="16"/>
      <c r="AC680" s="16"/>
      <c r="AD680" s="16"/>
      <c r="AE680" s="16" t="s">
        <v>3007</v>
      </c>
      <c r="AF680" s="16"/>
      <c r="AI680" s="3" t="str">
        <f t="shared" ca="1" si="10"/>
        <v>NG</v>
      </c>
    </row>
    <row r="681" spans="1:35" x14ac:dyDescent="0.3">
      <c r="A681" s="13">
        <v>46032</v>
      </c>
      <c r="B681" s="14" t="s">
        <v>2806</v>
      </c>
      <c r="C681" s="16"/>
      <c r="D681" s="16"/>
      <c r="E681" s="15" t="s">
        <v>899</v>
      </c>
      <c r="F681" s="15" t="s">
        <v>913</v>
      </c>
      <c r="G681" s="15" t="s">
        <v>725</v>
      </c>
      <c r="H681" s="15" t="s">
        <v>899</v>
      </c>
      <c r="I681" s="15" t="s">
        <v>2592</v>
      </c>
      <c r="J681" s="15" t="s">
        <v>2593</v>
      </c>
      <c r="K681" s="16"/>
      <c r="L681" s="14" t="s">
        <v>2819</v>
      </c>
      <c r="M681" s="16"/>
      <c r="N681" s="15" t="s">
        <v>1168</v>
      </c>
      <c r="O681" s="14">
        <v>2759</v>
      </c>
      <c r="P681" s="14" t="s">
        <v>2846</v>
      </c>
      <c r="Q681" s="14" cm="1">
        <f t="array" ref="Q681">_xlfn.IFS(P681="USD",O681,P681="VND",O681/26090,P681="JPY",O681/161)</f>
        <v>0.10574932924492142</v>
      </c>
      <c r="R681" s="14">
        <v>30</v>
      </c>
      <c r="S681" s="14">
        <v>1</v>
      </c>
      <c r="T681" s="14"/>
      <c r="U681" s="14" t="s">
        <v>2848</v>
      </c>
      <c r="V681" s="14" t="s">
        <v>2857</v>
      </c>
      <c r="W681" s="14" t="s">
        <v>2858</v>
      </c>
      <c r="X681" s="17">
        <v>0</v>
      </c>
      <c r="Y681" s="15" t="s">
        <v>2875</v>
      </c>
      <c r="Z681" s="20">
        <v>46121</v>
      </c>
      <c r="AA681" s="23">
        <v>46122</v>
      </c>
      <c r="AB681" s="16"/>
      <c r="AC681" s="16"/>
      <c r="AD681" s="16"/>
      <c r="AE681" s="16" t="s">
        <v>3007</v>
      </c>
      <c r="AF681" s="16"/>
      <c r="AI681" s="3" t="str">
        <f t="shared" ca="1" si="10"/>
        <v>NG</v>
      </c>
    </row>
    <row r="682" spans="1:35" x14ac:dyDescent="0.3">
      <c r="A682" s="13">
        <v>46032</v>
      </c>
      <c r="B682" s="14" t="s">
        <v>2806</v>
      </c>
      <c r="C682" s="16"/>
      <c r="D682" s="16"/>
      <c r="E682" s="15" t="s">
        <v>899</v>
      </c>
      <c r="F682" s="15" t="s">
        <v>913</v>
      </c>
      <c r="G682" s="15" t="s">
        <v>726</v>
      </c>
      <c r="H682" s="15" t="s">
        <v>899</v>
      </c>
      <c r="I682" s="15" t="s">
        <v>2594</v>
      </c>
      <c r="J682" s="15" t="s">
        <v>2593</v>
      </c>
      <c r="K682" s="16"/>
      <c r="L682" s="14" t="s">
        <v>2819</v>
      </c>
      <c r="M682" s="16"/>
      <c r="N682" s="15" t="s">
        <v>1168</v>
      </c>
      <c r="O682" s="14">
        <v>623</v>
      </c>
      <c r="P682" s="14" t="s">
        <v>2846</v>
      </c>
      <c r="Q682" s="14" cm="1">
        <f t="array" ref="Q682">_xlfn.IFS(P682="USD",O682,P682="VND",O682/26090,P682="JPY",O682/161)</f>
        <v>2.3878880797240321E-2</v>
      </c>
      <c r="R682" s="14">
        <v>30</v>
      </c>
      <c r="S682" s="14">
        <v>1</v>
      </c>
      <c r="T682" s="14"/>
      <c r="U682" s="14" t="s">
        <v>2848</v>
      </c>
      <c r="V682" s="14" t="s">
        <v>2857</v>
      </c>
      <c r="W682" s="14" t="s">
        <v>2858</v>
      </c>
      <c r="X682" s="17">
        <v>0</v>
      </c>
      <c r="Y682" s="15" t="s">
        <v>2875</v>
      </c>
      <c r="Z682" s="20">
        <v>46121</v>
      </c>
      <c r="AA682" s="23">
        <v>46122</v>
      </c>
      <c r="AB682" s="16"/>
      <c r="AC682" s="16"/>
      <c r="AD682" s="16"/>
      <c r="AE682" s="16" t="s">
        <v>3007</v>
      </c>
      <c r="AF682" s="16"/>
      <c r="AI682" s="3" t="str">
        <f t="shared" ca="1" si="10"/>
        <v>NG</v>
      </c>
    </row>
    <row r="683" spans="1:35" x14ac:dyDescent="0.3">
      <c r="A683" s="13">
        <v>46032</v>
      </c>
      <c r="B683" s="14" t="s">
        <v>2806</v>
      </c>
      <c r="C683" s="16"/>
      <c r="D683" s="16"/>
      <c r="E683" s="15" t="s">
        <v>899</v>
      </c>
      <c r="F683" s="15" t="s">
        <v>913</v>
      </c>
      <c r="G683" s="15" t="s">
        <v>727</v>
      </c>
      <c r="H683" s="15" t="s">
        <v>899</v>
      </c>
      <c r="I683" s="15" t="s">
        <v>2595</v>
      </c>
      <c r="J683" s="15" t="s">
        <v>2593</v>
      </c>
      <c r="K683" s="16"/>
      <c r="L683" s="14" t="s">
        <v>2819</v>
      </c>
      <c r="M683" s="16"/>
      <c r="N683" s="15" t="s">
        <v>1168</v>
      </c>
      <c r="O683" s="14">
        <v>3284</v>
      </c>
      <c r="P683" s="14" t="s">
        <v>2846</v>
      </c>
      <c r="Q683" s="14" cm="1">
        <f t="array" ref="Q683">_xlfn.IFS(P683="USD",O683,P683="VND",O683/26090,P683="JPY",O683/161)</f>
        <v>0.12587198160214641</v>
      </c>
      <c r="R683" s="14">
        <v>30</v>
      </c>
      <c r="S683" s="14">
        <v>1</v>
      </c>
      <c r="T683" s="14"/>
      <c r="U683" s="14" t="s">
        <v>2848</v>
      </c>
      <c r="V683" s="14" t="s">
        <v>2857</v>
      </c>
      <c r="W683" s="14" t="s">
        <v>2858</v>
      </c>
      <c r="X683" s="17">
        <v>0</v>
      </c>
      <c r="Y683" s="15" t="s">
        <v>2875</v>
      </c>
      <c r="Z683" s="20">
        <v>46121</v>
      </c>
      <c r="AA683" s="23">
        <v>46122</v>
      </c>
      <c r="AB683" s="16"/>
      <c r="AC683" s="16"/>
      <c r="AD683" s="16"/>
      <c r="AE683" s="16" t="s">
        <v>3007</v>
      </c>
      <c r="AF683" s="16"/>
      <c r="AI683" s="3" t="str">
        <f t="shared" ca="1" si="10"/>
        <v>NG</v>
      </c>
    </row>
    <row r="684" spans="1:35" x14ac:dyDescent="0.3">
      <c r="A684" s="13">
        <v>46032</v>
      </c>
      <c r="B684" s="14" t="s">
        <v>2806</v>
      </c>
      <c r="C684" s="16"/>
      <c r="D684" s="16"/>
      <c r="E684" s="15" t="s">
        <v>899</v>
      </c>
      <c r="F684" s="15" t="s">
        <v>913</v>
      </c>
      <c r="G684" s="15" t="s">
        <v>728</v>
      </c>
      <c r="H684" s="15" t="s">
        <v>899</v>
      </c>
      <c r="I684" s="15" t="s">
        <v>2596</v>
      </c>
      <c r="J684" s="15" t="s">
        <v>2593</v>
      </c>
      <c r="K684" s="16"/>
      <c r="L684" s="14" t="s">
        <v>2819</v>
      </c>
      <c r="M684" s="16"/>
      <c r="N684" s="15" t="s">
        <v>1168</v>
      </c>
      <c r="O684" s="14">
        <v>3283</v>
      </c>
      <c r="P684" s="14" t="s">
        <v>2846</v>
      </c>
      <c r="Q684" s="14" cm="1">
        <f t="array" ref="Q684">_xlfn.IFS(P684="USD",O684,P684="VND",O684/26090,P684="JPY",O684/161)</f>
        <v>0.12583365274051361</v>
      </c>
      <c r="R684" s="14">
        <v>30</v>
      </c>
      <c r="S684" s="14">
        <v>1</v>
      </c>
      <c r="T684" s="14"/>
      <c r="U684" s="14" t="s">
        <v>2848</v>
      </c>
      <c r="V684" s="14" t="s">
        <v>2857</v>
      </c>
      <c r="W684" s="14" t="s">
        <v>2858</v>
      </c>
      <c r="X684" s="17">
        <v>0</v>
      </c>
      <c r="Y684" s="15" t="s">
        <v>2875</v>
      </c>
      <c r="Z684" s="20">
        <v>46121</v>
      </c>
      <c r="AA684" s="23">
        <v>46122</v>
      </c>
      <c r="AB684" s="16"/>
      <c r="AC684" s="16"/>
      <c r="AD684" s="16"/>
      <c r="AE684" s="16" t="s">
        <v>3007</v>
      </c>
      <c r="AF684" s="16"/>
      <c r="AI684" s="3" t="str">
        <f t="shared" ca="1" si="10"/>
        <v>NG</v>
      </c>
    </row>
    <row r="685" spans="1:35" x14ac:dyDescent="0.3">
      <c r="A685" s="13">
        <v>46032</v>
      </c>
      <c r="B685" s="14" t="s">
        <v>2806</v>
      </c>
      <c r="C685" s="16"/>
      <c r="D685" s="16"/>
      <c r="E685" s="15" t="s">
        <v>899</v>
      </c>
      <c r="F685" s="15" t="s">
        <v>913</v>
      </c>
      <c r="G685" s="15" t="s">
        <v>729</v>
      </c>
      <c r="H685" s="15" t="s">
        <v>899</v>
      </c>
      <c r="I685" s="15" t="s">
        <v>2597</v>
      </c>
      <c r="J685" s="15" t="s">
        <v>2593</v>
      </c>
      <c r="K685" s="16"/>
      <c r="L685" s="14" t="s">
        <v>2819</v>
      </c>
      <c r="M685" s="16"/>
      <c r="N685" s="15" t="s">
        <v>1168</v>
      </c>
      <c r="O685" s="14">
        <v>804</v>
      </c>
      <c r="P685" s="14" t="s">
        <v>2846</v>
      </c>
      <c r="Q685" s="14" cm="1">
        <f t="array" ref="Q685">_xlfn.IFS(P685="USD",O685,P685="VND",O685/26090,P685="JPY",O685/161)</f>
        <v>3.0816404752778841E-2</v>
      </c>
      <c r="R685" s="14">
        <v>30</v>
      </c>
      <c r="S685" s="14">
        <v>1</v>
      </c>
      <c r="T685" s="14"/>
      <c r="U685" s="14" t="s">
        <v>2848</v>
      </c>
      <c r="V685" s="14" t="s">
        <v>2857</v>
      </c>
      <c r="W685" s="14" t="s">
        <v>2858</v>
      </c>
      <c r="X685" s="17">
        <v>0</v>
      </c>
      <c r="Y685" s="15" t="s">
        <v>2875</v>
      </c>
      <c r="Z685" s="20">
        <v>46121</v>
      </c>
      <c r="AA685" s="23">
        <v>46122</v>
      </c>
      <c r="AB685" s="16"/>
      <c r="AC685" s="16"/>
      <c r="AD685" s="16"/>
      <c r="AE685" s="16" t="s">
        <v>3007</v>
      </c>
      <c r="AF685" s="16"/>
      <c r="AI685" s="3" t="str">
        <f t="shared" ca="1" si="10"/>
        <v>NG</v>
      </c>
    </row>
    <row r="686" spans="1:35" x14ac:dyDescent="0.3">
      <c r="A686" s="13">
        <v>46032</v>
      </c>
      <c r="B686" s="14" t="s">
        <v>2806</v>
      </c>
      <c r="C686" s="16"/>
      <c r="D686" s="16"/>
      <c r="E686" s="15" t="s">
        <v>899</v>
      </c>
      <c r="F686" s="15" t="s">
        <v>913</v>
      </c>
      <c r="G686" s="15" t="s">
        <v>730</v>
      </c>
      <c r="H686" s="15" t="s">
        <v>899</v>
      </c>
      <c r="I686" s="15" t="s">
        <v>2598</v>
      </c>
      <c r="J686" s="15" t="s">
        <v>2593</v>
      </c>
      <c r="K686" s="16"/>
      <c r="L686" s="14" t="s">
        <v>2819</v>
      </c>
      <c r="M686" s="16"/>
      <c r="N686" s="15" t="s">
        <v>1168</v>
      </c>
      <c r="O686" s="14">
        <v>4466</v>
      </c>
      <c r="P686" s="14" t="s">
        <v>2846</v>
      </c>
      <c r="Q686" s="14" cm="1">
        <f t="array" ref="Q686">_xlfn.IFS(P686="USD",O686,P686="VND",O686/26090,P686="JPY",O686/161)</f>
        <v>0.17117669605212726</v>
      </c>
      <c r="R686" s="14">
        <v>30</v>
      </c>
      <c r="S686" s="14">
        <v>1</v>
      </c>
      <c r="T686" s="14"/>
      <c r="U686" s="14" t="s">
        <v>2848</v>
      </c>
      <c r="V686" s="14" t="s">
        <v>2857</v>
      </c>
      <c r="W686" s="14" t="s">
        <v>2858</v>
      </c>
      <c r="X686" s="17">
        <v>0</v>
      </c>
      <c r="Y686" s="15" t="s">
        <v>2875</v>
      </c>
      <c r="Z686" s="20">
        <v>46121</v>
      </c>
      <c r="AA686" s="23">
        <v>46122</v>
      </c>
      <c r="AB686" s="16"/>
      <c r="AC686" s="16"/>
      <c r="AD686" s="16"/>
      <c r="AE686" s="16" t="s">
        <v>3007</v>
      </c>
      <c r="AF686" s="16"/>
      <c r="AI686" s="3" t="str">
        <f t="shared" ca="1" si="10"/>
        <v>NG</v>
      </c>
    </row>
    <row r="687" spans="1:35" x14ac:dyDescent="0.3">
      <c r="A687" s="13">
        <v>46032</v>
      </c>
      <c r="B687" s="14" t="s">
        <v>2806</v>
      </c>
      <c r="C687" s="16"/>
      <c r="D687" s="16"/>
      <c r="E687" s="15" t="s">
        <v>899</v>
      </c>
      <c r="F687" s="15" t="s">
        <v>913</v>
      </c>
      <c r="G687" s="15" t="s">
        <v>731</v>
      </c>
      <c r="H687" s="15" t="s">
        <v>899</v>
      </c>
      <c r="I687" s="15" t="s">
        <v>2599</v>
      </c>
      <c r="J687" s="15" t="s">
        <v>2593</v>
      </c>
      <c r="K687" s="16"/>
      <c r="L687" s="14" t="s">
        <v>2819</v>
      </c>
      <c r="M687" s="16"/>
      <c r="N687" s="15" t="s">
        <v>1168</v>
      </c>
      <c r="O687" s="14">
        <v>1901</v>
      </c>
      <c r="P687" s="14" t="s">
        <v>2846</v>
      </c>
      <c r="Q687" s="14" cm="1">
        <f t="array" ref="Q687">_xlfn.IFS(P687="USD",O687,P687="VND",O687/26090,P687="JPY",O687/161)</f>
        <v>7.2863165963970869E-2</v>
      </c>
      <c r="R687" s="14">
        <v>30</v>
      </c>
      <c r="S687" s="14">
        <v>1</v>
      </c>
      <c r="T687" s="14"/>
      <c r="U687" s="14" t="s">
        <v>2848</v>
      </c>
      <c r="V687" s="14" t="s">
        <v>2857</v>
      </c>
      <c r="W687" s="14" t="s">
        <v>2858</v>
      </c>
      <c r="X687" s="17">
        <v>0</v>
      </c>
      <c r="Y687" s="15" t="s">
        <v>2875</v>
      </c>
      <c r="Z687" s="20">
        <v>46121</v>
      </c>
      <c r="AA687" s="23">
        <v>46122</v>
      </c>
      <c r="AB687" s="16"/>
      <c r="AC687" s="16"/>
      <c r="AD687" s="16"/>
      <c r="AE687" s="16" t="s">
        <v>3007</v>
      </c>
      <c r="AF687" s="16"/>
      <c r="AI687" s="3" t="str">
        <f t="shared" ca="1" si="10"/>
        <v>NG</v>
      </c>
    </row>
    <row r="688" spans="1:35" x14ac:dyDescent="0.3">
      <c r="A688" s="13">
        <v>46032</v>
      </c>
      <c r="B688" s="14" t="s">
        <v>2806</v>
      </c>
      <c r="C688" s="16"/>
      <c r="D688" s="16"/>
      <c r="E688" s="15" t="s">
        <v>899</v>
      </c>
      <c r="F688" s="15" t="s">
        <v>913</v>
      </c>
      <c r="G688" s="15" t="s">
        <v>732</v>
      </c>
      <c r="H688" s="15" t="s">
        <v>899</v>
      </c>
      <c r="I688" s="15" t="s">
        <v>2600</v>
      </c>
      <c r="J688" s="15" t="s">
        <v>2593</v>
      </c>
      <c r="K688" s="16"/>
      <c r="L688" s="14" t="s">
        <v>2819</v>
      </c>
      <c r="M688" s="16"/>
      <c r="N688" s="15" t="s">
        <v>1168</v>
      </c>
      <c r="O688" s="14">
        <v>1627</v>
      </c>
      <c r="P688" s="14" t="s">
        <v>2846</v>
      </c>
      <c r="Q688" s="14" cm="1">
        <f t="array" ref="Q688">_xlfn.IFS(P688="USD",O688,P688="VND",O688/26090,P688="JPY",O688/161)</f>
        <v>6.2361057876581062E-2</v>
      </c>
      <c r="R688" s="14">
        <v>30</v>
      </c>
      <c r="S688" s="14">
        <v>1</v>
      </c>
      <c r="T688" s="14"/>
      <c r="U688" s="14" t="s">
        <v>2848</v>
      </c>
      <c r="V688" s="14" t="s">
        <v>2857</v>
      </c>
      <c r="W688" s="14" t="s">
        <v>2858</v>
      </c>
      <c r="X688" s="17">
        <v>0</v>
      </c>
      <c r="Y688" s="15" t="s">
        <v>2875</v>
      </c>
      <c r="Z688" s="20">
        <v>46121</v>
      </c>
      <c r="AA688" s="23">
        <v>46122</v>
      </c>
      <c r="AB688" s="16"/>
      <c r="AC688" s="16"/>
      <c r="AD688" s="16"/>
      <c r="AE688" s="16" t="s">
        <v>3007</v>
      </c>
      <c r="AF688" s="16"/>
      <c r="AI688" s="3" t="str">
        <f t="shared" ca="1" si="10"/>
        <v>NG</v>
      </c>
    </row>
    <row r="689" spans="1:35" x14ac:dyDescent="0.3">
      <c r="A689" s="13">
        <v>46032</v>
      </c>
      <c r="B689" s="14" t="s">
        <v>2806</v>
      </c>
      <c r="C689" s="16"/>
      <c r="D689" s="16"/>
      <c r="E689" s="15" t="s">
        <v>899</v>
      </c>
      <c r="F689" s="15" t="s">
        <v>913</v>
      </c>
      <c r="G689" s="15" t="s">
        <v>733</v>
      </c>
      <c r="H689" s="15" t="s">
        <v>899</v>
      </c>
      <c r="I689" s="15" t="s">
        <v>2601</v>
      </c>
      <c r="J689" s="15" t="s">
        <v>2593</v>
      </c>
      <c r="K689" s="16"/>
      <c r="L689" s="14" t="s">
        <v>2819</v>
      </c>
      <c r="M689" s="16"/>
      <c r="N689" s="15" t="s">
        <v>1168</v>
      </c>
      <c r="O689" s="14">
        <v>4466</v>
      </c>
      <c r="P689" s="14" t="s">
        <v>2846</v>
      </c>
      <c r="Q689" s="14" cm="1">
        <f t="array" ref="Q689">_xlfn.IFS(P689="USD",O689,P689="VND",O689/26090,P689="JPY",O689/161)</f>
        <v>0.17117669605212726</v>
      </c>
      <c r="R689" s="14">
        <v>30</v>
      </c>
      <c r="S689" s="14">
        <v>1</v>
      </c>
      <c r="T689" s="14"/>
      <c r="U689" s="14" t="s">
        <v>2848</v>
      </c>
      <c r="V689" s="14" t="s">
        <v>2857</v>
      </c>
      <c r="W689" s="14" t="s">
        <v>2858</v>
      </c>
      <c r="X689" s="17">
        <v>0</v>
      </c>
      <c r="Y689" s="15" t="s">
        <v>2875</v>
      </c>
      <c r="Z689" s="20">
        <v>46121</v>
      </c>
      <c r="AA689" s="23">
        <v>46122</v>
      </c>
      <c r="AB689" s="16"/>
      <c r="AC689" s="16"/>
      <c r="AD689" s="16"/>
      <c r="AE689" s="16" t="s">
        <v>3007</v>
      </c>
      <c r="AF689" s="16"/>
      <c r="AI689" s="3" t="str">
        <f t="shared" ca="1" si="10"/>
        <v>NG</v>
      </c>
    </row>
    <row r="690" spans="1:35" x14ac:dyDescent="0.3">
      <c r="A690" s="13">
        <v>46032</v>
      </c>
      <c r="B690" s="14" t="s">
        <v>2806</v>
      </c>
      <c r="C690" s="16"/>
      <c r="D690" s="16"/>
      <c r="E690" s="15" t="s">
        <v>899</v>
      </c>
      <c r="F690" s="15" t="s">
        <v>913</v>
      </c>
      <c r="G690" s="15" t="s">
        <v>734</v>
      </c>
      <c r="H690" s="15" t="s">
        <v>899</v>
      </c>
      <c r="I690" s="15" t="s">
        <v>2602</v>
      </c>
      <c r="J690" s="15" t="s">
        <v>2593</v>
      </c>
      <c r="K690" s="16"/>
      <c r="L690" s="14" t="s">
        <v>2819</v>
      </c>
      <c r="M690" s="16"/>
      <c r="N690" s="15" t="s">
        <v>1168</v>
      </c>
      <c r="O690" s="14">
        <v>2057</v>
      </c>
      <c r="P690" s="14" t="s">
        <v>2846</v>
      </c>
      <c r="Q690" s="14" cm="1">
        <f t="array" ref="Q690">_xlfn.IFS(P690="USD",O690,P690="VND",O690/26090,P690="JPY",O690/161)</f>
        <v>7.8842468378689148E-2</v>
      </c>
      <c r="R690" s="14">
        <v>30</v>
      </c>
      <c r="S690" s="14">
        <v>1</v>
      </c>
      <c r="T690" s="14"/>
      <c r="U690" s="14" t="s">
        <v>2848</v>
      </c>
      <c r="V690" s="14" t="s">
        <v>2857</v>
      </c>
      <c r="W690" s="14" t="s">
        <v>2858</v>
      </c>
      <c r="X690" s="17">
        <v>0</v>
      </c>
      <c r="Y690" s="15" t="s">
        <v>2875</v>
      </c>
      <c r="Z690" s="20">
        <v>46121</v>
      </c>
      <c r="AA690" s="23">
        <v>46122</v>
      </c>
      <c r="AB690" s="16"/>
      <c r="AC690" s="16"/>
      <c r="AD690" s="16"/>
      <c r="AE690" s="16" t="s">
        <v>3007</v>
      </c>
      <c r="AF690" s="16"/>
      <c r="AI690" s="3" t="str">
        <f t="shared" ca="1" si="10"/>
        <v>NG</v>
      </c>
    </row>
    <row r="691" spans="1:35" x14ac:dyDescent="0.3">
      <c r="A691" s="13">
        <v>46032</v>
      </c>
      <c r="B691" s="14" t="s">
        <v>2806</v>
      </c>
      <c r="C691" s="16"/>
      <c r="D691" s="16"/>
      <c r="E691" s="15" t="s">
        <v>899</v>
      </c>
      <c r="F691" s="15" t="s">
        <v>913</v>
      </c>
      <c r="G691" s="15" t="s">
        <v>735</v>
      </c>
      <c r="H691" s="15" t="s">
        <v>899</v>
      </c>
      <c r="I691" s="15" t="s">
        <v>2603</v>
      </c>
      <c r="J691" s="15" t="s">
        <v>2604</v>
      </c>
      <c r="K691" s="16"/>
      <c r="L691" s="14" t="s">
        <v>2819</v>
      </c>
      <c r="M691" s="16"/>
      <c r="N691" s="15" t="s">
        <v>1168</v>
      </c>
      <c r="O691" s="14">
        <v>8650</v>
      </c>
      <c r="P691" s="14" t="s">
        <v>2846</v>
      </c>
      <c r="Q691" s="14" cm="1">
        <f t="array" ref="Q691">_xlfn.IFS(P691="USD",O691,P691="VND",O691/26090,P691="JPY",O691/161)</f>
        <v>0.33154465312380221</v>
      </c>
      <c r="R691" s="14">
        <v>30</v>
      </c>
      <c r="S691" s="14">
        <v>1</v>
      </c>
      <c r="T691" s="14"/>
      <c r="U691" s="14" t="s">
        <v>2848</v>
      </c>
      <c r="V691" s="14" t="s">
        <v>2857</v>
      </c>
      <c r="W691" s="14" t="s">
        <v>2858</v>
      </c>
      <c r="X691" s="17">
        <v>0</v>
      </c>
      <c r="Y691" s="15" t="s">
        <v>2875</v>
      </c>
      <c r="Z691" s="20">
        <v>46121</v>
      </c>
      <c r="AA691" s="23">
        <v>46122</v>
      </c>
      <c r="AB691" s="16"/>
      <c r="AC691" s="16"/>
      <c r="AD691" s="16"/>
      <c r="AE691" s="16" t="s">
        <v>3007</v>
      </c>
      <c r="AF691" s="16"/>
      <c r="AI691" s="3" t="str">
        <f t="shared" ca="1" si="10"/>
        <v>NG</v>
      </c>
    </row>
    <row r="692" spans="1:35" x14ac:dyDescent="0.3">
      <c r="A692" s="13">
        <v>46032</v>
      </c>
      <c r="B692" s="14" t="s">
        <v>2806</v>
      </c>
      <c r="C692" s="16"/>
      <c r="D692" s="16"/>
      <c r="E692" s="15" t="s">
        <v>899</v>
      </c>
      <c r="F692" s="15" t="s">
        <v>913</v>
      </c>
      <c r="G692" s="15" t="s">
        <v>736</v>
      </c>
      <c r="H692" s="15" t="s">
        <v>899</v>
      </c>
      <c r="I692" s="15" t="s">
        <v>2605</v>
      </c>
      <c r="J692" s="15" t="s">
        <v>2606</v>
      </c>
      <c r="K692" s="16"/>
      <c r="L692" s="14" t="s">
        <v>2819</v>
      </c>
      <c r="M692" s="16"/>
      <c r="N692" s="15" t="s">
        <v>1168</v>
      </c>
      <c r="O692" s="14">
        <v>8445</v>
      </c>
      <c r="P692" s="14" t="s">
        <v>2846</v>
      </c>
      <c r="Q692" s="14" cm="1">
        <f t="array" ref="Q692">_xlfn.IFS(P692="USD",O692,P692="VND",O692/26090,P692="JPY",O692/161)</f>
        <v>0.32368723648907627</v>
      </c>
      <c r="R692" s="14">
        <v>30</v>
      </c>
      <c r="S692" s="14">
        <v>1</v>
      </c>
      <c r="T692" s="14"/>
      <c r="U692" s="14" t="s">
        <v>2848</v>
      </c>
      <c r="V692" s="14" t="s">
        <v>2857</v>
      </c>
      <c r="W692" s="14" t="s">
        <v>2858</v>
      </c>
      <c r="X692" s="17">
        <v>0</v>
      </c>
      <c r="Y692" s="15" t="s">
        <v>2875</v>
      </c>
      <c r="Z692" s="20">
        <v>46121</v>
      </c>
      <c r="AA692" s="23">
        <v>46122</v>
      </c>
      <c r="AB692" s="16"/>
      <c r="AC692" s="16"/>
      <c r="AD692" s="16"/>
      <c r="AE692" s="16" t="s">
        <v>3007</v>
      </c>
      <c r="AF692" s="16"/>
      <c r="AI692" s="3" t="str">
        <f t="shared" ca="1" si="10"/>
        <v>NG</v>
      </c>
    </row>
    <row r="693" spans="1:35" x14ac:dyDescent="0.3">
      <c r="A693" s="13">
        <v>46032</v>
      </c>
      <c r="B693" s="14" t="s">
        <v>2806</v>
      </c>
      <c r="C693" s="16"/>
      <c r="D693" s="16"/>
      <c r="E693" s="15" t="s">
        <v>898</v>
      </c>
      <c r="F693" s="15" t="s">
        <v>1280</v>
      </c>
      <c r="G693" s="15" t="s">
        <v>737</v>
      </c>
      <c r="H693" s="15" t="s">
        <v>898</v>
      </c>
      <c r="I693" s="15" t="s">
        <v>2607</v>
      </c>
      <c r="J693" s="15" t="s">
        <v>2608</v>
      </c>
      <c r="K693" s="16"/>
      <c r="L693" s="14" t="s">
        <v>2832</v>
      </c>
      <c r="M693" s="16"/>
      <c r="N693" s="15" t="s">
        <v>1172</v>
      </c>
      <c r="O693" s="14">
        <v>946000</v>
      </c>
      <c r="P693" s="14" t="s">
        <v>2846</v>
      </c>
      <c r="Q693" s="14" cm="1">
        <f t="array" ref="Q693">_xlfn.IFS(P693="USD",O693,P693="VND",O693/26090,P693="JPY",O693/161)</f>
        <v>36.259103104637795</v>
      </c>
      <c r="R693" s="14">
        <v>14</v>
      </c>
      <c r="S693" s="14">
        <v>1</v>
      </c>
      <c r="T693" s="14"/>
      <c r="U693" s="14" t="s">
        <v>2848</v>
      </c>
      <c r="V693" s="14" t="s">
        <v>2857</v>
      </c>
      <c r="W693" s="14" t="s">
        <v>2858</v>
      </c>
      <c r="X693" s="17">
        <v>0</v>
      </c>
      <c r="Y693" s="15" t="s">
        <v>2875</v>
      </c>
      <c r="Z693" s="20">
        <v>46121</v>
      </c>
      <c r="AA693" s="22" t="s">
        <v>2973</v>
      </c>
      <c r="AB693" s="16"/>
      <c r="AC693" s="16"/>
      <c r="AD693" s="16"/>
      <c r="AE693" s="16" t="s">
        <v>2993</v>
      </c>
      <c r="AF693" s="16"/>
      <c r="AI693" s="3" t="str">
        <f t="shared" ca="1" si="10"/>
        <v>OK</v>
      </c>
    </row>
    <row r="694" spans="1:35" x14ac:dyDescent="0.3">
      <c r="A694" s="13">
        <v>46032</v>
      </c>
      <c r="B694" s="14" t="s">
        <v>2806</v>
      </c>
      <c r="C694" s="16"/>
      <c r="D694" s="16"/>
      <c r="E694" s="15" t="s">
        <v>862</v>
      </c>
      <c r="F694" s="15" t="s">
        <v>1251</v>
      </c>
      <c r="G694" s="15" t="s">
        <v>738</v>
      </c>
      <c r="H694" s="15" t="s">
        <v>862</v>
      </c>
      <c r="I694" s="15" t="s">
        <v>2609</v>
      </c>
      <c r="J694" s="15" t="s">
        <v>2610</v>
      </c>
      <c r="K694" s="16"/>
      <c r="L694" s="14" t="s">
        <v>2831</v>
      </c>
      <c r="M694" s="16"/>
      <c r="N694" s="15" t="s">
        <v>1199</v>
      </c>
      <c r="O694" s="14">
        <v>490000</v>
      </c>
      <c r="P694" s="14" t="s">
        <v>2846</v>
      </c>
      <c r="Q694" s="14" cm="1">
        <f t="array" ref="Q694">_xlfn.IFS(P694="USD",O694,P694="VND",O694/26090,P694="JPY",O694/161)</f>
        <v>18.781142200076658</v>
      </c>
      <c r="R694" s="14">
        <v>15</v>
      </c>
      <c r="S694" s="14">
        <v>4</v>
      </c>
      <c r="T694" s="14"/>
      <c r="U694" s="14" t="s">
        <v>2848</v>
      </c>
      <c r="V694" s="14" t="s">
        <v>2857</v>
      </c>
      <c r="W694" s="14" t="s">
        <v>2858</v>
      </c>
      <c r="X694" s="17">
        <v>0</v>
      </c>
      <c r="Y694" s="15" t="s">
        <v>2875</v>
      </c>
      <c r="Z694" s="18" t="s">
        <v>2929</v>
      </c>
      <c r="AA694" s="22" t="s">
        <v>2931</v>
      </c>
      <c r="AB694" s="16"/>
      <c r="AC694" s="16"/>
      <c r="AD694" s="16"/>
      <c r="AE694" s="16" t="s">
        <v>2933</v>
      </c>
      <c r="AF694" s="16"/>
      <c r="AI694" s="3" t="str">
        <f t="shared" ca="1" si="10"/>
        <v>OK</v>
      </c>
    </row>
    <row r="695" spans="1:35" x14ac:dyDescent="0.3">
      <c r="A695" s="13">
        <v>46032</v>
      </c>
      <c r="B695" s="14" t="s">
        <v>2806</v>
      </c>
      <c r="C695" s="16"/>
      <c r="D695" s="16"/>
      <c r="E695" s="15" t="s">
        <v>862</v>
      </c>
      <c r="F695" s="15" t="s">
        <v>1251</v>
      </c>
      <c r="G695" s="15" t="s">
        <v>739</v>
      </c>
      <c r="H695" s="15" t="s">
        <v>862</v>
      </c>
      <c r="I695" s="15" t="s">
        <v>2611</v>
      </c>
      <c r="J695" s="15" t="s">
        <v>2612</v>
      </c>
      <c r="K695" s="16"/>
      <c r="L695" s="14" t="s">
        <v>2831</v>
      </c>
      <c r="M695" s="16"/>
      <c r="N695" s="15" t="s">
        <v>1199</v>
      </c>
      <c r="O695" s="14">
        <v>845000</v>
      </c>
      <c r="P695" s="14" t="s">
        <v>2846</v>
      </c>
      <c r="Q695" s="14" cm="1">
        <f t="array" ref="Q695">_xlfn.IFS(P695="USD",O695,P695="VND",O695/26090,P695="JPY",O695/161)</f>
        <v>32.387888079724036</v>
      </c>
      <c r="R695" s="14">
        <v>15</v>
      </c>
      <c r="S695" s="14">
        <v>4</v>
      </c>
      <c r="T695" s="14"/>
      <c r="U695" s="14" t="s">
        <v>2848</v>
      </c>
      <c r="V695" s="14" t="s">
        <v>2857</v>
      </c>
      <c r="W695" s="14" t="s">
        <v>2858</v>
      </c>
      <c r="X695" s="17">
        <v>0</v>
      </c>
      <c r="Y695" s="15" t="s">
        <v>2875</v>
      </c>
      <c r="Z695" s="18" t="s">
        <v>2929</v>
      </c>
      <c r="AA695" s="22" t="s">
        <v>2931</v>
      </c>
      <c r="AB695" s="16"/>
      <c r="AC695" s="16"/>
      <c r="AD695" s="16"/>
      <c r="AE695" s="16" t="s">
        <v>2933</v>
      </c>
      <c r="AF695" s="16"/>
      <c r="AI695" s="3" t="str">
        <f t="shared" ca="1" si="10"/>
        <v>OK</v>
      </c>
    </row>
    <row r="696" spans="1:35" x14ac:dyDescent="0.3">
      <c r="A696" s="13">
        <v>46032</v>
      </c>
      <c r="B696" s="14" t="s">
        <v>2806</v>
      </c>
      <c r="C696" s="16"/>
      <c r="D696" s="16"/>
      <c r="E696" s="15" t="s">
        <v>862</v>
      </c>
      <c r="F696" s="15" t="s">
        <v>1251</v>
      </c>
      <c r="G696" s="15" t="s">
        <v>740</v>
      </c>
      <c r="H696" s="15" t="s">
        <v>862</v>
      </c>
      <c r="I696" s="15" t="s">
        <v>2613</v>
      </c>
      <c r="J696" s="15" t="s">
        <v>2614</v>
      </c>
      <c r="K696" s="16"/>
      <c r="L696" s="14" t="s">
        <v>2831</v>
      </c>
      <c r="M696" s="16"/>
      <c r="N696" s="15" t="s">
        <v>1199</v>
      </c>
      <c r="O696" s="14">
        <v>1310000</v>
      </c>
      <c r="P696" s="14" t="s">
        <v>2846</v>
      </c>
      <c r="Q696" s="14" cm="1">
        <f t="array" ref="Q696">_xlfn.IFS(P696="USD",O696,P696="VND",O696/26090,P696="JPY",O696/161)</f>
        <v>50.210808738980454</v>
      </c>
      <c r="R696" s="14">
        <v>15</v>
      </c>
      <c r="S696" s="14">
        <v>4</v>
      </c>
      <c r="T696" s="14"/>
      <c r="U696" s="14" t="s">
        <v>2848</v>
      </c>
      <c r="V696" s="14" t="s">
        <v>2857</v>
      </c>
      <c r="W696" s="14" t="s">
        <v>2858</v>
      </c>
      <c r="X696" s="17">
        <v>0</v>
      </c>
      <c r="Y696" s="15" t="s">
        <v>2875</v>
      </c>
      <c r="Z696" s="18" t="s">
        <v>2929</v>
      </c>
      <c r="AA696" s="22" t="s">
        <v>2931</v>
      </c>
      <c r="AB696" s="16"/>
      <c r="AC696" s="16"/>
      <c r="AD696" s="16"/>
      <c r="AE696" s="16" t="s">
        <v>2933</v>
      </c>
      <c r="AF696" s="16"/>
      <c r="AI696" s="3" t="str">
        <f t="shared" ca="1" si="10"/>
        <v>OK</v>
      </c>
    </row>
    <row r="697" spans="1:35" x14ac:dyDescent="0.3">
      <c r="A697" s="13">
        <v>46032</v>
      </c>
      <c r="B697" s="14" t="s">
        <v>2806</v>
      </c>
      <c r="C697" s="16"/>
      <c r="D697" s="16"/>
      <c r="E697" s="15" t="s">
        <v>862</v>
      </c>
      <c r="F697" s="15" t="s">
        <v>1251</v>
      </c>
      <c r="G697" s="15" t="s">
        <v>741</v>
      </c>
      <c r="H697" s="15" t="s">
        <v>862</v>
      </c>
      <c r="I697" s="15" t="s">
        <v>2615</v>
      </c>
      <c r="J697" s="15" t="s">
        <v>2616</v>
      </c>
      <c r="K697" s="16"/>
      <c r="L697" s="14" t="s">
        <v>2831</v>
      </c>
      <c r="M697" s="16"/>
      <c r="N697" s="15" t="s">
        <v>1199</v>
      </c>
      <c r="O697" s="14">
        <v>1820000</v>
      </c>
      <c r="P697" s="14" t="s">
        <v>2846</v>
      </c>
      <c r="Q697" s="14" cm="1">
        <f t="array" ref="Q697">_xlfn.IFS(P697="USD",O697,P697="VND",O697/26090,P697="JPY",O697/161)</f>
        <v>69.758528171713294</v>
      </c>
      <c r="R697" s="14">
        <v>15</v>
      </c>
      <c r="S697" s="14">
        <v>4</v>
      </c>
      <c r="T697" s="14"/>
      <c r="U697" s="14" t="s">
        <v>2848</v>
      </c>
      <c r="V697" s="14" t="s">
        <v>2857</v>
      </c>
      <c r="W697" s="14" t="s">
        <v>2858</v>
      </c>
      <c r="X697" s="17">
        <v>0</v>
      </c>
      <c r="Y697" s="15" t="s">
        <v>2875</v>
      </c>
      <c r="Z697" s="18" t="s">
        <v>2929</v>
      </c>
      <c r="AA697" s="22" t="s">
        <v>2931</v>
      </c>
      <c r="AB697" s="16"/>
      <c r="AC697" s="16"/>
      <c r="AD697" s="16"/>
      <c r="AE697" s="16" t="s">
        <v>2933</v>
      </c>
      <c r="AF697" s="16"/>
      <c r="AI697" s="3" t="str">
        <f t="shared" ca="1" si="10"/>
        <v>OK</v>
      </c>
    </row>
    <row r="698" spans="1:35" x14ac:dyDescent="0.3">
      <c r="A698" s="13">
        <v>46032</v>
      </c>
      <c r="B698" s="14" t="s">
        <v>2806</v>
      </c>
      <c r="C698" s="16"/>
      <c r="D698" s="16"/>
      <c r="E698" s="15" t="s">
        <v>862</v>
      </c>
      <c r="F698" s="15" t="s">
        <v>1251</v>
      </c>
      <c r="G698" s="15" t="s">
        <v>742</v>
      </c>
      <c r="H698" s="15" t="s">
        <v>862</v>
      </c>
      <c r="I698" s="15" t="s">
        <v>2617</v>
      </c>
      <c r="J698" s="15" t="s">
        <v>2618</v>
      </c>
      <c r="K698" s="16"/>
      <c r="L698" s="14" t="s">
        <v>2831</v>
      </c>
      <c r="M698" s="16"/>
      <c r="N698" s="15" t="s">
        <v>1199</v>
      </c>
      <c r="O698" s="14">
        <v>2275000</v>
      </c>
      <c r="P698" s="14" t="s">
        <v>2846</v>
      </c>
      <c r="Q698" s="14" cm="1">
        <f t="array" ref="Q698">_xlfn.IFS(P698="USD",O698,P698="VND",O698/26090,P698="JPY",O698/161)</f>
        <v>87.198160214641632</v>
      </c>
      <c r="R698" s="14">
        <v>15</v>
      </c>
      <c r="S698" s="14">
        <v>4</v>
      </c>
      <c r="T698" s="14"/>
      <c r="U698" s="14" t="s">
        <v>2848</v>
      </c>
      <c r="V698" s="14" t="s">
        <v>2857</v>
      </c>
      <c r="W698" s="14" t="s">
        <v>2858</v>
      </c>
      <c r="X698" s="17">
        <v>0</v>
      </c>
      <c r="Y698" s="15" t="s">
        <v>2875</v>
      </c>
      <c r="Z698" s="18" t="s">
        <v>2929</v>
      </c>
      <c r="AA698" s="22" t="s">
        <v>2931</v>
      </c>
      <c r="AB698" s="16"/>
      <c r="AC698" s="16"/>
      <c r="AD698" s="16"/>
      <c r="AE698" s="16" t="s">
        <v>2933</v>
      </c>
      <c r="AF698" s="16"/>
      <c r="AI698" s="3" t="str">
        <f t="shared" ca="1" si="10"/>
        <v>OK</v>
      </c>
    </row>
    <row r="699" spans="1:35" x14ac:dyDescent="0.3">
      <c r="A699" s="13">
        <v>46032</v>
      </c>
      <c r="B699" s="14" t="s">
        <v>2806</v>
      </c>
      <c r="C699" s="16"/>
      <c r="D699" s="16"/>
      <c r="E699" s="15" t="s">
        <v>862</v>
      </c>
      <c r="F699" s="15" t="s">
        <v>1251</v>
      </c>
      <c r="G699" s="15" t="s">
        <v>743</v>
      </c>
      <c r="H699" s="15" t="s">
        <v>862</v>
      </c>
      <c r="I699" s="15" t="s">
        <v>2619</v>
      </c>
      <c r="J699" s="15" t="s">
        <v>2620</v>
      </c>
      <c r="K699" s="16"/>
      <c r="L699" s="14" t="s">
        <v>2831</v>
      </c>
      <c r="M699" s="16"/>
      <c r="N699" s="15" t="s">
        <v>1199</v>
      </c>
      <c r="O699" s="14">
        <v>2730000</v>
      </c>
      <c r="P699" s="14" t="s">
        <v>2846</v>
      </c>
      <c r="Q699" s="14" cm="1">
        <f t="array" ref="Q699">_xlfn.IFS(P699="USD",O699,P699="VND",O699/26090,P699="JPY",O699/161)</f>
        <v>104.63779225756996</v>
      </c>
      <c r="R699" s="14">
        <v>15</v>
      </c>
      <c r="S699" s="14">
        <v>4</v>
      </c>
      <c r="T699" s="14"/>
      <c r="U699" s="14" t="s">
        <v>2848</v>
      </c>
      <c r="V699" s="14" t="s">
        <v>2857</v>
      </c>
      <c r="W699" s="14" t="s">
        <v>2858</v>
      </c>
      <c r="X699" s="17">
        <v>0</v>
      </c>
      <c r="Y699" s="15" t="s">
        <v>2875</v>
      </c>
      <c r="Z699" s="18" t="s">
        <v>2929</v>
      </c>
      <c r="AA699" s="22" t="s">
        <v>2931</v>
      </c>
      <c r="AB699" s="16"/>
      <c r="AC699" s="16"/>
      <c r="AD699" s="16"/>
      <c r="AE699" s="16" t="s">
        <v>2933</v>
      </c>
      <c r="AF699" s="16"/>
      <c r="AI699" s="3" t="str">
        <f t="shared" ca="1" si="10"/>
        <v>OK</v>
      </c>
    </row>
    <row r="700" spans="1:35" x14ac:dyDescent="0.3">
      <c r="A700" s="13">
        <v>46032</v>
      </c>
      <c r="B700" s="14" t="s">
        <v>2806</v>
      </c>
      <c r="C700" s="16"/>
      <c r="D700" s="16"/>
      <c r="E700" s="15" t="s">
        <v>862</v>
      </c>
      <c r="F700" s="15" t="s">
        <v>1251</v>
      </c>
      <c r="G700" s="15" t="s">
        <v>744</v>
      </c>
      <c r="H700" s="15" t="s">
        <v>862</v>
      </c>
      <c r="I700" s="15" t="s">
        <v>2621</v>
      </c>
      <c r="J700" s="15" t="s">
        <v>2622</v>
      </c>
      <c r="K700" s="16"/>
      <c r="L700" s="14" t="s">
        <v>2831</v>
      </c>
      <c r="M700" s="16"/>
      <c r="N700" s="15" t="s">
        <v>1200</v>
      </c>
      <c r="O700" s="14">
        <v>1240000</v>
      </c>
      <c r="P700" s="14" t="s">
        <v>2846</v>
      </c>
      <c r="Q700" s="14" cm="1">
        <f t="array" ref="Q700">_xlfn.IFS(P700="USD",O700,P700="VND",O700/26090,P700="JPY",O700/161)</f>
        <v>47.527788424683784</v>
      </c>
      <c r="R700" s="14">
        <v>15</v>
      </c>
      <c r="S700" s="14">
        <v>4</v>
      </c>
      <c r="T700" s="14"/>
      <c r="U700" s="14" t="s">
        <v>2848</v>
      </c>
      <c r="V700" s="14" t="s">
        <v>2857</v>
      </c>
      <c r="W700" s="14" t="s">
        <v>2858</v>
      </c>
      <c r="X700" s="17">
        <v>0</v>
      </c>
      <c r="Y700" s="15" t="s">
        <v>2875</v>
      </c>
      <c r="Z700" s="18" t="s">
        <v>2929</v>
      </c>
      <c r="AA700" s="22" t="s">
        <v>2931</v>
      </c>
      <c r="AB700" s="16"/>
      <c r="AC700" s="16"/>
      <c r="AD700" s="16"/>
      <c r="AE700" s="16" t="s">
        <v>2933</v>
      </c>
      <c r="AF700" s="16"/>
      <c r="AI700" s="3" t="str">
        <f t="shared" ca="1" si="10"/>
        <v>OK</v>
      </c>
    </row>
    <row r="701" spans="1:35" x14ac:dyDescent="0.3">
      <c r="A701" s="13">
        <v>46032</v>
      </c>
      <c r="B701" s="14" t="s">
        <v>2806</v>
      </c>
      <c r="C701" s="16"/>
      <c r="D701" s="16"/>
      <c r="E701" s="15" t="s">
        <v>862</v>
      </c>
      <c r="F701" s="15" t="s">
        <v>1251</v>
      </c>
      <c r="G701" s="15" t="s">
        <v>745</v>
      </c>
      <c r="H701" s="15" t="s">
        <v>862</v>
      </c>
      <c r="I701" s="15" t="s">
        <v>2623</v>
      </c>
      <c r="J701" s="15" t="s">
        <v>2624</v>
      </c>
      <c r="K701" s="16"/>
      <c r="L701" s="14" t="s">
        <v>2831</v>
      </c>
      <c r="M701" s="16"/>
      <c r="N701" s="15" t="s">
        <v>1200</v>
      </c>
      <c r="O701" s="14">
        <v>1860000</v>
      </c>
      <c r="P701" s="14" t="s">
        <v>2846</v>
      </c>
      <c r="Q701" s="14" cm="1">
        <f t="array" ref="Q701">_xlfn.IFS(P701="USD",O701,P701="VND",O701/26090,P701="JPY",O701/161)</f>
        <v>71.291682637025687</v>
      </c>
      <c r="R701" s="14">
        <v>15</v>
      </c>
      <c r="S701" s="14">
        <v>4</v>
      </c>
      <c r="T701" s="14"/>
      <c r="U701" s="14" t="s">
        <v>2848</v>
      </c>
      <c r="V701" s="14" t="s">
        <v>2857</v>
      </c>
      <c r="W701" s="14" t="s">
        <v>2858</v>
      </c>
      <c r="X701" s="17">
        <v>0</v>
      </c>
      <c r="Y701" s="15" t="s">
        <v>2875</v>
      </c>
      <c r="Z701" s="18" t="s">
        <v>2929</v>
      </c>
      <c r="AA701" s="22" t="s">
        <v>2931</v>
      </c>
      <c r="AB701" s="16"/>
      <c r="AC701" s="16"/>
      <c r="AD701" s="16"/>
      <c r="AE701" s="16" t="s">
        <v>2933</v>
      </c>
      <c r="AF701" s="16"/>
      <c r="AI701" s="3" t="str">
        <f t="shared" ca="1" si="10"/>
        <v>OK</v>
      </c>
    </row>
    <row r="702" spans="1:35" x14ac:dyDescent="0.3">
      <c r="A702" s="13">
        <v>46032</v>
      </c>
      <c r="B702" s="14" t="s">
        <v>2806</v>
      </c>
      <c r="C702" s="16"/>
      <c r="D702" s="16"/>
      <c r="E702" s="15" t="s">
        <v>862</v>
      </c>
      <c r="F702" s="15" t="s">
        <v>1251</v>
      </c>
      <c r="G702" s="15" t="s">
        <v>746</v>
      </c>
      <c r="H702" s="15" t="s">
        <v>862</v>
      </c>
      <c r="I702" s="15" t="s">
        <v>2625</v>
      </c>
      <c r="J702" s="15" t="s">
        <v>2626</v>
      </c>
      <c r="K702" s="16"/>
      <c r="L702" s="14" t="s">
        <v>2831</v>
      </c>
      <c r="M702" s="16"/>
      <c r="N702" s="15" t="s">
        <v>1200</v>
      </c>
      <c r="O702" s="14">
        <v>2325000</v>
      </c>
      <c r="P702" s="14" t="s">
        <v>2846</v>
      </c>
      <c r="Q702" s="14" cm="1">
        <f t="array" ref="Q702">_xlfn.IFS(P702="USD",O702,P702="VND",O702/26090,P702="JPY",O702/161)</f>
        <v>89.114603296282098</v>
      </c>
      <c r="R702" s="14">
        <v>15</v>
      </c>
      <c r="S702" s="14">
        <v>4</v>
      </c>
      <c r="T702" s="14"/>
      <c r="U702" s="14" t="s">
        <v>2848</v>
      </c>
      <c r="V702" s="14" t="s">
        <v>2857</v>
      </c>
      <c r="W702" s="14" t="s">
        <v>2858</v>
      </c>
      <c r="X702" s="17">
        <v>0</v>
      </c>
      <c r="Y702" s="15" t="s">
        <v>2875</v>
      </c>
      <c r="Z702" s="18" t="s">
        <v>2929</v>
      </c>
      <c r="AA702" s="22" t="s">
        <v>2931</v>
      </c>
      <c r="AB702" s="16"/>
      <c r="AC702" s="16"/>
      <c r="AD702" s="16"/>
      <c r="AE702" s="16" t="s">
        <v>2933</v>
      </c>
      <c r="AF702" s="16"/>
      <c r="AI702" s="3" t="str">
        <f t="shared" ca="1" si="10"/>
        <v>OK</v>
      </c>
    </row>
    <row r="703" spans="1:35" x14ac:dyDescent="0.3">
      <c r="A703" s="13">
        <v>46032</v>
      </c>
      <c r="B703" s="14" t="s">
        <v>2806</v>
      </c>
      <c r="C703" s="16"/>
      <c r="D703" s="16"/>
      <c r="E703" s="15" t="s">
        <v>862</v>
      </c>
      <c r="F703" s="15" t="s">
        <v>1251</v>
      </c>
      <c r="G703" s="15" t="s">
        <v>747</v>
      </c>
      <c r="H703" s="15" t="s">
        <v>862</v>
      </c>
      <c r="I703" s="15" t="s">
        <v>2627</v>
      </c>
      <c r="J703" s="15" t="s">
        <v>2628</v>
      </c>
      <c r="K703" s="16"/>
      <c r="L703" s="14" t="s">
        <v>2831</v>
      </c>
      <c r="M703" s="16"/>
      <c r="N703" s="15" t="s">
        <v>1200</v>
      </c>
      <c r="O703" s="14">
        <v>3100000</v>
      </c>
      <c r="P703" s="14" t="s">
        <v>2846</v>
      </c>
      <c r="Q703" s="14" cm="1">
        <f t="array" ref="Q703">_xlfn.IFS(P703="USD",O703,P703="VND",O703/26090,P703="JPY",O703/161)</f>
        <v>118.81947106170946</v>
      </c>
      <c r="R703" s="14">
        <v>15</v>
      </c>
      <c r="S703" s="14">
        <v>4</v>
      </c>
      <c r="T703" s="14"/>
      <c r="U703" s="14" t="s">
        <v>2848</v>
      </c>
      <c r="V703" s="14" t="s">
        <v>2857</v>
      </c>
      <c r="W703" s="14" t="s">
        <v>2858</v>
      </c>
      <c r="X703" s="17">
        <v>0</v>
      </c>
      <c r="Y703" s="15" t="s">
        <v>2875</v>
      </c>
      <c r="Z703" s="18" t="s">
        <v>2929</v>
      </c>
      <c r="AA703" s="22" t="s">
        <v>2931</v>
      </c>
      <c r="AB703" s="16"/>
      <c r="AC703" s="16"/>
      <c r="AD703" s="16"/>
      <c r="AE703" s="16" t="s">
        <v>2933</v>
      </c>
      <c r="AF703" s="16"/>
      <c r="AI703" s="3" t="str">
        <f t="shared" ca="1" si="10"/>
        <v>OK</v>
      </c>
    </row>
    <row r="704" spans="1:35" x14ac:dyDescent="0.3">
      <c r="A704" s="13">
        <v>46032</v>
      </c>
      <c r="B704" s="14" t="s">
        <v>2806</v>
      </c>
      <c r="C704" s="16"/>
      <c r="D704" s="16"/>
      <c r="E704" s="15" t="s">
        <v>862</v>
      </c>
      <c r="F704" s="15" t="s">
        <v>1251</v>
      </c>
      <c r="G704" s="15" t="s">
        <v>748</v>
      </c>
      <c r="H704" s="15" t="s">
        <v>862</v>
      </c>
      <c r="I704" s="15" t="s">
        <v>2629</v>
      </c>
      <c r="J704" s="15" t="s">
        <v>2630</v>
      </c>
      <c r="K704" s="16"/>
      <c r="L704" s="14" t="s">
        <v>2831</v>
      </c>
      <c r="M704" s="16"/>
      <c r="N704" s="15" t="s">
        <v>1200</v>
      </c>
      <c r="O704" s="14">
        <v>3720000</v>
      </c>
      <c r="P704" s="14" t="s">
        <v>2846</v>
      </c>
      <c r="Q704" s="14" cm="1">
        <f t="array" ref="Q704">_xlfn.IFS(P704="USD",O704,P704="VND",O704/26090,P704="JPY",O704/161)</f>
        <v>142.58336527405137</v>
      </c>
      <c r="R704" s="14">
        <v>15</v>
      </c>
      <c r="S704" s="14">
        <v>4</v>
      </c>
      <c r="T704" s="14"/>
      <c r="U704" s="14" t="s">
        <v>2848</v>
      </c>
      <c r="V704" s="14" t="s">
        <v>2857</v>
      </c>
      <c r="W704" s="14" t="s">
        <v>2858</v>
      </c>
      <c r="X704" s="17">
        <v>0</v>
      </c>
      <c r="Y704" s="15" t="s">
        <v>2875</v>
      </c>
      <c r="Z704" s="18" t="s">
        <v>2929</v>
      </c>
      <c r="AA704" s="22" t="s">
        <v>2931</v>
      </c>
      <c r="AB704" s="16"/>
      <c r="AC704" s="16"/>
      <c r="AD704" s="16"/>
      <c r="AE704" s="16" t="s">
        <v>2933</v>
      </c>
      <c r="AF704" s="16"/>
      <c r="AI704" s="3" t="str">
        <f t="shared" ca="1" si="10"/>
        <v>OK</v>
      </c>
    </row>
    <row r="705" spans="1:35" x14ac:dyDescent="0.3">
      <c r="A705" s="13">
        <v>46032</v>
      </c>
      <c r="B705" s="14" t="s">
        <v>2806</v>
      </c>
      <c r="C705" s="16"/>
      <c r="D705" s="16"/>
      <c r="E705" s="15" t="s">
        <v>862</v>
      </c>
      <c r="F705" s="15" t="s">
        <v>1251</v>
      </c>
      <c r="G705" s="15" t="s">
        <v>749</v>
      </c>
      <c r="H705" s="15" t="s">
        <v>862</v>
      </c>
      <c r="I705" s="15" t="s">
        <v>2631</v>
      </c>
      <c r="J705" s="15" t="s">
        <v>2632</v>
      </c>
      <c r="K705" s="16"/>
      <c r="L705" s="14" t="s">
        <v>2831</v>
      </c>
      <c r="M705" s="16"/>
      <c r="N705" s="15" t="s">
        <v>1201</v>
      </c>
      <c r="O705" s="14">
        <v>665000</v>
      </c>
      <c r="P705" s="14" t="s">
        <v>2846</v>
      </c>
      <c r="Q705" s="14" cm="1">
        <f t="array" ref="Q705">_xlfn.IFS(P705="USD",O705,P705="VND",O705/26090,P705="JPY",O705/161)</f>
        <v>25.488692985818322</v>
      </c>
      <c r="R705" s="14">
        <v>15</v>
      </c>
      <c r="S705" s="14">
        <v>8</v>
      </c>
      <c r="T705" s="14"/>
      <c r="U705" s="14" t="s">
        <v>2848</v>
      </c>
      <c r="V705" s="14" t="s">
        <v>2857</v>
      </c>
      <c r="W705" s="14" t="s">
        <v>2858</v>
      </c>
      <c r="X705" s="17">
        <v>0</v>
      </c>
      <c r="Y705" s="15" t="s">
        <v>2875</v>
      </c>
      <c r="Z705" s="18" t="s">
        <v>2929</v>
      </c>
      <c r="AA705" s="22" t="s">
        <v>2931</v>
      </c>
      <c r="AB705" s="16"/>
      <c r="AC705" s="16"/>
      <c r="AD705" s="16"/>
      <c r="AE705" s="16" t="s">
        <v>2933</v>
      </c>
      <c r="AF705" s="16"/>
      <c r="AI705" s="3" t="str">
        <f t="shared" ca="1" si="10"/>
        <v>OK</v>
      </c>
    </row>
    <row r="706" spans="1:35" x14ac:dyDescent="0.3">
      <c r="A706" s="13">
        <v>46032</v>
      </c>
      <c r="B706" s="14" t="s">
        <v>2806</v>
      </c>
      <c r="C706" s="16"/>
      <c r="D706" s="16"/>
      <c r="E706" s="15" t="s">
        <v>862</v>
      </c>
      <c r="F706" s="15" t="s">
        <v>1251</v>
      </c>
      <c r="G706" s="15" t="s">
        <v>750</v>
      </c>
      <c r="H706" s="15" t="s">
        <v>862</v>
      </c>
      <c r="I706" s="15" t="s">
        <v>2633</v>
      </c>
      <c r="J706" s="15" t="s">
        <v>2634</v>
      </c>
      <c r="K706" s="16"/>
      <c r="L706" s="14" t="s">
        <v>2831</v>
      </c>
      <c r="M706" s="16"/>
      <c r="N706" s="15" t="s">
        <v>1201</v>
      </c>
      <c r="O706" s="14">
        <v>850000</v>
      </c>
      <c r="P706" s="14" t="s">
        <v>2846</v>
      </c>
      <c r="Q706" s="14" cm="1">
        <f t="array" ref="Q706">_xlfn.IFS(P706="USD",O706,P706="VND",O706/26090,P706="JPY",O706/161)</f>
        <v>32.579532387888079</v>
      </c>
      <c r="R706" s="14">
        <v>15</v>
      </c>
      <c r="S706" s="14">
        <v>8</v>
      </c>
      <c r="T706" s="14"/>
      <c r="U706" s="14" t="s">
        <v>2848</v>
      </c>
      <c r="V706" s="14" t="s">
        <v>2857</v>
      </c>
      <c r="W706" s="14" t="s">
        <v>2858</v>
      </c>
      <c r="X706" s="17">
        <v>0</v>
      </c>
      <c r="Y706" s="15" t="s">
        <v>2875</v>
      </c>
      <c r="Z706" s="18" t="s">
        <v>2929</v>
      </c>
      <c r="AA706" s="22" t="s">
        <v>2931</v>
      </c>
      <c r="AB706" s="16"/>
      <c r="AC706" s="16"/>
      <c r="AD706" s="16"/>
      <c r="AE706" s="16" t="s">
        <v>2933</v>
      </c>
      <c r="AF706" s="16"/>
      <c r="AI706" s="3" t="str">
        <f t="shared" ca="1" si="10"/>
        <v>OK</v>
      </c>
    </row>
    <row r="707" spans="1:35" x14ac:dyDescent="0.3">
      <c r="A707" s="13">
        <v>46032</v>
      </c>
      <c r="B707" s="14" t="s">
        <v>2806</v>
      </c>
      <c r="C707" s="16"/>
      <c r="D707" s="16"/>
      <c r="E707" s="15" t="s">
        <v>862</v>
      </c>
      <c r="F707" s="15" t="s">
        <v>1251</v>
      </c>
      <c r="G707" s="15" t="s">
        <v>751</v>
      </c>
      <c r="H707" s="15" t="s">
        <v>862</v>
      </c>
      <c r="I707" s="15" t="s">
        <v>2635</v>
      </c>
      <c r="J707" s="15" t="s">
        <v>2636</v>
      </c>
      <c r="K707" s="16"/>
      <c r="L707" s="14" t="s">
        <v>2831</v>
      </c>
      <c r="M707" s="16"/>
      <c r="N707" s="15" t="s">
        <v>1201</v>
      </c>
      <c r="O707" s="14">
        <v>1145000</v>
      </c>
      <c r="P707" s="14" t="s">
        <v>2846</v>
      </c>
      <c r="Q707" s="14" cm="1">
        <f t="array" ref="Q707">_xlfn.IFS(P707="USD",O707,P707="VND",O707/26090,P707="JPY",O707/161)</f>
        <v>43.886546569566882</v>
      </c>
      <c r="R707" s="14">
        <v>15</v>
      </c>
      <c r="S707" s="14">
        <v>8</v>
      </c>
      <c r="T707" s="14"/>
      <c r="U707" s="14" t="s">
        <v>2848</v>
      </c>
      <c r="V707" s="14" t="s">
        <v>2857</v>
      </c>
      <c r="W707" s="14" t="s">
        <v>2858</v>
      </c>
      <c r="X707" s="17">
        <v>0</v>
      </c>
      <c r="Y707" s="15" t="s">
        <v>2875</v>
      </c>
      <c r="Z707" s="18" t="s">
        <v>2929</v>
      </c>
      <c r="AA707" s="22" t="s">
        <v>2931</v>
      </c>
      <c r="AB707" s="16"/>
      <c r="AC707" s="16"/>
      <c r="AD707" s="16"/>
      <c r="AE707" s="16" t="s">
        <v>2933</v>
      </c>
      <c r="AF707" s="16"/>
      <c r="AI707" s="3" t="str">
        <f t="shared" ref="AI707:AI770" ca="1" si="11">IF(AA707="","OK",IF(AA707&lt;TODAY(),"NG","OK"))</f>
        <v>OK</v>
      </c>
    </row>
    <row r="708" spans="1:35" x14ac:dyDescent="0.3">
      <c r="A708" s="13">
        <v>46032</v>
      </c>
      <c r="B708" s="14" t="s">
        <v>2806</v>
      </c>
      <c r="C708" s="16"/>
      <c r="D708" s="16"/>
      <c r="E708" s="15" t="s">
        <v>862</v>
      </c>
      <c r="F708" s="15" t="s">
        <v>1251</v>
      </c>
      <c r="G708" s="15" t="s">
        <v>752</v>
      </c>
      <c r="H708" s="15" t="s">
        <v>862</v>
      </c>
      <c r="I708" s="15" t="s">
        <v>2637</v>
      </c>
      <c r="J708" s="15" t="s">
        <v>2638</v>
      </c>
      <c r="K708" s="16"/>
      <c r="L708" s="14" t="s">
        <v>2831</v>
      </c>
      <c r="M708" s="16"/>
      <c r="N708" s="15" t="s">
        <v>1201</v>
      </c>
      <c r="O708" s="14">
        <v>1680000</v>
      </c>
      <c r="P708" s="14" t="s">
        <v>2846</v>
      </c>
      <c r="Q708" s="14" cm="1">
        <f t="array" ref="Q708">_xlfn.IFS(P708="USD",O708,P708="VND",O708/26090,P708="JPY",O708/161)</f>
        <v>64.392487543119969</v>
      </c>
      <c r="R708" s="14">
        <v>15</v>
      </c>
      <c r="S708" s="14">
        <v>8</v>
      </c>
      <c r="T708" s="14"/>
      <c r="U708" s="14" t="s">
        <v>2848</v>
      </c>
      <c r="V708" s="14" t="s">
        <v>2857</v>
      </c>
      <c r="W708" s="14" t="s">
        <v>2858</v>
      </c>
      <c r="X708" s="17">
        <v>0</v>
      </c>
      <c r="Y708" s="15" t="s">
        <v>2875</v>
      </c>
      <c r="Z708" s="18" t="s">
        <v>2929</v>
      </c>
      <c r="AA708" s="22" t="s">
        <v>2931</v>
      </c>
      <c r="AB708" s="16"/>
      <c r="AC708" s="16"/>
      <c r="AD708" s="16"/>
      <c r="AE708" s="16" t="s">
        <v>2933</v>
      </c>
      <c r="AF708" s="16"/>
      <c r="AI708" s="3" t="str">
        <f t="shared" ca="1" si="11"/>
        <v>OK</v>
      </c>
    </row>
    <row r="709" spans="1:35" x14ac:dyDescent="0.3">
      <c r="A709" s="13">
        <v>46032</v>
      </c>
      <c r="B709" s="14" t="s">
        <v>2806</v>
      </c>
      <c r="C709" s="16"/>
      <c r="D709" s="16"/>
      <c r="E709" s="15" t="s">
        <v>862</v>
      </c>
      <c r="F709" s="15" t="s">
        <v>1251</v>
      </c>
      <c r="G709" s="15" t="s">
        <v>753</v>
      </c>
      <c r="H709" s="15" t="s">
        <v>862</v>
      </c>
      <c r="I709" s="15" t="s">
        <v>2639</v>
      </c>
      <c r="J709" s="15" t="s">
        <v>2640</v>
      </c>
      <c r="K709" s="16"/>
      <c r="L709" s="14" t="s">
        <v>2831</v>
      </c>
      <c r="M709" s="16"/>
      <c r="N709" s="15" t="s">
        <v>1201</v>
      </c>
      <c r="O709" s="14">
        <v>1980000</v>
      </c>
      <c r="P709" s="14" t="s">
        <v>2846</v>
      </c>
      <c r="Q709" s="14" cm="1">
        <f t="array" ref="Q709">_xlfn.IFS(P709="USD",O709,P709="VND",O709/26090,P709="JPY",O709/161)</f>
        <v>75.891146032962823</v>
      </c>
      <c r="R709" s="14">
        <v>15</v>
      </c>
      <c r="S709" s="14">
        <v>8</v>
      </c>
      <c r="T709" s="14"/>
      <c r="U709" s="14" t="s">
        <v>2848</v>
      </c>
      <c r="V709" s="14" t="s">
        <v>2857</v>
      </c>
      <c r="W709" s="14" t="s">
        <v>2858</v>
      </c>
      <c r="X709" s="17">
        <v>0</v>
      </c>
      <c r="Y709" s="15" t="s">
        <v>2875</v>
      </c>
      <c r="Z709" s="18" t="s">
        <v>2929</v>
      </c>
      <c r="AA709" s="22" t="s">
        <v>2931</v>
      </c>
      <c r="AB709" s="16"/>
      <c r="AC709" s="16"/>
      <c r="AD709" s="16"/>
      <c r="AE709" s="16" t="s">
        <v>2933</v>
      </c>
      <c r="AF709" s="16"/>
      <c r="AI709" s="3" t="str">
        <f t="shared" ca="1" si="11"/>
        <v>OK</v>
      </c>
    </row>
    <row r="710" spans="1:35" x14ac:dyDescent="0.3">
      <c r="A710" s="13">
        <v>46032</v>
      </c>
      <c r="B710" s="14" t="s">
        <v>2806</v>
      </c>
      <c r="C710" s="16"/>
      <c r="D710" s="16"/>
      <c r="E710" s="15" t="s">
        <v>862</v>
      </c>
      <c r="F710" s="15" t="s">
        <v>1251</v>
      </c>
      <c r="G710" s="15" t="s">
        <v>754</v>
      </c>
      <c r="H710" s="15" t="s">
        <v>862</v>
      </c>
      <c r="I710" s="15" t="s">
        <v>2641</v>
      </c>
      <c r="J710" s="15" t="s">
        <v>2642</v>
      </c>
      <c r="K710" s="16"/>
      <c r="L710" s="14" t="s">
        <v>2831</v>
      </c>
      <c r="M710" s="16"/>
      <c r="N710" s="15" t="s">
        <v>1202</v>
      </c>
      <c r="O710" s="14">
        <v>1750000</v>
      </c>
      <c r="P710" s="14" t="s">
        <v>2846</v>
      </c>
      <c r="Q710" s="14" cm="1">
        <f t="array" ref="Q710">_xlfn.IFS(P710="USD",O710,P710="VND",O710/26090,P710="JPY",O710/161)</f>
        <v>67.075507857416639</v>
      </c>
      <c r="R710" s="14">
        <v>10</v>
      </c>
      <c r="S710" s="14">
        <v>1</v>
      </c>
      <c r="T710" s="14"/>
      <c r="U710" s="14" t="s">
        <v>2848</v>
      </c>
      <c r="V710" s="14" t="s">
        <v>2857</v>
      </c>
      <c r="W710" s="14" t="s">
        <v>2858</v>
      </c>
      <c r="X710" s="17">
        <v>0</v>
      </c>
      <c r="Y710" s="15" t="s">
        <v>2875</v>
      </c>
      <c r="Z710" s="18" t="s">
        <v>2929</v>
      </c>
      <c r="AA710" s="22" t="s">
        <v>2931</v>
      </c>
      <c r="AB710" s="16"/>
      <c r="AC710" s="16"/>
      <c r="AD710" s="16"/>
      <c r="AE710" s="16" t="s">
        <v>2933</v>
      </c>
      <c r="AF710" s="16"/>
      <c r="AI710" s="3" t="str">
        <f t="shared" ca="1" si="11"/>
        <v>OK</v>
      </c>
    </row>
    <row r="711" spans="1:35" x14ac:dyDescent="0.3">
      <c r="A711" s="13">
        <v>46032</v>
      </c>
      <c r="B711" s="14" t="s">
        <v>2806</v>
      </c>
      <c r="C711" s="16"/>
      <c r="D711" s="16"/>
      <c r="E711" s="15" t="s">
        <v>862</v>
      </c>
      <c r="F711" s="15" t="s">
        <v>1251</v>
      </c>
      <c r="G711" s="15" t="s">
        <v>755</v>
      </c>
      <c r="H711" s="15" t="s">
        <v>862</v>
      </c>
      <c r="I711" s="15" t="s">
        <v>2643</v>
      </c>
      <c r="J711" s="15" t="s">
        <v>2644</v>
      </c>
      <c r="K711" s="16"/>
      <c r="L711" s="14" t="s">
        <v>2831</v>
      </c>
      <c r="M711" s="16"/>
      <c r="N711" s="15" t="s">
        <v>1202</v>
      </c>
      <c r="O711" s="14">
        <v>2450000</v>
      </c>
      <c r="P711" s="14" t="s">
        <v>2846</v>
      </c>
      <c r="Q711" s="14" cm="1">
        <f t="array" ref="Q711">_xlfn.IFS(P711="USD",O711,P711="VND",O711/26090,P711="JPY",O711/161)</f>
        <v>93.905711000383292</v>
      </c>
      <c r="R711" s="14">
        <v>10</v>
      </c>
      <c r="S711" s="14">
        <v>1</v>
      </c>
      <c r="T711" s="14"/>
      <c r="U711" s="14" t="s">
        <v>2848</v>
      </c>
      <c r="V711" s="14" t="s">
        <v>2857</v>
      </c>
      <c r="W711" s="14" t="s">
        <v>2858</v>
      </c>
      <c r="X711" s="17">
        <v>0</v>
      </c>
      <c r="Y711" s="15" t="s">
        <v>2875</v>
      </c>
      <c r="Z711" s="18" t="s">
        <v>2929</v>
      </c>
      <c r="AA711" s="22" t="s">
        <v>2931</v>
      </c>
      <c r="AB711" s="16"/>
      <c r="AC711" s="16"/>
      <c r="AD711" s="16"/>
      <c r="AE711" s="16" t="s">
        <v>2933</v>
      </c>
      <c r="AF711" s="16"/>
      <c r="AI711" s="3" t="str">
        <f t="shared" ca="1" si="11"/>
        <v>OK</v>
      </c>
    </row>
    <row r="712" spans="1:35" x14ac:dyDescent="0.3">
      <c r="A712" s="13">
        <v>46032</v>
      </c>
      <c r="B712" s="14" t="s">
        <v>2806</v>
      </c>
      <c r="C712" s="16"/>
      <c r="D712" s="16"/>
      <c r="E712" s="15" t="s">
        <v>862</v>
      </c>
      <c r="F712" s="15" t="s">
        <v>1251</v>
      </c>
      <c r="G712" s="15" t="s">
        <v>756</v>
      </c>
      <c r="H712" s="15" t="s">
        <v>862</v>
      </c>
      <c r="I712" s="15" t="s">
        <v>2645</v>
      </c>
      <c r="J712" s="15" t="s">
        <v>2646</v>
      </c>
      <c r="K712" s="16"/>
      <c r="L712" s="14" t="s">
        <v>2831</v>
      </c>
      <c r="M712" s="16"/>
      <c r="N712" s="15" t="s">
        <v>1203</v>
      </c>
      <c r="O712" s="14">
        <v>5700000</v>
      </c>
      <c r="P712" s="14" t="s">
        <v>2846</v>
      </c>
      <c r="Q712" s="14" cm="1">
        <f t="array" ref="Q712">_xlfn.IFS(P712="USD",O712,P712="VND",O712/26090,P712="JPY",O712/161)</f>
        <v>218.47451130701418</v>
      </c>
      <c r="R712" s="14">
        <v>10</v>
      </c>
      <c r="S712" s="14">
        <v>1</v>
      </c>
      <c r="T712" s="14"/>
      <c r="U712" s="14" t="s">
        <v>2848</v>
      </c>
      <c r="V712" s="14" t="s">
        <v>2857</v>
      </c>
      <c r="W712" s="14" t="s">
        <v>2858</v>
      </c>
      <c r="X712" s="17">
        <v>0</v>
      </c>
      <c r="Y712" s="15" t="s">
        <v>2875</v>
      </c>
      <c r="Z712" s="18" t="s">
        <v>2929</v>
      </c>
      <c r="AA712" s="22" t="s">
        <v>2931</v>
      </c>
      <c r="AB712" s="16"/>
      <c r="AC712" s="16"/>
      <c r="AD712" s="16"/>
      <c r="AE712" s="16" t="s">
        <v>2933</v>
      </c>
      <c r="AF712" s="16"/>
      <c r="AI712" s="3" t="str">
        <f t="shared" ca="1" si="11"/>
        <v>OK</v>
      </c>
    </row>
    <row r="713" spans="1:35" x14ac:dyDescent="0.3">
      <c r="A713" s="13">
        <v>46032</v>
      </c>
      <c r="B713" s="14" t="s">
        <v>2806</v>
      </c>
      <c r="C713" s="16"/>
      <c r="D713" s="16"/>
      <c r="E713" s="15" t="s">
        <v>862</v>
      </c>
      <c r="F713" s="15" t="s">
        <v>1251</v>
      </c>
      <c r="G713" s="15" t="s">
        <v>757</v>
      </c>
      <c r="H713" s="15" t="s">
        <v>862</v>
      </c>
      <c r="I713" s="15" t="s">
        <v>2647</v>
      </c>
      <c r="J713" s="15" t="s">
        <v>2648</v>
      </c>
      <c r="K713" s="16"/>
      <c r="L713" s="14" t="s">
        <v>2823</v>
      </c>
      <c r="M713" s="16"/>
      <c r="N713" s="15" t="s">
        <v>950</v>
      </c>
      <c r="O713" s="14">
        <v>610000</v>
      </c>
      <c r="P713" s="14" t="s">
        <v>2846</v>
      </c>
      <c r="Q713" s="14" cm="1">
        <f t="array" ref="Q713">_xlfn.IFS(P713="USD",O713,P713="VND",O713/26090,P713="JPY",O713/161)</f>
        <v>23.380605596013798</v>
      </c>
      <c r="R713" s="14">
        <v>10</v>
      </c>
      <c r="S713" s="14">
        <v>1</v>
      </c>
      <c r="T713" s="14"/>
      <c r="U713" s="14" t="s">
        <v>2848</v>
      </c>
      <c r="V713" s="14" t="s">
        <v>2857</v>
      </c>
      <c r="W713" s="14" t="s">
        <v>2858</v>
      </c>
      <c r="X713" s="17">
        <v>0</v>
      </c>
      <c r="Y713" s="15" t="s">
        <v>2875</v>
      </c>
      <c r="Z713" s="18" t="s">
        <v>2929</v>
      </c>
      <c r="AA713" s="22" t="s">
        <v>2931</v>
      </c>
      <c r="AB713" s="16"/>
      <c r="AC713" s="16"/>
      <c r="AD713" s="16"/>
      <c r="AE713" s="16" t="s">
        <v>2933</v>
      </c>
      <c r="AF713" s="16"/>
      <c r="AI713" s="3" t="str">
        <f t="shared" ca="1" si="11"/>
        <v>OK</v>
      </c>
    </row>
    <row r="714" spans="1:35" x14ac:dyDescent="0.3">
      <c r="A714" s="13">
        <v>46032</v>
      </c>
      <c r="B714" s="14" t="s">
        <v>2806</v>
      </c>
      <c r="C714" s="16"/>
      <c r="D714" s="16"/>
      <c r="E714" s="15" t="s">
        <v>862</v>
      </c>
      <c r="F714" s="15" t="s">
        <v>1251</v>
      </c>
      <c r="G714" s="15" t="s">
        <v>758</v>
      </c>
      <c r="H714" s="15" t="s">
        <v>862</v>
      </c>
      <c r="I714" s="15" t="s">
        <v>2649</v>
      </c>
      <c r="J714" s="15" t="s">
        <v>2650</v>
      </c>
      <c r="K714" s="16"/>
      <c r="L714" s="14" t="s">
        <v>2823</v>
      </c>
      <c r="M714" s="16"/>
      <c r="N714" s="15" t="s">
        <v>950</v>
      </c>
      <c r="O714" s="14">
        <v>600000</v>
      </c>
      <c r="P714" s="14" t="s">
        <v>2846</v>
      </c>
      <c r="Q714" s="14" cm="1">
        <f t="array" ref="Q714">_xlfn.IFS(P714="USD",O714,P714="VND",O714/26090,P714="JPY",O714/161)</f>
        <v>22.997316979685703</v>
      </c>
      <c r="R714" s="14">
        <v>10</v>
      </c>
      <c r="S714" s="14">
        <v>1</v>
      </c>
      <c r="T714" s="14"/>
      <c r="U714" s="14" t="s">
        <v>2848</v>
      </c>
      <c r="V714" s="14" t="s">
        <v>2857</v>
      </c>
      <c r="W714" s="14" t="s">
        <v>2858</v>
      </c>
      <c r="X714" s="17">
        <v>0</v>
      </c>
      <c r="Y714" s="15" t="s">
        <v>2875</v>
      </c>
      <c r="Z714" s="18" t="s">
        <v>2929</v>
      </c>
      <c r="AA714" s="22" t="s">
        <v>2931</v>
      </c>
      <c r="AB714" s="16"/>
      <c r="AC714" s="16"/>
      <c r="AD714" s="16"/>
      <c r="AE714" s="16" t="s">
        <v>2933</v>
      </c>
      <c r="AF714" s="16"/>
      <c r="AI714" s="3" t="str">
        <f t="shared" ca="1" si="11"/>
        <v>OK</v>
      </c>
    </row>
    <row r="715" spans="1:35" x14ac:dyDescent="0.3">
      <c r="A715" s="13">
        <v>46032</v>
      </c>
      <c r="B715" s="14" t="s">
        <v>2806</v>
      </c>
      <c r="C715" s="16"/>
      <c r="D715" s="16"/>
      <c r="E715" s="15" t="s">
        <v>862</v>
      </c>
      <c r="F715" s="15" t="s">
        <v>1251</v>
      </c>
      <c r="G715" s="15" t="s">
        <v>759</v>
      </c>
      <c r="H715" s="15" t="s">
        <v>862</v>
      </c>
      <c r="I715" s="15" t="s">
        <v>2651</v>
      </c>
      <c r="J715" s="15" t="s">
        <v>2652</v>
      </c>
      <c r="K715" s="16"/>
      <c r="L715" s="14" t="s">
        <v>2823</v>
      </c>
      <c r="M715" s="16"/>
      <c r="N715" s="15" t="s">
        <v>950</v>
      </c>
      <c r="O715" s="14">
        <v>590000</v>
      </c>
      <c r="P715" s="14" t="s">
        <v>2846</v>
      </c>
      <c r="Q715" s="14" cm="1">
        <f t="array" ref="Q715">_xlfn.IFS(P715="USD",O715,P715="VND",O715/26090,P715="JPY",O715/161)</f>
        <v>22.614028363357608</v>
      </c>
      <c r="R715" s="14">
        <v>10</v>
      </c>
      <c r="S715" s="14">
        <v>1</v>
      </c>
      <c r="T715" s="14"/>
      <c r="U715" s="14" t="s">
        <v>2848</v>
      </c>
      <c r="V715" s="14" t="s">
        <v>2857</v>
      </c>
      <c r="W715" s="14" t="s">
        <v>2858</v>
      </c>
      <c r="X715" s="17">
        <v>0</v>
      </c>
      <c r="Y715" s="15" t="s">
        <v>2875</v>
      </c>
      <c r="Z715" s="18" t="s">
        <v>2929</v>
      </c>
      <c r="AA715" s="22" t="s">
        <v>2931</v>
      </c>
      <c r="AB715" s="16"/>
      <c r="AC715" s="16"/>
      <c r="AD715" s="16"/>
      <c r="AE715" s="16" t="s">
        <v>2933</v>
      </c>
      <c r="AF715" s="16"/>
      <c r="AI715" s="3" t="str">
        <f t="shared" ca="1" si="11"/>
        <v>OK</v>
      </c>
    </row>
    <row r="716" spans="1:35" x14ac:dyDescent="0.3">
      <c r="A716" s="13">
        <v>46032</v>
      </c>
      <c r="B716" s="14" t="s">
        <v>2806</v>
      </c>
      <c r="C716" s="16"/>
      <c r="D716" s="16"/>
      <c r="E716" s="15" t="s">
        <v>862</v>
      </c>
      <c r="F716" s="15" t="s">
        <v>1251</v>
      </c>
      <c r="G716" s="15" t="s">
        <v>760</v>
      </c>
      <c r="H716" s="15" t="s">
        <v>862</v>
      </c>
      <c r="I716" s="15" t="s">
        <v>2653</v>
      </c>
      <c r="J716" s="15" t="s">
        <v>2654</v>
      </c>
      <c r="K716" s="16"/>
      <c r="L716" s="14" t="s">
        <v>2823</v>
      </c>
      <c r="M716" s="16"/>
      <c r="N716" s="15" t="s">
        <v>950</v>
      </c>
      <c r="O716" s="14">
        <v>540000</v>
      </c>
      <c r="P716" s="14" t="s">
        <v>2846</v>
      </c>
      <c r="Q716" s="14" cm="1">
        <f t="array" ref="Q716">_xlfn.IFS(P716="USD",O716,P716="VND",O716/26090,P716="JPY",O716/161)</f>
        <v>20.697585281717132</v>
      </c>
      <c r="R716" s="14">
        <v>10</v>
      </c>
      <c r="S716" s="14">
        <v>1</v>
      </c>
      <c r="T716" s="14"/>
      <c r="U716" s="14" t="s">
        <v>2848</v>
      </c>
      <c r="V716" s="14" t="s">
        <v>2857</v>
      </c>
      <c r="W716" s="14" t="s">
        <v>2858</v>
      </c>
      <c r="X716" s="17">
        <v>0</v>
      </c>
      <c r="Y716" s="15" t="s">
        <v>2875</v>
      </c>
      <c r="Z716" s="18" t="s">
        <v>2929</v>
      </c>
      <c r="AA716" s="22" t="s">
        <v>2931</v>
      </c>
      <c r="AB716" s="16"/>
      <c r="AC716" s="16"/>
      <c r="AD716" s="16"/>
      <c r="AE716" s="16" t="s">
        <v>2933</v>
      </c>
      <c r="AF716" s="16"/>
      <c r="AI716" s="3" t="str">
        <f t="shared" ca="1" si="11"/>
        <v>OK</v>
      </c>
    </row>
    <row r="717" spans="1:35" x14ac:dyDescent="0.3">
      <c r="A717" s="13">
        <v>46032</v>
      </c>
      <c r="B717" s="14" t="s">
        <v>2806</v>
      </c>
      <c r="C717" s="16"/>
      <c r="D717" s="16"/>
      <c r="E717" s="15" t="s">
        <v>862</v>
      </c>
      <c r="F717" s="15" t="s">
        <v>1251</v>
      </c>
      <c r="G717" s="15" t="s">
        <v>761</v>
      </c>
      <c r="H717" s="15" t="s">
        <v>862</v>
      </c>
      <c r="I717" s="15" t="s">
        <v>2655</v>
      </c>
      <c r="J717" s="15" t="s">
        <v>2656</v>
      </c>
      <c r="K717" s="16"/>
      <c r="L717" s="14" t="s">
        <v>2823</v>
      </c>
      <c r="M717" s="16"/>
      <c r="N717" s="15" t="s">
        <v>950</v>
      </c>
      <c r="O717" s="14">
        <v>780000</v>
      </c>
      <c r="P717" s="14" t="s">
        <v>2846</v>
      </c>
      <c r="Q717" s="14" cm="1">
        <f t="array" ref="Q717">_xlfn.IFS(P717="USD",O717,P717="VND",O717/26090,P717="JPY",O717/161)</f>
        <v>29.896512073591413</v>
      </c>
      <c r="R717" s="14">
        <v>10</v>
      </c>
      <c r="S717" s="14">
        <v>1</v>
      </c>
      <c r="T717" s="14"/>
      <c r="U717" s="14" t="s">
        <v>2848</v>
      </c>
      <c r="V717" s="14" t="s">
        <v>2857</v>
      </c>
      <c r="W717" s="14" t="s">
        <v>2858</v>
      </c>
      <c r="X717" s="17">
        <v>0</v>
      </c>
      <c r="Y717" s="15" t="s">
        <v>2875</v>
      </c>
      <c r="Z717" s="18" t="s">
        <v>2929</v>
      </c>
      <c r="AA717" s="22" t="s">
        <v>2931</v>
      </c>
      <c r="AB717" s="16"/>
      <c r="AC717" s="16"/>
      <c r="AD717" s="16"/>
      <c r="AE717" s="16" t="s">
        <v>2933</v>
      </c>
      <c r="AF717" s="16"/>
      <c r="AI717" s="3" t="str">
        <f t="shared" ca="1" si="11"/>
        <v>OK</v>
      </c>
    </row>
    <row r="718" spans="1:35" x14ac:dyDescent="0.3">
      <c r="A718" s="13">
        <v>46032</v>
      </c>
      <c r="B718" s="14" t="s">
        <v>2806</v>
      </c>
      <c r="C718" s="16"/>
      <c r="D718" s="16"/>
      <c r="E718" s="15" t="s">
        <v>862</v>
      </c>
      <c r="F718" s="15" t="s">
        <v>1251</v>
      </c>
      <c r="G718" s="15" t="s">
        <v>762</v>
      </c>
      <c r="H718" s="15" t="s">
        <v>862</v>
      </c>
      <c r="I718" s="15" t="s">
        <v>2657</v>
      </c>
      <c r="J718" s="15" t="s">
        <v>2658</v>
      </c>
      <c r="K718" s="16"/>
      <c r="L718" s="14" t="s">
        <v>2823</v>
      </c>
      <c r="M718" s="16"/>
      <c r="N718" s="15" t="s">
        <v>950</v>
      </c>
      <c r="O718" s="14">
        <v>850000</v>
      </c>
      <c r="P718" s="14" t="s">
        <v>2846</v>
      </c>
      <c r="Q718" s="14" cm="1">
        <f t="array" ref="Q718">_xlfn.IFS(P718="USD",O718,P718="VND",O718/26090,P718="JPY",O718/161)</f>
        <v>32.579532387888079</v>
      </c>
      <c r="R718" s="14">
        <v>10</v>
      </c>
      <c r="S718" s="14">
        <v>1</v>
      </c>
      <c r="T718" s="14"/>
      <c r="U718" s="14" t="s">
        <v>2848</v>
      </c>
      <c r="V718" s="14" t="s">
        <v>2857</v>
      </c>
      <c r="W718" s="14" t="s">
        <v>2858</v>
      </c>
      <c r="X718" s="17">
        <v>0</v>
      </c>
      <c r="Y718" s="15" t="s">
        <v>2875</v>
      </c>
      <c r="Z718" s="18" t="s">
        <v>2929</v>
      </c>
      <c r="AA718" s="22" t="s">
        <v>2931</v>
      </c>
      <c r="AB718" s="16"/>
      <c r="AC718" s="16"/>
      <c r="AD718" s="16"/>
      <c r="AE718" s="16" t="s">
        <v>2933</v>
      </c>
      <c r="AF718" s="16"/>
      <c r="AI718" s="3" t="str">
        <f t="shared" ca="1" si="11"/>
        <v>OK</v>
      </c>
    </row>
    <row r="719" spans="1:35" x14ac:dyDescent="0.3">
      <c r="A719" s="13">
        <v>46032</v>
      </c>
      <c r="B719" s="14" t="s">
        <v>2806</v>
      </c>
      <c r="C719" s="16"/>
      <c r="D719" s="16"/>
      <c r="E719" s="15" t="s">
        <v>862</v>
      </c>
      <c r="F719" s="15" t="s">
        <v>1251</v>
      </c>
      <c r="G719" s="15" t="s">
        <v>763</v>
      </c>
      <c r="H719" s="15" t="s">
        <v>862</v>
      </c>
      <c r="I719" s="15" t="s">
        <v>2659</v>
      </c>
      <c r="J719" s="15" t="s">
        <v>2660</v>
      </c>
      <c r="K719" s="16"/>
      <c r="L719" s="14" t="s">
        <v>2823</v>
      </c>
      <c r="M719" s="16"/>
      <c r="N719" s="15" t="s">
        <v>950</v>
      </c>
      <c r="O719" s="14">
        <v>880000</v>
      </c>
      <c r="P719" s="14" t="s">
        <v>2846</v>
      </c>
      <c r="Q719" s="14" cm="1">
        <f t="array" ref="Q719">_xlfn.IFS(P719="USD",O719,P719="VND",O719/26090,P719="JPY",O719/161)</f>
        <v>33.729398236872363</v>
      </c>
      <c r="R719" s="14">
        <v>10</v>
      </c>
      <c r="S719" s="14">
        <v>1</v>
      </c>
      <c r="T719" s="14"/>
      <c r="U719" s="14" t="s">
        <v>2848</v>
      </c>
      <c r="V719" s="14" t="s">
        <v>2857</v>
      </c>
      <c r="W719" s="14" t="s">
        <v>2858</v>
      </c>
      <c r="X719" s="17">
        <v>0</v>
      </c>
      <c r="Y719" s="15" t="s">
        <v>2875</v>
      </c>
      <c r="Z719" s="18" t="s">
        <v>2929</v>
      </c>
      <c r="AA719" s="22" t="s">
        <v>2931</v>
      </c>
      <c r="AB719" s="16"/>
      <c r="AC719" s="16"/>
      <c r="AD719" s="16"/>
      <c r="AE719" s="16" t="s">
        <v>2933</v>
      </c>
      <c r="AF719" s="16"/>
      <c r="AI719" s="3" t="str">
        <f t="shared" ca="1" si="11"/>
        <v>OK</v>
      </c>
    </row>
    <row r="720" spans="1:35" x14ac:dyDescent="0.3">
      <c r="A720" s="13">
        <v>46032</v>
      </c>
      <c r="B720" s="14" t="s">
        <v>2806</v>
      </c>
      <c r="C720" s="16"/>
      <c r="D720" s="16"/>
      <c r="E720" s="15" t="s">
        <v>862</v>
      </c>
      <c r="F720" s="15" t="s">
        <v>1251</v>
      </c>
      <c r="G720" s="15" t="s">
        <v>764</v>
      </c>
      <c r="H720" s="15" t="s">
        <v>862</v>
      </c>
      <c r="I720" s="15" t="s">
        <v>2661</v>
      </c>
      <c r="J720" s="15" t="s">
        <v>2662</v>
      </c>
      <c r="K720" s="16"/>
      <c r="L720" s="14" t="s">
        <v>2823</v>
      </c>
      <c r="M720" s="16"/>
      <c r="N720" s="15" t="s">
        <v>950</v>
      </c>
      <c r="O720" s="14">
        <v>950000</v>
      </c>
      <c r="P720" s="14" t="s">
        <v>2846</v>
      </c>
      <c r="Q720" s="14" cm="1">
        <f t="array" ref="Q720">_xlfn.IFS(P720="USD",O720,P720="VND",O720/26090,P720="JPY",O720/161)</f>
        <v>36.412418551169033</v>
      </c>
      <c r="R720" s="14">
        <v>10</v>
      </c>
      <c r="S720" s="14">
        <v>1</v>
      </c>
      <c r="T720" s="14"/>
      <c r="U720" s="14" t="s">
        <v>2848</v>
      </c>
      <c r="V720" s="14" t="s">
        <v>2857</v>
      </c>
      <c r="W720" s="14" t="s">
        <v>2858</v>
      </c>
      <c r="X720" s="17">
        <v>0</v>
      </c>
      <c r="Y720" s="15" t="s">
        <v>2875</v>
      </c>
      <c r="Z720" s="18" t="s">
        <v>2929</v>
      </c>
      <c r="AA720" s="22" t="s">
        <v>2931</v>
      </c>
      <c r="AB720" s="16"/>
      <c r="AC720" s="16"/>
      <c r="AD720" s="16"/>
      <c r="AE720" s="16" t="s">
        <v>2933</v>
      </c>
      <c r="AF720" s="16"/>
      <c r="AI720" s="3" t="str">
        <f t="shared" ca="1" si="11"/>
        <v>OK</v>
      </c>
    </row>
    <row r="721" spans="1:35" x14ac:dyDescent="0.3">
      <c r="A721" s="13">
        <v>46032</v>
      </c>
      <c r="B721" s="14" t="s">
        <v>2806</v>
      </c>
      <c r="C721" s="16"/>
      <c r="D721" s="16"/>
      <c r="E721" s="15" t="s">
        <v>862</v>
      </c>
      <c r="F721" s="15" t="s">
        <v>1251</v>
      </c>
      <c r="G721" s="15" t="s">
        <v>765</v>
      </c>
      <c r="H721" s="15" t="s">
        <v>862</v>
      </c>
      <c r="I721" s="15" t="s">
        <v>2663</v>
      </c>
      <c r="J721" s="15" t="s">
        <v>2664</v>
      </c>
      <c r="K721" s="16"/>
      <c r="L721" s="14" t="s">
        <v>2823</v>
      </c>
      <c r="M721" s="16"/>
      <c r="N721" s="15" t="s">
        <v>1204</v>
      </c>
      <c r="O721" s="14">
        <v>161000</v>
      </c>
      <c r="P721" s="14" t="s">
        <v>2846</v>
      </c>
      <c r="Q721" s="14" cm="1">
        <f t="array" ref="Q721">_xlfn.IFS(P721="USD",O721,P721="VND",O721/26090,P721="JPY",O721/161)</f>
        <v>6.1709467228823307</v>
      </c>
      <c r="R721" s="14">
        <v>30</v>
      </c>
      <c r="S721" s="14">
        <v>50</v>
      </c>
      <c r="T721" s="14"/>
      <c r="U721" s="14" t="s">
        <v>2848</v>
      </c>
      <c r="V721" s="14" t="s">
        <v>2857</v>
      </c>
      <c r="W721" s="14" t="s">
        <v>2858</v>
      </c>
      <c r="X721" s="17">
        <v>0</v>
      </c>
      <c r="Y721" s="15" t="s">
        <v>2875</v>
      </c>
      <c r="Z721" s="18" t="s">
        <v>2929</v>
      </c>
      <c r="AA721" s="22" t="s">
        <v>2931</v>
      </c>
      <c r="AB721" s="16"/>
      <c r="AC721" s="16"/>
      <c r="AD721" s="16"/>
      <c r="AE721" s="16" t="s">
        <v>2933</v>
      </c>
      <c r="AF721" s="16"/>
      <c r="AI721" s="3" t="str">
        <f t="shared" ca="1" si="11"/>
        <v>OK</v>
      </c>
    </row>
    <row r="722" spans="1:35" x14ac:dyDescent="0.3">
      <c r="A722" s="13">
        <v>46032</v>
      </c>
      <c r="B722" s="14" t="s">
        <v>2806</v>
      </c>
      <c r="C722" s="16"/>
      <c r="D722" s="16"/>
      <c r="E722" s="15" t="s">
        <v>862</v>
      </c>
      <c r="F722" s="15" t="s">
        <v>1251</v>
      </c>
      <c r="G722" s="15" t="s">
        <v>766</v>
      </c>
      <c r="H722" s="15" t="s">
        <v>862</v>
      </c>
      <c r="I722" s="15" t="s">
        <v>2665</v>
      </c>
      <c r="J722" s="15" t="s">
        <v>2666</v>
      </c>
      <c r="K722" s="16"/>
      <c r="L722" s="14" t="s">
        <v>2823</v>
      </c>
      <c r="M722" s="16"/>
      <c r="N722" s="15" t="s">
        <v>1204</v>
      </c>
      <c r="O722" s="14">
        <v>161000</v>
      </c>
      <c r="P722" s="14" t="s">
        <v>2846</v>
      </c>
      <c r="Q722" s="14" cm="1">
        <f t="array" ref="Q722">_xlfn.IFS(P722="USD",O722,P722="VND",O722/26090,P722="JPY",O722/161)</f>
        <v>6.1709467228823307</v>
      </c>
      <c r="R722" s="14">
        <v>30</v>
      </c>
      <c r="S722" s="14">
        <v>50</v>
      </c>
      <c r="T722" s="14"/>
      <c r="U722" s="14" t="s">
        <v>2848</v>
      </c>
      <c r="V722" s="14" t="s">
        <v>2857</v>
      </c>
      <c r="W722" s="14" t="s">
        <v>2858</v>
      </c>
      <c r="X722" s="17">
        <v>0</v>
      </c>
      <c r="Y722" s="15" t="s">
        <v>2875</v>
      </c>
      <c r="Z722" s="18" t="s">
        <v>2929</v>
      </c>
      <c r="AA722" s="22" t="s">
        <v>2931</v>
      </c>
      <c r="AB722" s="16"/>
      <c r="AC722" s="16"/>
      <c r="AD722" s="16"/>
      <c r="AE722" s="16" t="s">
        <v>2933</v>
      </c>
      <c r="AF722" s="16"/>
      <c r="AI722" s="3" t="str">
        <f t="shared" ca="1" si="11"/>
        <v>OK</v>
      </c>
    </row>
    <row r="723" spans="1:35" x14ac:dyDescent="0.3">
      <c r="A723" s="13">
        <v>46032</v>
      </c>
      <c r="B723" s="14" t="s">
        <v>2806</v>
      </c>
      <c r="C723" s="16"/>
      <c r="D723" s="16"/>
      <c r="E723" s="15" t="s">
        <v>862</v>
      </c>
      <c r="F723" s="15" t="s">
        <v>1251</v>
      </c>
      <c r="G723" s="15" t="s">
        <v>767</v>
      </c>
      <c r="H723" s="15" t="s">
        <v>862</v>
      </c>
      <c r="I723" s="15" t="s">
        <v>2667</v>
      </c>
      <c r="J723" s="15" t="s">
        <v>2668</v>
      </c>
      <c r="K723" s="16"/>
      <c r="L723" s="14" t="s">
        <v>2823</v>
      </c>
      <c r="M723" s="16"/>
      <c r="N723" s="15" t="s">
        <v>1204</v>
      </c>
      <c r="O723" s="14">
        <v>161000</v>
      </c>
      <c r="P723" s="14" t="s">
        <v>2846</v>
      </c>
      <c r="Q723" s="14" cm="1">
        <f t="array" ref="Q723">_xlfn.IFS(P723="USD",O723,P723="VND",O723/26090,P723="JPY",O723/161)</f>
        <v>6.1709467228823307</v>
      </c>
      <c r="R723" s="14">
        <v>30</v>
      </c>
      <c r="S723" s="14">
        <v>50</v>
      </c>
      <c r="T723" s="14"/>
      <c r="U723" s="14" t="s">
        <v>2848</v>
      </c>
      <c r="V723" s="14" t="s">
        <v>2857</v>
      </c>
      <c r="W723" s="14" t="s">
        <v>2858</v>
      </c>
      <c r="X723" s="17">
        <v>0</v>
      </c>
      <c r="Y723" s="15" t="s">
        <v>2875</v>
      </c>
      <c r="Z723" s="18" t="s">
        <v>2929</v>
      </c>
      <c r="AA723" s="22" t="s">
        <v>2931</v>
      </c>
      <c r="AB723" s="16"/>
      <c r="AC723" s="16"/>
      <c r="AD723" s="16"/>
      <c r="AE723" s="16" t="s">
        <v>2933</v>
      </c>
      <c r="AF723" s="16"/>
      <c r="AI723" s="3" t="str">
        <f t="shared" ca="1" si="11"/>
        <v>OK</v>
      </c>
    </row>
    <row r="724" spans="1:35" hidden="1" x14ac:dyDescent="0.3">
      <c r="A724" s="13">
        <v>46032</v>
      </c>
      <c r="B724" s="14" t="s">
        <v>2806</v>
      </c>
      <c r="C724" s="16"/>
      <c r="D724" s="16"/>
      <c r="E724" s="15" t="s">
        <v>858</v>
      </c>
      <c r="F724" s="15" t="s">
        <v>1248</v>
      </c>
      <c r="G724" s="15" t="s">
        <v>768</v>
      </c>
      <c r="H724" s="15" t="s">
        <v>858</v>
      </c>
      <c r="I724" s="15" t="s">
        <v>2669</v>
      </c>
      <c r="J724" s="15" t="s">
        <v>2670</v>
      </c>
      <c r="K724" s="16"/>
      <c r="L724" s="14" t="s">
        <v>2829</v>
      </c>
      <c r="M724" s="16"/>
      <c r="N724" s="15" t="s">
        <v>1025</v>
      </c>
      <c r="O724" s="14">
        <v>238.14</v>
      </c>
      <c r="P724" s="14" t="s">
        <v>2845</v>
      </c>
      <c r="Q724" s="14" cm="1">
        <f t="array" ref="Q724">_xlfn.IFS(P724="USD",O724,P724="VND",O724/26090,P724="JPY",O724/161)</f>
        <v>238.14</v>
      </c>
      <c r="R724" s="14">
        <v>45</v>
      </c>
      <c r="S724" s="14">
        <v>1</v>
      </c>
      <c r="T724" s="14"/>
      <c r="U724" s="14" t="s">
        <v>2852</v>
      </c>
      <c r="V724" s="14" t="s">
        <v>2864</v>
      </c>
      <c r="W724" s="14" t="s">
        <v>2860</v>
      </c>
      <c r="X724" s="17">
        <v>0</v>
      </c>
      <c r="Y724" s="15" t="s">
        <v>2880</v>
      </c>
      <c r="Z724" s="18" t="s">
        <v>3050</v>
      </c>
      <c r="AA724" s="18"/>
      <c r="AB724" s="16"/>
      <c r="AC724" s="16"/>
      <c r="AD724" s="16"/>
      <c r="AE724" s="16" t="s">
        <v>3049</v>
      </c>
      <c r="AF724" s="16"/>
      <c r="AI724" s="3" t="str">
        <f t="shared" ca="1" si="11"/>
        <v>OK</v>
      </c>
    </row>
    <row r="725" spans="1:35" hidden="1" x14ac:dyDescent="0.3">
      <c r="A725" s="13">
        <v>46032</v>
      </c>
      <c r="B725" s="14" t="s">
        <v>2806</v>
      </c>
      <c r="C725" s="16"/>
      <c r="D725" s="16"/>
      <c r="E725" s="15" t="s">
        <v>857</v>
      </c>
      <c r="F725" s="15" t="s">
        <v>912</v>
      </c>
      <c r="G725" s="15" t="s">
        <v>769</v>
      </c>
      <c r="H725" s="15"/>
      <c r="I725" s="15" t="s">
        <v>2671</v>
      </c>
      <c r="J725" s="15" t="s">
        <v>2672</v>
      </c>
      <c r="K725" s="16"/>
      <c r="L725" s="14" t="s">
        <v>2829</v>
      </c>
      <c r="M725" s="16"/>
      <c r="N725" s="15" t="s">
        <v>1205</v>
      </c>
      <c r="O725" s="14">
        <v>302</v>
      </c>
      <c r="P725" s="14" t="s">
        <v>2845</v>
      </c>
      <c r="Q725" s="14" cm="1">
        <f t="array" ref="Q725">_xlfn.IFS(P725="USD",O725,P725="VND",O725/26090,P725="JPY",O725/161)</f>
        <v>302</v>
      </c>
      <c r="R725" s="14">
        <v>35</v>
      </c>
      <c r="S725" s="14">
        <v>1</v>
      </c>
      <c r="T725" s="14"/>
      <c r="U725" s="14" t="s">
        <v>2848</v>
      </c>
      <c r="V725" s="14" t="s">
        <v>2857</v>
      </c>
      <c r="W725" s="14" t="s">
        <v>2858</v>
      </c>
      <c r="X725" s="17">
        <v>0</v>
      </c>
      <c r="Y725" s="15" t="s">
        <v>2875</v>
      </c>
      <c r="Z725" s="20">
        <v>46243</v>
      </c>
      <c r="AA725" s="20">
        <v>46608</v>
      </c>
      <c r="AB725" s="16"/>
      <c r="AC725" s="16"/>
      <c r="AD725" s="16"/>
      <c r="AE725" s="16" t="s">
        <v>2957</v>
      </c>
      <c r="AF725" s="16"/>
      <c r="AI725" s="3" t="str">
        <f t="shared" ca="1" si="11"/>
        <v>OK</v>
      </c>
    </row>
    <row r="726" spans="1:35" hidden="1" x14ac:dyDescent="0.3">
      <c r="A726" s="13">
        <v>46032</v>
      </c>
      <c r="B726" s="14" t="s">
        <v>2806</v>
      </c>
      <c r="C726" s="16"/>
      <c r="D726" s="16"/>
      <c r="E726" s="15" t="s">
        <v>857</v>
      </c>
      <c r="F726" s="15" t="s">
        <v>912</v>
      </c>
      <c r="G726" s="15" t="s">
        <v>770</v>
      </c>
      <c r="H726" s="15"/>
      <c r="I726" s="15" t="s">
        <v>2673</v>
      </c>
      <c r="J726" s="15" t="s">
        <v>2674</v>
      </c>
      <c r="K726" s="16"/>
      <c r="L726" s="14" t="s">
        <v>2829</v>
      </c>
      <c r="M726" s="16"/>
      <c r="N726" s="15" t="s">
        <v>1205</v>
      </c>
      <c r="O726" s="14">
        <v>628</v>
      </c>
      <c r="P726" s="14" t="s">
        <v>2845</v>
      </c>
      <c r="Q726" s="14" cm="1">
        <f t="array" ref="Q726">_xlfn.IFS(P726="USD",O726,P726="VND",O726/26090,P726="JPY",O726/161)</f>
        <v>628</v>
      </c>
      <c r="R726" s="14">
        <v>35</v>
      </c>
      <c r="S726" s="14">
        <v>1</v>
      </c>
      <c r="T726" s="14"/>
      <c r="U726" s="14" t="s">
        <v>2848</v>
      </c>
      <c r="V726" s="14" t="s">
        <v>2857</v>
      </c>
      <c r="W726" s="14" t="s">
        <v>2858</v>
      </c>
      <c r="X726" s="17">
        <v>0</v>
      </c>
      <c r="Y726" s="15" t="s">
        <v>2875</v>
      </c>
      <c r="Z726" s="20">
        <v>46243</v>
      </c>
      <c r="AA726" s="20">
        <v>46608</v>
      </c>
      <c r="AB726" s="16"/>
      <c r="AC726" s="16"/>
      <c r="AD726" s="16"/>
      <c r="AE726" s="16" t="s">
        <v>2957</v>
      </c>
      <c r="AF726" s="16"/>
      <c r="AI726" s="3" t="str">
        <f t="shared" ca="1" si="11"/>
        <v>OK</v>
      </c>
    </row>
    <row r="727" spans="1:35" hidden="1" x14ac:dyDescent="0.3">
      <c r="A727" s="13">
        <v>46032</v>
      </c>
      <c r="B727" s="14" t="s">
        <v>2806</v>
      </c>
      <c r="C727" s="16"/>
      <c r="D727" s="16"/>
      <c r="E727" s="15" t="s">
        <v>857</v>
      </c>
      <c r="F727" s="15" t="s">
        <v>912</v>
      </c>
      <c r="G727" s="15" t="s">
        <v>771</v>
      </c>
      <c r="H727" s="15"/>
      <c r="I727" s="15" t="s">
        <v>2675</v>
      </c>
      <c r="J727" s="15" t="s">
        <v>2676</v>
      </c>
      <c r="K727" s="16"/>
      <c r="L727" s="14" t="s">
        <v>2829</v>
      </c>
      <c r="M727" s="16"/>
      <c r="N727" s="15" t="s">
        <v>1205</v>
      </c>
      <c r="O727" s="14">
        <v>403.4</v>
      </c>
      <c r="P727" s="14" t="s">
        <v>2845</v>
      </c>
      <c r="Q727" s="14" cm="1">
        <f t="array" ref="Q727">_xlfn.IFS(P727="USD",O727,P727="VND",O727/26090,P727="JPY",O727/161)</f>
        <v>403.4</v>
      </c>
      <c r="R727" s="14">
        <v>35</v>
      </c>
      <c r="S727" s="14">
        <v>1</v>
      </c>
      <c r="T727" s="14"/>
      <c r="U727" s="14" t="s">
        <v>2848</v>
      </c>
      <c r="V727" s="14" t="s">
        <v>2857</v>
      </c>
      <c r="W727" s="14" t="s">
        <v>2858</v>
      </c>
      <c r="X727" s="17">
        <v>0</v>
      </c>
      <c r="Y727" s="15" t="s">
        <v>2875</v>
      </c>
      <c r="Z727" s="20">
        <v>46243</v>
      </c>
      <c r="AA727" s="20">
        <v>46608</v>
      </c>
      <c r="AB727" s="16"/>
      <c r="AC727" s="16"/>
      <c r="AD727" s="16"/>
      <c r="AE727" s="16" t="s">
        <v>2957</v>
      </c>
      <c r="AF727" s="16"/>
      <c r="AI727" s="3" t="str">
        <f t="shared" ca="1" si="11"/>
        <v>OK</v>
      </c>
    </row>
    <row r="728" spans="1:35" hidden="1" x14ac:dyDescent="0.3">
      <c r="A728" s="13">
        <v>46032</v>
      </c>
      <c r="B728" s="14" t="s">
        <v>2806</v>
      </c>
      <c r="C728" s="16"/>
      <c r="D728" s="16"/>
      <c r="E728" s="15" t="s">
        <v>857</v>
      </c>
      <c r="F728" s="15" t="s">
        <v>912</v>
      </c>
      <c r="G728" s="15" t="s">
        <v>772</v>
      </c>
      <c r="H728" s="15"/>
      <c r="I728" s="15" t="s">
        <v>2677</v>
      </c>
      <c r="J728" s="15" t="s">
        <v>2678</v>
      </c>
      <c r="K728" s="16"/>
      <c r="L728" s="14" t="s">
        <v>2829</v>
      </c>
      <c r="M728" s="16"/>
      <c r="N728" s="15" t="s">
        <v>1205</v>
      </c>
      <c r="O728" s="14">
        <v>654.5</v>
      </c>
      <c r="P728" s="14" t="s">
        <v>2845</v>
      </c>
      <c r="Q728" s="14" cm="1">
        <f t="array" ref="Q728">_xlfn.IFS(P728="USD",O728,P728="VND",O728/26090,P728="JPY",O728/161)</f>
        <v>654.5</v>
      </c>
      <c r="R728" s="14">
        <v>35</v>
      </c>
      <c r="S728" s="14">
        <v>1</v>
      </c>
      <c r="T728" s="14"/>
      <c r="U728" s="14" t="s">
        <v>2848</v>
      </c>
      <c r="V728" s="14" t="s">
        <v>2857</v>
      </c>
      <c r="W728" s="14" t="s">
        <v>2858</v>
      </c>
      <c r="X728" s="17">
        <v>0</v>
      </c>
      <c r="Y728" s="15" t="s">
        <v>2875</v>
      </c>
      <c r="Z728" s="20">
        <v>46243</v>
      </c>
      <c r="AA728" s="20">
        <v>46608</v>
      </c>
      <c r="AB728" s="16"/>
      <c r="AC728" s="16"/>
      <c r="AD728" s="16"/>
      <c r="AE728" s="16" t="s">
        <v>2957</v>
      </c>
      <c r="AF728" s="16"/>
      <c r="AI728" s="3" t="str">
        <f t="shared" ca="1" si="11"/>
        <v>OK</v>
      </c>
    </row>
    <row r="729" spans="1:35" hidden="1" x14ac:dyDescent="0.3">
      <c r="A729" s="13">
        <v>46032</v>
      </c>
      <c r="B729" s="14" t="s">
        <v>2806</v>
      </c>
      <c r="C729" s="16"/>
      <c r="D729" s="16"/>
      <c r="E729" s="15" t="s">
        <v>857</v>
      </c>
      <c r="F729" s="15" t="s">
        <v>912</v>
      </c>
      <c r="G729" s="15" t="s">
        <v>773</v>
      </c>
      <c r="H729" s="15"/>
      <c r="I729" s="15" t="s">
        <v>2679</v>
      </c>
      <c r="J729" s="15" t="s">
        <v>2333</v>
      </c>
      <c r="K729" s="16"/>
      <c r="L729" s="14" t="s">
        <v>2823</v>
      </c>
      <c r="M729" s="16"/>
      <c r="N729" s="15" t="s">
        <v>1048</v>
      </c>
      <c r="O729" s="14">
        <v>2.4</v>
      </c>
      <c r="P729" s="14" t="s">
        <v>2845</v>
      </c>
      <c r="Q729" s="14" cm="1">
        <f t="array" ref="Q729">_xlfn.IFS(P729="USD",O729,P729="VND",O729/26090,P729="JPY",O729/161)</f>
        <v>2.4</v>
      </c>
      <c r="R729" s="14">
        <v>35</v>
      </c>
      <c r="S729" s="14">
        <v>1</v>
      </c>
      <c r="T729" s="14"/>
      <c r="U729" s="14" t="s">
        <v>2848</v>
      </c>
      <c r="V729" s="14" t="s">
        <v>2857</v>
      </c>
      <c r="W729" s="14" t="s">
        <v>2858</v>
      </c>
      <c r="X729" s="17">
        <v>0</v>
      </c>
      <c r="Y729" s="15" t="s">
        <v>2875</v>
      </c>
      <c r="Z729" s="20">
        <v>46243</v>
      </c>
      <c r="AA729" s="20">
        <v>46608</v>
      </c>
      <c r="AB729" s="16"/>
      <c r="AC729" s="16"/>
      <c r="AD729" s="16"/>
      <c r="AE729" s="16" t="s">
        <v>2957</v>
      </c>
      <c r="AF729" s="16"/>
      <c r="AI729" s="3" t="str">
        <f t="shared" ca="1" si="11"/>
        <v>OK</v>
      </c>
    </row>
    <row r="730" spans="1:35" x14ac:dyDescent="0.3">
      <c r="A730" s="13">
        <v>46032</v>
      </c>
      <c r="B730" s="14" t="s">
        <v>2806</v>
      </c>
      <c r="C730" s="16"/>
      <c r="D730" s="16"/>
      <c r="E730" s="15" t="s">
        <v>862</v>
      </c>
      <c r="F730" s="15" t="s">
        <v>1251</v>
      </c>
      <c r="G730" s="15" t="s">
        <v>774</v>
      </c>
      <c r="H730" s="15" t="s">
        <v>862</v>
      </c>
      <c r="I730" s="15" t="s">
        <v>2680</v>
      </c>
      <c r="J730" s="15" t="s">
        <v>2681</v>
      </c>
      <c r="K730" s="16"/>
      <c r="L730" s="14" t="s">
        <v>2825</v>
      </c>
      <c r="M730" s="16"/>
      <c r="N730" s="15" t="s">
        <v>1178</v>
      </c>
      <c r="O730" s="14">
        <v>3600</v>
      </c>
      <c r="P730" s="14" t="s">
        <v>2846</v>
      </c>
      <c r="Q730" s="14" cm="1">
        <f t="array" ref="Q730">_xlfn.IFS(P730="USD",O730,P730="VND",O730/26090,P730="JPY",O730/161)</f>
        <v>0.13798390187811421</v>
      </c>
      <c r="R730" s="14">
        <v>7</v>
      </c>
      <c r="S730" s="14">
        <v>200</v>
      </c>
      <c r="T730" s="14"/>
      <c r="U730" s="14" t="s">
        <v>2848</v>
      </c>
      <c r="V730" s="14" t="s">
        <v>2857</v>
      </c>
      <c r="W730" s="14" t="s">
        <v>2858</v>
      </c>
      <c r="X730" s="17">
        <v>0</v>
      </c>
      <c r="Y730" s="15" t="s">
        <v>2875</v>
      </c>
      <c r="Z730" s="18" t="s">
        <v>2929</v>
      </c>
      <c r="AA730" s="22" t="s">
        <v>2931</v>
      </c>
      <c r="AB730" s="16"/>
      <c r="AC730" s="16"/>
      <c r="AD730" s="16"/>
      <c r="AE730" s="16" t="s">
        <v>2933</v>
      </c>
      <c r="AF730" s="16"/>
      <c r="AI730" s="3" t="str">
        <f t="shared" ca="1" si="11"/>
        <v>OK</v>
      </c>
    </row>
    <row r="731" spans="1:35" x14ac:dyDescent="0.3">
      <c r="A731" s="13">
        <v>46032</v>
      </c>
      <c r="B731" s="14" t="s">
        <v>2806</v>
      </c>
      <c r="C731" s="16"/>
      <c r="D731" s="16"/>
      <c r="E731" s="15" t="s">
        <v>862</v>
      </c>
      <c r="F731" s="15" t="s">
        <v>1251</v>
      </c>
      <c r="G731" s="15" t="s">
        <v>775</v>
      </c>
      <c r="H731" s="15" t="s">
        <v>862</v>
      </c>
      <c r="I731" s="15" t="s">
        <v>2682</v>
      </c>
      <c r="J731" s="15" t="s">
        <v>2683</v>
      </c>
      <c r="K731" s="16"/>
      <c r="L731" s="14" t="s">
        <v>2823</v>
      </c>
      <c r="M731" s="16"/>
      <c r="N731" s="15" t="s">
        <v>1206</v>
      </c>
      <c r="O731" s="14">
        <v>35000</v>
      </c>
      <c r="P731" s="14" t="s">
        <v>2846</v>
      </c>
      <c r="Q731" s="14" cm="1">
        <f t="array" ref="Q731">_xlfn.IFS(P731="USD",O731,P731="VND",O731/26090,P731="JPY",O731/161)</f>
        <v>1.3415101571483328</v>
      </c>
      <c r="R731" s="14">
        <v>7</v>
      </c>
      <c r="S731" s="14">
        <v>10</v>
      </c>
      <c r="T731" s="14"/>
      <c r="U731" s="14" t="s">
        <v>2848</v>
      </c>
      <c r="V731" s="14" t="s">
        <v>2857</v>
      </c>
      <c r="W731" s="14" t="s">
        <v>2858</v>
      </c>
      <c r="X731" s="17">
        <v>0</v>
      </c>
      <c r="Y731" s="15" t="s">
        <v>2875</v>
      </c>
      <c r="Z731" s="18" t="s">
        <v>2929</v>
      </c>
      <c r="AA731" s="22" t="s">
        <v>2931</v>
      </c>
      <c r="AB731" s="16"/>
      <c r="AC731" s="16"/>
      <c r="AD731" s="16"/>
      <c r="AE731" s="16" t="s">
        <v>2933</v>
      </c>
      <c r="AF731" s="16"/>
      <c r="AI731" s="3" t="str">
        <f t="shared" ca="1" si="11"/>
        <v>OK</v>
      </c>
    </row>
    <row r="732" spans="1:35" x14ac:dyDescent="0.3">
      <c r="A732" s="13">
        <v>46032</v>
      </c>
      <c r="B732" s="14" t="s">
        <v>2806</v>
      </c>
      <c r="C732" s="16"/>
      <c r="D732" s="16"/>
      <c r="E732" s="15" t="s">
        <v>862</v>
      </c>
      <c r="F732" s="15" t="s">
        <v>1251</v>
      </c>
      <c r="G732" s="15" t="s">
        <v>776</v>
      </c>
      <c r="H732" s="15" t="s">
        <v>862</v>
      </c>
      <c r="I732" s="15" t="s">
        <v>2684</v>
      </c>
      <c r="J732" s="15" t="s">
        <v>2685</v>
      </c>
      <c r="K732" s="16"/>
      <c r="L732" s="14" t="s">
        <v>2823</v>
      </c>
      <c r="M732" s="16"/>
      <c r="N732" s="15" t="s">
        <v>1206</v>
      </c>
      <c r="O732" s="14">
        <v>40000</v>
      </c>
      <c r="P732" s="14" t="s">
        <v>2846</v>
      </c>
      <c r="Q732" s="14" cm="1">
        <f t="array" ref="Q732">_xlfn.IFS(P732="USD",O732,P732="VND",O732/26090,P732="JPY",O732/161)</f>
        <v>1.5331544653123803</v>
      </c>
      <c r="R732" s="14">
        <v>7</v>
      </c>
      <c r="S732" s="14">
        <v>10</v>
      </c>
      <c r="T732" s="14"/>
      <c r="U732" s="14" t="s">
        <v>2848</v>
      </c>
      <c r="V732" s="14" t="s">
        <v>2857</v>
      </c>
      <c r="W732" s="14" t="s">
        <v>2858</v>
      </c>
      <c r="X732" s="17">
        <v>0</v>
      </c>
      <c r="Y732" s="15" t="s">
        <v>2875</v>
      </c>
      <c r="Z732" s="18" t="s">
        <v>2929</v>
      </c>
      <c r="AA732" s="22" t="s">
        <v>2931</v>
      </c>
      <c r="AB732" s="16"/>
      <c r="AC732" s="16"/>
      <c r="AD732" s="16"/>
      <c r="AE732" s="16" t="s">
        <v>2933</v>
      </c>
      <c r="AF732" s="16"/>
      <c r="AI732" s="3" t="str">
        <f t="shared" ca="1" si="11"/>
        <v>OK</v>
      </c>
    </row>
    <row r="733" spans="1:35" hidden="1" x14ac:dyDescent="0.3">
      <c r="A733" s="13">
        <v>46032</v>
      </c>
      <c r="B733" s="14" t="s">
        <v>2806</v>
      </c>
      <c r="C733" s="16"/>
      <c r="D733" s="16"/>
      <c r="E733" s="15" t="s">
        <v>857</v>
      </c>
      <c r="F733" s="15" t="s">
        <v>912</v>
      </c>
      <c r="G733" s="15" t="s">
        <v>777</v>
      </c>
      <c r="H733" s="15"/>
      <c r="I733" s="15" t="s">
        <v>2686</v>
      </c>
      <c r="J733" s="15" t="s">
        <v>2687</v>
      </c>
      <c r="K733" s="16"/>
      <c r="L733" s="14" t="s">
        <v>2823</v>
      </c>
      <c r="M733" s="16"/>
      <c r="N733" s="15" t="s">
        <v>1207</v>
      </c>
      <c r="O733" s="14">
        <v>2.6</v>
      </c>
      <c r="P733" s="14" t="s">
        <v>2845</v>
      </c>
      <c r="Q733" s="14" cm="1">
        <f t="array" ref="Q733">_xlfn.IFS(P733="USD",O733,P733="VND",O733/26090,P733="JPY",O733/161)</f>
        <v>2.6</v>
      </c>
      <c r="R733" s="14">
        <v>35</v>
      </c>
      <c r="S733" s="14">
        <v>1</v>
      </c>
      <c r="T733" s="14"/>
      <c r="U733" s="14" t="s">
        <v>2848</v>
      </c>
      <c r="V733" s="14" t="s">
        <v>2857</v>
      </c>
      <c r="W733" s="14" t="s">
        <v>2858</v>
      </c>
      <c r="X733" s="17">
        <v>0</v>
      </c>
      <c r="Y733" s="15" t="s">
        <v>2875</v>
      </c>
      <c r="Z733" s="20">
        <v>46243</v>
      </c>
      <c r="AA733" s="20">
        <v>46608</v>
      </c>
      <c r="AB733" s="16"/>
      <c r="AC733" s="16"/>
      <c r="AD733" s="16"/>
      <c r="AE733" s="16" t="s">
        <v>2957</v>
      </c>
      <c r="AF733" s="16"/>
      <c r="AI733" s="3" t="str">
        <f t="shared" ca="1" si="11"/>
        <v>OK</v>
      </c>
    </row>
    <row r="734" spans="1:35" hidden="1" x14ac:dyDescent="0.3">
      <c r="A734" s="13">
        <v>46032</v>
      </c>
      <c r="B734" s="14" t="s">
        <v>2806</v>
      </c>
      <c r="C734" s="16"/>
      <c r="D734" s="16"/>
      <c r="E734" s="15" t="s">
        <v>857</v>
      </c>
      <c r="F734" s="15" t="s">
        <v>912</v>
      </c>
      <c r="G734" s="15" t="s">
        <v>778</v>
      </c>
      <c r="H734" s="15"/>
      <c r="I734" s="15" t="s">
        <v>2688</v>
      </c>
      <c r="J734" s="15" t="s">
        <v>2689</v>
      </c>
      <c r="K734" s="16"/>
      <c r="L734" s="14" t="s">
        <v>2823</v>
      </c>
      <c r="M734" s="16"/>
      <c r="N734" s="15" t="s">
        <v>1207</v>
      </c>
      <c r="O734" s="14">
        <v>2.64</v>
      </c>
      <c r="P734" s="14" t="s">
        <v>2845</v>
      </c>
      <c r="Q734" s="14" cm="1">
        <f t="array" ref="Q734">_xlfn.IFS(P734="USD",O734,P734="VND",O734/26090,P734="JPY",O734/161)</f>
        <v>2.64</v>
      </c>
      <c r="R734" s="14">
        <v>35</v>
      </c>
      <c r="S734" s="14">
        <v>1</v>
      </c>
      <c r="T734" s="14"/>
      <c r="U734" s="14" t="s">
        <v>2848</v>
      </c>
      <c r="V734" s="14" t="s">
        <v>2857</v>
      </c>
      <c r="W734" s="14" t="s">
        <v>2858</v>
      </c>
      <c r="X734" s="17">
        <v>0</v>
      </c>
      <c r="Y734" s="15" t="s">
        <v>2875</v>
      </c>
      <c r="Z734" s="20">
        <v>46243</v>
      </c>
      <c r="AA734" s="20">
        <v>46608</v>
      </c>
      <c r="AB734" s="16"/>
      <c r="AC734" s="16"/>
      <c r="AD734" s="16"/>
      <c r="AE734" s="16" t="s">
        <v>2957</v>
      </c>
      <c r="AF734" s="16"/>
      <c r="AI734" s="3" t="str">
        <f t="shared" ca="1" si="11"/>
        <v>OK</v>
      </c>
    </row>
    <row r="735" spans="1:35" hidden="1" x14ac:dyDescent="0.3">
      <c r="A735" s="13">
        <v>46032</v>
      </c>
      <c r="B735" s="14" t="s">
        <v>2806</v>
      </c>
      <c r="C735" s="16"/>
      <c r="D735" s="16"/>
      <c r="E735" s="15" t="s">
        <v>857</v>
      </c>
      <c r="F735" s="15" t="s">
        <v>912</v>
      </c>
      <c r="G735" s="15" t="s">
        <v>779</v>
      </c>
      <c r="H735" s="15"/>
      <c r="I735" s="15" t="s">
        <v>2690</v>
      </c>
      <c r="J735" s="15" t="s">
        <v>2691</v>
      </c>
      <c r="K735" s="16"/>
      <c r="L735" s="14" t="s">
        <v>2815</v>
      </c>
      <c r="M735" s="16"/>
      <c r="N735" s="15" t="s">
        <v>1208</v>
      </c>
      <c r="O735" s="14">
        <v>152.5</v>
      </c>
      <c r="P735" s="14" t="s">
        <v>2845</v>
      </c>
      <c r="Q735" s="14" cm="1">
        <f t="array" ref="Q735">_xlfn.IFS(P735="USD",O735,P735="VND",O735/26090,P735="JPY",O735/161)</f>
        <v>152.5</v>
      </c>
      <c r="R735" s="14">
        <v>35</v>
      </c>
      <c r="S735" s="14">
        <v>1</v>
      </c>
      <c r="T735" s="14"/>
      <c r="U735" s="14" t="s">
        <v>2848</v>
      </c>
      <c r="V735" s="14" t="s">
        <v>2857</v>
      </c>
      <c r="W735" s="14" t="s">
        <v>2858</v>
      </c>
      <c r="X735" s="17">
        <v>0</v>
      </c>
      <c r="Y735" s="15" t="s">
        <v>2875</v>
      </c>
      <c r="Z735" s="20">
        <v>46243</v>
      </c>
      <c r="AA735" s="20">
        <v>46608</v>
      </c>
      <c r="AB735" s="16"/>
      <c r="AC735" s="16"/>
      <c r="AD735" s="16"/>
      <c r="AE735" s="16" t="s">
        <v>2957</v>
      </c>
      <c r="AF735" s="16"/>
      <c r="AI735" s="3" t="str">
        <f t="shared" ca="1" si="11"/>
        <v>OK</v>
      </c>
    </row>
    <row r="736" spans="1:35" hidden="1" x14ac:dyDescent="0.3">
      <c r="A736" s="13">
        <v>46032</v>
      </c>
      <c r="B736" s="14" t="s">
        <v>2806</v>
      </c>
      <c r="C736" s="16"/>
      <c r="D736" s="16"/>
      <c r="E736" s="15" t="s">
        <v>849</v>
      </c>
      <c r="F736" s="15" t="s">
        <v>1243</v>
      </c>
      <c r="G736" s="15" t="s">
        <v>780</v>
      </c>
      <c r="H736" s="15" t="s">
        <v>849</v>
      </c>
      <c r="I736" s="15" t="s">
        <v>2692</v>
      </c>
      <c r="J736" s="15" t="s">
        <v>2693</v>
      </c>
      <c r="K736" s="16"/>
      <c r="L736" s="14" t="s">
        <v>2818</v>
      </c>
      <c r="M736" s="16"/>
      <c r="N736" s="15" t="s">
        <v>1087</v>
      </c>
      <c r="O736" s="14">
        <v>62.13</v>
      </c>
      <c r="P736" s="14" t="s">
        <v>2845</v>
      </c>
      <c r="Q736" s="14" cm="1">
        <f t="array" ref="Q736">_xlfn.IFS(P736="USD",O736,P736="VND",O736/26090,P736="JPY",O736/161)</f>
        <v>62.13</v>
      </c>
      <c r="R736" s="14">
        <v>21</v>
      </c>
      <c r="S736" s="14">
        <v>1</v>
      </c>
      <c r="T736" s="14"/>
      <c r="U736" s="14" t="s">
        <v>2849</v>
      </c>
      <c r="V736" s="14" t="s">
        <v>2857</v>
      </c>
      <c r="W736" s="14" t="s">
        <v>2858</v>
      </c>
      <c r="X736" s="17">
        <v>0</v>
      </c>
      <c r="Y736" s="15" t="s">
        <v>2875</v>
      </c>
      <c r="Z736" s="20">
        <v>46028</v>
      </c>
      <c r="AA736" s="20">
        <v>46393</v>
      </c>
      <c r="AB736" s="16"/>
      <c r="AC736" s="16"/>
      <c r="AD736" s="16"/>
      <c r="AE736" s="16" t="s">
        <v>2959</v>
      </c>
      <c r="AF736" s="16"/>
      <c r="AI736" s="3" t="str">
        <f t="shared" ca="1" si="11"/>
        <v>OK</v>
      </c>
    </row>
    <row r="737" spans="1:35" x14ac:dyDescent="0.3">
      <c r="A737" s="13">
        <v>46032</v>
      </c>
      <c r="B737" s="14" t="s">
        <v>2806</v>
      </c>
      <c r="C737" s="16"/>
      <c r="D737" s="16"/>
      <c r="E737" s="15" t="s">
        <v>862</v>
      </c>
      <c r="F737" s="15" t="s">
        <v>1251</v>
      </c>
      <c r="G737" s="15" t="s">
        <v>781</v>
      </c>
      <c r="H737" s="15" t="s">
        <v>862</v>
      </c>
      <c r="I737" s="15" t="s">
        <v>2694</v>
      </c>
      <c r="J737" s="15" t="s">
        <v>2695</v>
      </c>
      <c r="K737" s="16"/>
      <c r="L737" s="14" t="s">
        <v>2831</v>
      </c>
      <c r="M737" s="16"/>
      <c r="N737" s="15" t="s">
        <v>950</v>
      </c>
      <c r="O737" s="14">
        <v>5700000</v>
      </c>
      <c r="P737" s="14" t="s">
        <v>2846</v>
      </c>
      <c r="Q737" s="14" cm="1">
        <f t="array" ref="Q737">_xlfn.IFS(P737="USD",O737,P737="VND",O737/26090,P737="JPY",O737/161)</f>
        <v>218.47451130701418</v>
      </c>
      <c r="R737" s="14">
        <v>10</v>
      </c>
      <c r="S737" s="14">
        <v>1</v>
      </c>
      <c r="T737" s="14"/>
      <c r="U737" s="14" t="s">
        <v>2848</v>
      </c>
      <c r="V737" s="14" t="s">
        <v>2857</v>
      </c>
      <c r="W737" s="14" t="s">
        <v>2858</v>
      </c>
      <c r="X737" s="17">
        <v>0</v>
      </c>
      <c r="Y737" s="15" t="s">
        <v>2875</v>
      </c>
      <c r="Z737" s="18" t="s">
        <v>2929</v>
      </c>
      <c r="AA737" s="22" t="s">
        <v>2931</v>
      </c>
      <c r="AB737" s="16"/>
      <c r="AC737" s="16"/>
      <c r="AD737" s="16"/>
      <c r="AE737" s="16" t="s">
        <v>2933</v>
      </c>
      <c r="AF737" s="16"/>
      <c r="AI737" s="3" t="str">
        <f t="shared" ca="1" si="11"/>
        <v>OK</v>
      </c>
    </row>
    <row r="738" spans="1:35" x14ac:dyDescent="0.3">
      <c r="A738" s="13">
        <v>46032</v>
      </c>
      <c r="B738" s="14" t="s">
        <v>2806</v>
      </c>
      <c r="C738" s="16"/>
      <c r="D738" s="16"/>
      <c r="E738" s="15" t="s">
        <v>862</v>
      </c>
      <c r="F738" s="15" t="s">
        <v>1251</v>
      </c>
      <c r="G738" s="15" t="s">
        <v>782</v>
      </c>
      <c r="H738" s="15" t="s">
        <v>862</v>
      </c>
      <c r="I738" s="15" t="s">
        <v>2696</v>
      </c>
      <c r="J738" s="15" t="s">
        <v>2697</v>
      </c>
      <c r="K738" s="16"/>
      <c r="L738" s="14" t="s">
        <v>2825</v>
      </c>
      <c r="M738" s="16"/>
      <c r="N738" s="15" t="s">
        <v>1178</v>
      </c>
      <c r="O738" s="14">
        <v>28400</v>
      </c>
      <c r="P738" s="14" t="s">
        <v>2846</v>
      </c>
      <c r="Q738" s="14" cm="1">
        <f t="array" ref="Q738">_xlfn.IFS(P738="USD",O738,P738="VND",O738/26090,P738="JPY",O738/161)</f>
        <v>1.08853967037179</v>
      </c>
      <c r="R738" s="14">
        <v>7</v>
      </c>
      <c r="S738" s="14">
        <v>200</v>
      </c>
      <c r="T738" s="14"/>
      <c r="U738" s="14" t="s">
        <v>2848</v>
      </c>
      <c r="V738" s="14" t="s">
        <v>2857</v>
      </c>
      <c r="W738" s="14" t="s">
        <v>2858</v>
      </c>
      <c r="X738" s="17">
        <v>0</v>
      </c>
      <c r="Y738" s="15" t="s">
        <v>2875</v>
      </c>
      <c r="Z738" s="18" t="s">
        <v>2929</v>
      </c>
      <c r="AA738" s="22" t="s">
        <v>2931</v>
      </c>
      <c r="AB738" s="16"/>
      <c r="AC738" s="16"/>
      <c r="AD738" s="16"/>
      <c r="AE738" s="16" t="s">
        <v>2933</v>
      </c>
      <c r="AF738" s="16"/>
      <c r="AI738" s="3" t="str">
        <f t="shared" ca="1" si="11"/>
        <v>OK</v>
      </c>
    </row>
    <row r="739" spans="1:35" x14ac:dyDescent="0.3">
      <c r="A739" s="13">
        <v>46032</v>
      </c>
      <c r="B739" s="14" t="s">
        <v>2806</v>
      </c>
      <c r="C739" s="16"/>
      <c r="D739" s="16"/>
      <c r="E739" s="15" t="s">
        <v>862</v>
      </c>
      <c r="F739" s="15" t="s">
        <v>1251</v>
      </c>
      <c r="G739" s="15" t="s">
        <v>783</v>
      </c>
      <c r="H739" s="15" t="s">
        <v>862</v>
      </c>
      <c r="I739" s="15" t="s">
        <v>2699</v>
      </c>
      <c r="J739" s="15" t="s">
        <v>2698</v>
      </c>
      <c r="K739" s="16"/>
      <c r="L739" s="14" t="s">
        <v>2825</v>
      </c>
      <c r="M739" s="16"/>
      <c r="N739" s="15" t="s">
        <v>1178</v>
      </c>
      <c r="O739" s="14">
        <v>11500</v>
      </c>
      <c r="P739" s="14" t="s">
        <v>2846</v>
      </c>
      <c r="Q739" s="14" cm="1">
        <f t="array" ref="Q739">_xlfn.IFS(P739="USD",O739,P739="VND",O739/26090,P739="JPY",O739/161)</f>
        <v>0.44078190877730933</v>
      </c>
      <c r="R739" s="14">
        <v>7</v>
      </c>
      <c r="S739" s="14">
        <v>100</v>
      </c>
      <c r="T739" s="14"/>
      <c r="U739" s="14" t="s">
        <v>2848</v>
      </c>
      <c r="V739" s="14" t="s">
        <v>2857</v>
      </c>
      <c r="W739" s="14" t="s">
        <v>2858</v>
      </c>
      <c r="X739" s="17">
        <v>0</v>
      </c>
      <c r="Y739" s="15" t="s">
        <v>2875</v>
      </c>
      <c r="Z739" s="18" t="s">
        <v>2929</v>
      </c>
      <c r="AA739" s="22" t="s">
        <v>2931</v>
      </c>
      <c r="AB739" s="16"/>
      <c r="AC739" s="16"/>
      <c r="AD739" s="16"/>
      <c r="AE739" s="16" t="s">
        <v>2933</v>
      </c>
      <c r="AF739" s="16"/>
      <c r="AI739" s="3" t="str">
        <f t="shared" ca="1" si="11"/>
        <v>OK</v>
      </c>
    </row>
    <row r="740" spans="1:35" hidden="1" x14ac:dyDescent="0.3">
      <c r="A740" s="13">
        <v>46032</v>
      </c>
      <c r="B740" s="14" t="s">
        <v>2806</v>
      </c>
      <c r="C740" s="16"/>
      <c r="D740" s="16"/>
      <c r="E740" s="15" t="s">
        <v>873</v>
      </c>
      <c r="F740" s="15" t="s">
        <v>1259</v>
      </c>
      <c r="G740" s="15" t="s">
        <v>784</v>
      </c>
      <c r="H740" s="15" t="s">
        <v>873</v>
      </c>
      <c r="I740" s="15" t="s">
        <v>2700</v>
      </c>
      <c r="J740" s="15" t="s">
        <v>2701</v>
      </c>
      <c r="K740" s="16"/>
      <c r="L740" s="14" t="s">
        <v>2814</v>
      </c>
      <c r="M740" s="16"/>
      <c r="N740" s="15" t="s">
        <v>1209</v>
      </c>
      <c r="O740" s="14">
        <v>127.65</v>
      </c>
      <c r="P740" s="14" t="s">
        <v>2845</v>
      </c>
      <c r="Q740" s="14" cm="1">
        <f t="array" ref="Q740">_xlfn.IFS(P740="USD",O740,P740="VND",O740/26090,P740="JPY",O740/161)</f>
        <v>127.65</v>
      </c>
      <c r="R740" s="14">
        <v>60</v>
      </c>
      <c r="S740" s="14">
        <v>20</v>
      </c>
      <c r="T740" s="14"/>
      <c r="U740" s="14" t="s">
        <v>2855</v>
      </c>
      <c r="V740" s="14" t="s">
        <v>2859</v>
      </c>
      <c r="W740" s="14" t="s">
        <v>2856</v>
      </c>
      <c r="X740" s="17">
        <v>0</v>
      </c>
      <c r="Y740" s="15" t="s">
        <v>2888</v>
      </c>
      <c r="Z740" s="20">
        <v>46032</v>
      </c>
      <c r="AA740" s="20" t="s">
        <v>2965</v>
      </c>
      <c r="AB740" s="16"/>
      <c r="AC740" s="16"/>
      <c r="AD740" s="16"/>
      <c r="AE740" s="16" t="s">
        <v>2966</v>
      </c>
      <c r="AF740" s="16"/>
      <c r="AI740" s="3" t="str">
        <f t="shared" ca="1" si="11"/>
        <v>OK</v>
      </c>
    </row>
    <row r="741" spans="1:35" hidden="1" x14ac:dyDescent="0.3">
      <c r="A741" s="13">
        <v>46032</v>
      </c>
      <c r="B741" s="14" t="s">
        <v>2806</v>
      </c>
      <c r="C741" s="16"/>
      <c r="D741" s="16"/>
      <c r="E741" s="15" t="s">
        <v>849</v>
      </c>
      <c r="F741" s="15" t="s">
        <v>1243</v>
      </c>
      <c r="G741" s="15" t="s">
        <v>785</v>
      </c>
      <c r="H741" s="15" t="s">
        <v>849</v>
      </c>
      <c r="I741" s="15" t="s">
        <v>2702</v>
      </c>
      <c r="J741" s="15" t="s">
        <v>2703</v>
      </c>
      <c r="K741" s="16"/>
      <c r="L741" s="14" t="s">
        <v>2823</v>
      </c>
      <c r="M741" s="16"/>
      <c r="N741" s="15" t="s">
        <v>1040</v>
      </c>
      <c r="O741" s="14">
        <v>4.46</v>
      </c>
      <c r="P741" s="14" t="s">
        <v>2845</v>
      </c>
      <c r="Q741" s="14" cm="1">
        <f t="array" ref="Q741">_xlfn.IFS(P741="USD",O741,P741="VND",O741/26090,P741="JPY",O741/161)</f>
        <v>4.46</v>
      </c>
      <c r="R741" s="14">
        <v>21</v>
      </c>
      <c r="S741" s="14">
        <v>1</v>
      </c>
      <c r="T741" s="14"/>
      <c r="U741" s="14" t="s">
        <v>2849</v>
      </c>
      <c r="V741" s="14" t="s">
        <v>2857</v>
      </c>
      <c r="W741" s="14" t="s">
        <v>2858</v>
      </c>
      <c r="X741" s="17">
        <v>0</v>
      </c>
      <c r="Y741" s="15" t="s">
        <v>2875</v>
      </c>
      <c r="Z741" s="20">
        <v>46028</v>
      </c>
      <c r="AA741" s="20">
        <v>46393</v>
      </c>
      <c r="AB741" s="16"/>
      <c r="AC741" s="16"/>
      <c r="AD741" s="16"/>
      <c r="AE741" s="16" t="s">
        <v>2959</v>
      </c>
      <c r="AF741" s="16"/>
      <c r="AI741" s="3" t="str">
        <f t="shared" ca="1" si="11"/>
        <v>OK</v>
      </c>
    </row>
    <row r="742" spans="1:35" hidden="1" x14ac:dyDescent="0.3">
      <c r="A742" s="13">
        <v>46032</v>
      </c>
      <c r="B742" s="14" t="s">
        <v>2806</v>
      </c>
      <c r="C742" s="16"/>
      <c r="D742" s="16"/>
      <c r="E742" s="15" t="s">
        <v>902</v>
      </c>
      <c r="F742" s="15" t="s">
        <v>1283</v>
      </c>
      <c r="G742" s="15" t="s">
        <v>786</v>
      </c>
      <c r="H742" s="15" t="s">
        <v>902</v>
      </c>
      <c r="I742" s="15" t="s">
        <v>2704</v>
      </c>
      <c r="J742" s="15" t="s">
        <v>2705</v>
      </c>
      <c r="K742" s="16"/>
      <c r="L742" s="14" t="s">
        <v>2823</v>
      </c>
      <c r="M742" s="16"/>
      <c r="N742" s="15" t="s">
        <v>1210</v>
      </c>
      <c r="O742" s="14">
        <v>1.9199999999999998E-2</v>
      </c>
      <c r="P742" s="14" t="s">
        <v>2845</v>
      </c>
      <c r="Q742" s="14" cm="1">
        <f t="array" ref="Q742">_xlfn.IFS(P742="USD",O742,P742="VND",O742/26090,P742="JPY",O742/161)</f>
        <v>1.9199999999999998E-2</v>
      </c>
      <c r="R742" s="14">
        <v>30</v>
      </c>
      <c r="S742" s="14">
        <v>90000</v>
      </c>
      <c r="T742" s="14"/>
      <c r="U742" s="14" t="s">
        <v>2848</v>
      </c>
      <c r="V742" s="14" t="s">
        <v>2857</v>
      </c>
      <c r="W742" s="14" t="s">
        <v>2858</v>
      </c>
      <c r="X742" s="17">
        <v>0</v>
      </c>
      <c r="Y742" s="15" t="s">
        <v>2885</v>
      </c>
      <c r="Z742" s="20">
        <v>45667</v>
      </c>
      <c r="AA742" s="18"/>
      <c r="AB742" s="16"/>
      <c r="AC742" s="16"/>
      <c r="AD742" s="16"/>
      <c r="AE742" s="16" t="s">
        <v>2992</v>
      </c>
      <c r="AF742" s="16"/>
      <c r="AI742" s="3" t="str">
        <f t="shared" ca="1" si="11"/>
        <v>OK</v>
      </c>
    </row>
    <row r="743" spans="1:35" hidden="1" x14ac:dyDescent="0.3">
      <c r="A743" s="13">
        <v>46032</v>
      </c>
      <c r="B743" s="14" t="s">
        <v>2806</v>
      </c>
      <c r="C743" s="16"/>
      <c r="D743" s="16"/>
      <c r="E743" s="15" t="s">
        <v>902</v>
      </c>
      <c r="F743" s="15" t="s">
        <v>1283</v>
      </c>
      <c r="G743" s="15" t="s">
        <v>787</v>
      </c>
      <c r="H743" s="15" t="s">
        <v>902</v>
      </c>
      <c r="I743" s="15" t="s">
        <v>2706</v>
      </c>
      <c r="J743" s="15" t="s">
        <v>2707</v>
      </c>
      <c r="K743" s="16"/>
      <c r="L743" s="14" t="s">
        <v>2823</v>
      </c>
      <c r="M743" s="16"/>
      <c r="N743" s="15" t="s">
        <v>1210</v>
      </c>
      <c r="O743" s="14">
        <v>2.5000000000000001E-2</v>
      </c>
      <c r="P743" s="14" t="s">
        <v>2845</v>
      </c>
      <c r="Q743" s="14" cm="1">
        <f t="array" ref="Q743">_xlfn.IFS(P743="USD",O743,P743="VND",O743/26090,P743="JPY",O743/161)</f>
        <v>2.5000000000000001E-2</v>
      </c>
      <c r="R743" s="14">
        <v>30</v>
      </c>
      <c r="S743" s="14">
        <v>150000</v>
      </c>
      <c r="T743" s="14"/>
      <c r="U743" s="14" t="s">
        <v>2848</v>
      </c>
      <c r="V743" s="14" t="s">
        <v>2857</v>
      </c>
      <c r="W743" s="14" t="s">
        <v>2858</v>
      </c>
      <c r="X743" s="17">
        <v>0</v>
      </c>
      <c r="Y743" s="15" t="s">
        <v>2885</v>
      </c>
      <c r="Z743" s="20">
        <v>45667</v>
      </c>
      <c r="AA743" s="18"/>
      <c r="AB743" s="16"/>
      <c r="AC743" s="16"/>
      <c r="AD743" s="16"/>
      <c r="AE743" s="16" t="s">
        <v>2992</v>
      </c>
      <c r="AF743" s="16"/>
      <c r="AI743" s="3" t="str">
        <f t="shared" ca="1" si="11"/>
        <v>OK</v>
      </c>
    </row>
    <row r="744" spans="1:35" hidden="1" x14ac:dyDescent="0.3">
      <c r="A744" s="13">
        <v>46032</v>
      </c>
      <c r="B744" s="14" t="s">
        <v>2806</v>
      </c>
      <c r="C744" s="16"/>
      <c r="D744" s="16"/>
      <c r="E744" s="15" t="s">
        <v>849</v>
      </c>
      <c r="F744" s="15" t="s">
        <v>1243</v>
      </c>
      <c r="G744" s="15" t="s">
        <v>788</v>
      </c>
      <c r="H744" s="15" t="s">
        <v>849</v>
      </c>
      <c r="I744" s="15" t="s">
        <v>2708</v>
      </c>
      <c r="J744" s="15" t="s">
        <v>2709</v>
      </c>
      <c r="K744" s="16"/>
      <c r="L744" s="14" t="s">
        <v>2823</v>
      </c>
      <c r="M744" s="16"/>
      <c r="N744" s="15" t="s">
        <v>1048</v>
      </c>
      <c r="O744" s="14">
        <v>5.5</v>
      </c>
      <c r="P744" s="14" t="s">
        <v>2845</v>
      </c>
      <c r="Q744" s="14" cm="1">
        <f t="array" ref="Q744">_xlfn.IFS(P744="USD",O744,P744="VND",O744/26090,P744="JPY",O744/161)</f>
        <v>5.5</v>
      </c>
      <c r="R744" s="14">
        <v>21</v>
      </c>
      <c r="S744" s="14">
        <v>1</v>
      </c>
      <c r="T744" s="14"/>
      <c r="U744" s="14" t="s">
        <v>2849</v>
      </c>
      <c r="V744" s="14" t="s">
        <v>2857</v>
      </c>
      <c r="W744" s="14" t="s">
        <v>2858</v>
      </c>
      <c r="X744" s="17">
        <v>0</v>
      </c>
      <c r="Y744" s="15" t="s">
        <v>2875</v>
      </c>
      <c r="Z744" s="20">
        <v>46028</v>
      </c>
      <c r="AA744" s="20">
        <v>46393</v>
      </c>
      <c r="AB744" s="16"/>
      <c r="AC744" s="16"/>
      <c r="AD744" s="16"/>
      <c r="AE744" s="16" t="s">
        <v>2959</v>
      </c>
      <c r="AF744" s="16"/>
      <c r="AI744" s="3" t="str">
        <f t="shared" ca="1" si="11"/>
        <v>OK</v>
      </c>
    </row>
    <row r="745" spans="1:35" x14ac:dyDescent="0.3">
      <c r="A745" s="13">
        <v>46032</v>
      </c>
      <c r="B745" s="14" t="s">
        <v>2806</v>
      </c>
      <c r="C745" s="16"/>
      <c r="D745" s="16"/>
      <c r="E745" s="15" t="s">
        <v>862</v>
      </c>
      <c r="F745" s="15" t="s">
        <v>1251</v>
      </c>
      <c r="G745" s="15" t="s">
        <v>789</v>
      </c>
      <c r="H745" s="15" t="s">
        <v>862</v>
      </c>
      <c r="I745" s="15" t="s">
        <v>2710</v>
      </c>
      <c r="J745" s="15" t="s">
        <v>2711</v>
      </c>
      <c r="K745" s="16"/>
      <c r="L745" s="14" t="s">
        <v>2823</v>
      </c>
      <c r="M745" s="16"/>
      <c r="N745" s="15" t="s">
        <v>1211</v>
      </c>
      <c r="O745" s="14">
        <v>320000</v>
      </c>
      <c r="P745" s="14" t="s">
        <v>2846</v>
      </c>
      <c r="Q745" s="14" cm="1">
        <f t="array" ref="Q745">_xlfn.IFS(P745="USD",O745,P745="VND",O745/26090,P745="JPY",O745/161)</f>
        <v>12.265235722499042</v>
      </c>
      <c r="R745" s="14">
        <v>7</v>
      </c>
      <c r="S745" s="14">
        <v>10</v>
      </c>
      <c r="T745" s="14"/>
      <c r="U745" s="14" t="s">
        <v>2848</v>
      </c>
      <c r="V745" s="14" t="s">
        <v>2857</v>
      </c>
      <c r="W745" s="14" t="s">
        <v>2858</v>
      </c>
      <c r="X745" s="17">
        <v>0</v>
      </c>
      <c r="Y745" s="15" t="s">
        <v>2875</v>
      </c>
      <c r="Z745" s="18" t="s">
        <v>2929</v>
      </c>
      <c r="AA745" s="22" t="s">
        <v>2931</v>
      </c>
      <c r="AB745" s="16"/>
      <c r="AC745" s="16"/>
      <c r="AD745" s="16"/>
      <c r="AE745" s="16" t="s">
        <v>2933</v>
      </c>
      <c r="AF745" s="16"/>
      <c r="AI745" s="3" t="str">
        <f t="shared" ca="1" si="11"/>
        <v>OK</v>
      </c>
    </row>
    <row r="746" spans="1:35" hidden="1" x14ac:dyDescent="0.3">
      <c r="A746" s="13">
        <v>46032</v>
      </c>
      <c r="B746" s="14" t="s">
        <v>2806</v>
      </c>
      <c r="C746" s="16"/>
      <c r="D746" s="16"/>
      <c r="E746" s="15" t="s">
        <v>858</v>
      </c>
      <c r="F746" s="15" t="s">
        <v>1248</v>
      </c>
      <c r="G746" s="15" t="s">
        <v>790</v>
      </c>
      <c r="H746" s="15" t="s">
        <v>858</v>
      </c>
      <c r="I746" s="15" t="s">
        <v>2712</v>
      </c>
      <c r="J746" s="15" t="s">
        <v>2713</v>
      </c>
      <c r="K746" s="16"/>
      <c r="L746" s="14" t="s">
        <v>2843</v>
      </c>
      <c r="M746" s="16"/>
      <c r="N746" s="15" t="s">
        <v>1212</v>
      </c>
      <c r="O746" s="14">
        <v>394.94</v>
      </c>
      <c r="P746" s="14" t="s">
        <v>2845</v>
      </c>
      <c r="Q746" s="14" cm="1">
        <f t="array" ref="Q746">_xlfn.IFS(P746="USD",O746,P746="VND",O746/26090,P746="JPY",O746/161)</f>
        <v>394.94</v>
      </c>
      <c r="R746" s="14">
        <v>75</v>
      </c>
      <c r="S746" s="14">
        <v>1</v>
      </c>
      <c r="T746" s="14"/>
      <c r="U746" s="14" t="s">
        <v>2852</v>
      </c>
      <c r="V746" s="14" t="s">
        <v>2864</v>
      </c>
      <c r="W746" s="14" t="s">
        <v>2860</v>
      </c>
      <c r="X746" s="17">
        <v>0</v>
      </c>
      <c r="Y746" s="15" t="s">
        <v>2880</v>
      </c>
      <c r="Z746" s="18" t="s">
        <v>3050</v>
      </c>
      <c r="AA746" s="18"/>
      <c r="AB746" s="16"/>
      <c r="AC746" s="16"/>
      <c r="AD746" s="16"/>
      <c r="AE746" s="16" t="s">
        <v>3049</v>
      </c>
      <c r="AF746" s="16"/>
      <c r="AI746" s="3" t="str">
        <f t="shared" ca="1" si="11"/>
        <v>OK</v>
      </c>
    </row>
    <row r="747" spans="1:35" x14ac:dyDescent="0.3">
      <c r="A747" s="13">
        <v>46032</v>
      </c>
      <c r="B747" s="14" t="s">
        <v>2806</v>
      </c>
      <c r="C747" s="16"/>
      <c r="D747" s="16"/>
      <c r="E747" s="15" t="s">
        <v>862</v>
      </c>
      <c r="F747" s="15" t="s">
        <v>1251</v>
      </c>
      <c r="G747" s="15" t="s">
        <v>791</v>
      </c>
      <c r="H747" s="15" t="s">
        <v>862</v>
      </c>
      <c r="I747" s="15" t="e">
        <v>#N/A</v>
      </c>
      <c r="J747" s="15" t="e">
        <v>#N/A</v>
      </c>
      <c r="K747" s="16"/>
      <c r="L747" s="14" t="s">
        <v>2823</v>
      </c>
      <c r="M747" s="16"/>
      <c r="N747" s="15" t="s">
        <v>1213</v>
      </c>
      <c r="O747" s="14">
        <v>10350000</v>
      </c>
      <c r="P747" s="14" t="s">
        <v>2846</v>
      </c>
      <c r="Q747" s="14" cm="1">
        <f t="array" ref="Q747">_xlfn.IFS(P747="USD",O747,P747="VND",O747/26090,P747="JPY",O747/161)</f>
        <v>396.70371789957841</v>
      </c>
      <c r="R747" s="14">
        <v>25</v>
      </c>
      <c r="S747" s="14">
        <v>10</v>
      </c>
      <c r="T747" s="14"/>
      <c r="U747" s="14" t="s">
        <v>2848</v>
      </c>
      <c r="V747" s="14" t="s">
        <v>2857</v>
      </c>
      <c r="W747" s="14" t="s">
        <v>2858</v>
      </c>
      <c r="X747" s="17">
        <v>0</v>
      </c>
      <c r="Y747" s="15" t="s">
        <v>2875</v>
      </c>
      <c r="Z747" s="18" t="s">
        <v>2929</v>
      </c>
      <c r="AA747" s="22" t="s">
        <v>2931</v>
      </c>
      <c r="AB747" s="16"/>
      <c r="AC747" s="16"/>
      <c r="AD747" s="16"/>
      <c r="AE747" s="16" t="s">
        <v>2933</v>
      </c>
      <c r="AF747" s="16"/>
      <c r="AI747" s="3" t="str">
        <f t="shared" ca="1" si="11"/>
        <v>OK</v>
      </c>
    </row>
    <row r="748" spans="1:35" x14ac:dyDescent="0.3">
      <c r="A748" s="13">
        <v>46032</v>
      </c>
      <c r="B748" s="14" t="s">
        <v>2806</v>
      </c>
      <c r="C748" s="16"/>
      <c r="D748" s="16"/>
      <c r="E748" s="15" t="s">
        <v>862</v>
      </c>
      <c r="F748" s="15" t="s">
        <v>1251</v>
      </c>
      <c r="G748" s="15" t="s">
        <v>792</v>
      </c>
      <c r="H748" s="15" t="s">
        <v>862</v>
      </c>
      <c r="I748" s="15" t="s">
        <v>2714</v>
      </c>
      <c r="J748" s="15" t="s">
        <v>2715</v>
      </c>
      <c r="K748" s="16"/>
      <c r="L748" s="14" t="s">
        <v>2807</v>
      </c>
      <c r="M748" s="16"/>
      <c r="N748" s="15" t="s">
        <v>1214</v>
      </c>
      <c r="O748" s="14">
        <v>62800</v>
      </c>
      <c r="P748" s="14" t="s">
        <v>2846</v>
      </c>
      <c r="Q748" s="14" cm="1">
        <f t="array" ref="Q748">_xlfn.IFS(P748="USD",O748,P748="VND",O748/26090,P748="JPY",O748/161)</f>
        <v>2.4070525105404368</v>
      </c>
      <c r="R748" s="14">
        <v>7</v>
      </c>
      <c r="S748" s="14">
        <v>100</v>
      </c>
      <c r="T748" s="14"/>
      <c r="U748" s="14" t="s">
        <v>2848</v>
      </c>
      <c r="V748" s="14" t="s">
        <v>2857</v>
      </c>
      <c r="W748" s="14" t="s">
        <v>2858</v>
      </c>
      <c r="X748" s="17">
        <v>0</v>
      </c>
      <c r="Y748" s="15" t="s">
        <v>2875</v>
      </c>
      <c r="Z748" s="18" t="s">
        <v>2929</v>
      </c>
      <c r="AA748" s="22" t="s">
        <v>2931</v>
      </c>
      <c r="AB748" s="16"/>
      <c r="AC748" s="16"/>
      <c r="AD748" s="16"/>
      <c r="AE748" s="16" t="s">
        <v>2933</v>
      </c>
      <c r="AF748" s="16"/>
      <c r="AI748" s="3" t="str">
        <f t="shared" ca="1" si="11"/>
        <v>OK</v>
      </c>
    </row>
    <row r="749" spans="1:35" hidden="1" x14ac:dyDescent="0.3">
      <c r="A749" s="13">
        <v>46032</v>
      </c>
      <c r="B749" s="14" t="s">
        <v>2806</v>
      </c>
      <c r="C749" s="16"/>
      <c r="D749" s="16"/>
      <c r="E749" s="15" t="s">
        <v>849</v>
      </c>
      <c r="F749" s="15" t="s">
        <v>1243</v>
      </c>
      <c r="G749" s="15" t="s">
        <v>793</v>
      </c>
      <c r="H749" s="15" t="s">
        <v>849</v>
      </c>
      <c r="I749" s="15" t="s">
        <v>2716</v>
      </c>
      <c r="J749" s="15" t="s">
        <v>2717</v>
      </c>
      <c r="K749" s="16"/>
      <c r="L749" s="14" t="s">
        <v>2823</v>
      </c>
      <c r="M749" s="16"/>
      <c r="N749" s="15" t="s">
        <v>1215</v>
      </c>
      <c r="O749" s="14">
        <v>1055</v>
      </c>
      <c r="P749" s="14" t="s">
        <v>2845</v>
      </c>
      <c r="Q749" s="14" cm="1">
        <f t="array" ref="Q749">_xlfn.IFS(P749="USD",O749,P749="VND",O749/26090,P749="JPY",O749/161)</f>
        <v>1055</v>
      </c>
      <c r="R749" s="14">
        <v>21</v>
      </c>
      <c r="S749" s="14">
        <v>1</v>
      </c>
      <c r="T749" s="14"/>
      <c r="U749" s="14" t="s">
        <v>2849</v>
      </c>
      <c r="V749" s="14" t="s">
        <v>2857</v>
      </c>
      <c r="W749" s="14" t="s">
        <v>2858</v>
      </c>
      <c r="X749" s="17">
        <v>0</v>
      </c>
      <c r="Y749" s="15" t="s">
        <v>2875</v>
      </c>
      <c r="Z749" s="20">
        <v>46028</v>
      </c>
      <c r="AA749" s="20">
        <v>46393</v>
      </c>
      <c r="AB749" s="16"/>
      <c r="AC749" s="16"/>
      <c r="AD749" s="16"/>
      <c r="AE749" s="16" t="s">
        <v>2959</v>
      </c>
      <c r="AF749" s="16"/>
      <c r="AI749" s="3" t="str">
        <f t="shared" ca="1" si="11"/>
        <v>OK</v>
      </c>
    </row>
    <row r="750" spans="1:35" hidden="1" x14ac:dyDescent="0.3">
      <c r="A750" s="13">
        <v>46032</v>
      </c>
      <c r="B750" s="14" t="s">
        <v>2806</v>
      </c>
      <c r="C750" s="16"/>
      <c r="D750" s="16"/>
      <c r="E750" s="15" t="s">
        <v>849</v>
      </c>
      <c r="F750" s="15" t="s">
        <v>1243</v>
      </c>
      <c r="G750" s="15" t="s">
        <v>794</v>
      </c>
      <c r="H750" s="15" t="s">
        <v>849</v>
      </c>
      <c r="I750" s="15" t="s">
        <v>2718</v>
      </c>
      <c r="J750" s="15" t="s">
        <v>2719</v>
      </c>
      <c r="K750" s="16"/>
      <c r="L750" s="14" t="s">
        <v>2823</v>
      </c>
      <c r="M750" s="16"/>
      <c r="N750" s="15" t="s">
        <v>1216</v>
      </c>
      <c r="O750" s="14">
        <v>4.42</v>
      </c>
      <c r="P750" s="14" t="s">
        <v>2845</v>
      </c>
      <c r="Q750" s="14" cm="1">
        <f t="array" ref="Q750">_xlfn.IFS(P750="USD",O750,P750="VND",O750/26090,P750="JPY",O750/161)</f>
        <v>4.42</v>
      </c>
      <c r="R750" s="14">
        <v>42</v>
      </c>
      <c r="S750" s="14">
        <v>100</v>
      </c>
      <c r="T750" s="14"/>
      <c r="U750" s="14" t="s">
        <v>2849</v>
      </c>
      <c r="V750" s="14" t="s">
        <v>2857</v>
      </c>
      <c r="W750" s="14" t="s">
        <v>2858</v>
      </c>
      <c r="X750" s="17">
        <v>0</v>
      </c>
      <c r="Y750" s="15" t="s">
        <v>2875</v>
      </c>
      <c r="Z750" s="20">
        <v>46028</v>
      </c>
      <c r="AA750" s="20">
        <v>46393</v>
      </c>
      <c r="AB750" s="16"/>
      <c r="AC750" s="16"/>
      <c r="AD750" s="16"/>
      <c r="AE750" s="16" t="s">
        <v>2959</v>
      </c>
      <c r="AF750" s="16"/>
      <c r="AI750" s="3" t="str">
        <f t="shared" ca="1" si="11"/>
        <v>OK</v>
      </c>
    </row>
    <row r="751" spans="1:35" hidden="1" x14ac:dyDescent="0.3">
      <c r="A751" s="13">
        <v>46032</v>
      </c>
      <c r="B751" s="14" t="s">
        <v>2806</v>
      </c>
      <c r="C751" s="16"/>
      <c r="D751" s="16"/>
      <c r="E751" s="15" t="s">
        <v>849</v>
      </c>
      <c r="F751" s="15" t="s">
        <v>1243</v>
      </c>
      <c r="G751" s="15" t="s">
        <v>795</v>
      </c>
      <c r="H751" s="15" t="s">
        <v>849</v>
      </c>
      <c r="I751" s="15" t="s">
        <v>2720</v>
      </c>
      <c r="J751" s="15" t="s">
        <v>2721</v>
      </c>
      <c r="K751" s="16"/>
      <c r="L751" s="14" t="s">
        <v>2823</v>
      </c>
      <c r="M751" s="16"/>
      <c r="N751" s="15" t="s">
        <v>1217</v>
      </c>
      <c r="O751" s="14">
        <v>9.8000000000000007</v>
      </c>
      <c r="P751" s="14" t="s">
        <v>2845</v>
      </c>
      <c r="Q751" s="14" cm="1">
        <f t="array" ref="Q751">_xlfn.IFS(P751="USD",O751,P751="VND",O751/26090,P751="JPY",O751/161)</f>
        <v>9.8000000000000007</v>
      </c>
      <c r="R751" s="14">
        <v>21</v>
      </c>
      <c r="S751" s="14">
        <v>1</v>
      </c>
      <c r="T751" s="14"/>
      <c r="U751" s="14" t="s">
        <v>2849</v>
      </c>
      <c r="V751" s="14" t="s">
        <v>2857</v>
      </c>
      <c r="W751" s="14" t="s">
        <v>2858</v>
      </c>
      <c r="X751" s="17">
        <v>0</v>
      </c>
      <c r="Y751" s="15" t="s">
        <v>2875</v>
      </c>
      <c r="Z751" s="20">
        <v>46028</v>
      </c>
      <c r="AA751" s="20">
        <v>46393</v>
      </c>
      <c r="AB751" s="16"/>
      <c r="AC751" s="16"/>
      <c r="AD751" s="16"/>
      <c r="AE751" s="16" t="s">
        <v>2959</v>
      </c>
      <c r="AF751" s="16"/>
      <c r="AI751" s="3" t="str">
        <f t="shared" ca="1" si="11"/>
        <v>OK</v>
      </c>
    </row>
    <row r="752" spans="1:35" hidden="1" x14ac:dyDescent="0.3">
      <c r="A752" s="13">
        <v>46032</v>
      </c>
      <c r="B752" s="14" t="s">
        <v>2806</v>
      </c>
      <c r="C752" s="16"/>
      <c r="D752" s="16"/>
      <c r="E752" s="15" t="s">
        <v>849</v>
      </c>
      <c r="F752" s="15" t="s">
        <v>1243</v>
      </c>
      <c r="G752" s="15" t="s">
        <v>796</v>
      </c>
      <c r="H752" s="15" t="s">
        <v>849</v>
      </c>
      <c r="I752" s="15" t="s">
        <v>2722</v>
      </c>
      <c r="J752" s="15" t="s">
        <v>2723</v>
      </c>
      <c r="K752" s="16"/>
      <c r="L752" s="14" t="s">
        <v>2823</v>
      </c>
      <c r="M752" s="16"/>
      <c r="N752" s="15" t="s">
        <v>1218</v>
      </c>
      <c r="O752" s="14">
        <v>0.78</v>
      </c>
      <c r="P752" s="14" t="s">
        <v>2845</v>
      </c>
      <c r="Q752" s="14" cm="1">
        <f t="array" ref="Q752">_xlfn.IFS(P752="USD",O752,P752="VND",O752/26090,P752="JPY",O752/161)</f>
        <v>0.78</v>
      </c>
      <c r="R752" s="14">
        <v>21</v>
      </c>
      <c r="S752" s="14">
        <v>1</v>
      </c>
      <c r="T752" s="14"/>
      <c r="U752" s="14" t="s">
        <v>2849</v>
      </c>
      <c r="V752" s="14" t="s">
        <v>2857</v>
      </c>
      <c r="W752" s="14" t="s">
        <v>2858</v>
      </c>
      <c r="X752" s="17">
        <v>0</v>
      </c>
      <c r="Y752" s="15" t="s">
        <v>2875</v>
      </c>
      <c r="Z752" s="20">
        <v>46028</v>
      </c>
      <c r="AA752" s="20">
        <v>46393</v>
      </c>
      <c r="AB752" s="16"/>
      <c r="AC752" s="16"/>
      <c r="AD752" s="16"/>
      <c r="AE752" s="16" t="s">
        <v>2959</v>
      </c>
      <c r="AF752" s="16"/>
      <c r="AI752" s="3" t="str">
        <f t="shared" ca="1" si="11"/>
        <v>OK</v>
      </c>
    </row>
    <row r="753" spans="1:35" hidden="1" x14ac:dyDescent="0.3">
      <c r="A753" s="13">
        <v>46032</v>
      </c>
      <c r="B753" s="14" t="s">
        <v>2806</v>
      </c>
      <c r="C753" s="16"/>
      <c r="D753" s="16"/>
      <c r="E753" s="15" t="s">
        <v>849</v>
      </c>
      <c r="F753" s="15" t="s">
        <v>1243</v>
      </c>
      <c r="G753" s="15" t="s">
        <v>797</v>
      </c>
      <c r="H753" s="15" t="s">
        <v>849</v>
      </c>
      <c r="I753" s="15" t="s">
        <v>2724</v>
      </c>
      <c r="J753" s="15" t="s">
        <v>2725</v>
      </c>
      <c r="K753" s="16"/>
      <c r="L753" s="14" t="s">
        <v>2823</v>
      </c>
      <c r="M753" s="16"/>
      <c r="N753" s="15" t="s">
        <v>1218</v>
      </c>
      <c r="O753" s="14">
        <v>0.78</v>
      </c>
      <c r="P753" s="14" t="s">
        <v>2845</v>
      </c>
      <c r="Q753" s="14" cm="1">
        <f t="array" ref="Q753">_xlfn.IFS(P753="USD",O753,P753="VND",O753/26090,P753="JPY",O753/161)</f>
        <v>0.78</v>
      </c>
      <c r="R753" s="14">
        <v>21</v>
      </c>
      <c r="S753" s="14">
        <v>50</v>
      </c>
      <c r="T753" s="14"/>
      <c r="U753" s="14" t="s">
        <v>2849</v>
      </c>
      <c r="V753" s="14" t="s">
        <v>2857</v>
      </c>
      <c r="W753" s="14" t="s">
        <v>2858</v>
      </c>
      <c r="X753" s="17">
        <v>0</v>
      </c>
      <c r="Y753" s="15" t="s">
        <v>2875</v>
      </c>
      <c r="Z753" s="20">
        <v>46028</v>
      </c>
      <c r="AA753" s="20">
        <v>46393</v>
      </c>
      <c r="AB753" s="16"/>
      <c r="AC753" s="16"/>
      <c r="AD753" s="16"/>
      <c r="AE753" s="16" t="s">
        <v>2959</v>
      </c>
      <c r="AF753" s="16"/>
      <c r="AI753" s="3" t="str">
        <f t="shared" ca="1" si="11"/>
        <v>OK</v>
      </c>
    </row>
    <row r="754" spans="1:35" hidden="1" x14ac:dyDescent="0.3">
      <c r="A754" s="13">
        <v>46032</v>
      </c>
      <c r="B754" s="14" t="s">
        <v>2806</v>
      </c>
      <c r="C754" s="16"/>
      <c r="D754" s="16"/>
      <c r="E754" s="15" t="s">
        <v>849</v>
      </c>
      <c r="F754" s="15" t="s">
        <v>1243</v>
      </c>
      <c r="G754" s="15" t="s">
        <v>798</v>
      </c>
      <c r="H754" s="15" t="s">
        <v>849</v>
      </c>
      <c r="I754" s="15" t="s">
        <v>2726</v>
      </c>
      <c r="J754" s="15" t="s">
        <v>2727</v>
      </c>
      <c r="K754" s="16"/>
      <c r="L754" s="14" t="s">
        <v>2823</v>
      </c>
      <c r="M754" s="16"/>
      <c r="N754" s="15" t="s">
        <v>1218</v>
      </c>
      <c r="O754" s="14">
        <v>0.78</v>
      </c>
      <c r="P754" s="14" t="s">
        <v>2845</v>
      </c>
      <c r="Q754" s="14" cm="1">
        <f t="array" ref="Q754">_xlfn.IFS(P754="USD",O754,P754="VND",O754/26090,P754="JPY",O754/161)</f>
        <v>0.78</v>
      </c>
      <c r="R754" s="14">
        <v>21</v>
      </c>
      <c r="S754" s="14">
        <v>50</v>
      </c>
      <c r="T754" s="14"/>
      <c r="U754" s="14" t="s">
        <v>2849</v>
      </c>
      <c r="V754" s="14" t="s">
        <v>2857</v>
      </c>
      <c r="W754" s="14" t="s">
        <v>2858</v>
      </c>
      <c r="X754" s="17">
        <v>0</v>
      </c>
      <c r="Y754" s="15" t="s">
        <v>2875</v>
      </c>
      <c r="Z754" s="20">
        <v>46028</v>
      </c>
      <c r="AA754" s="20">
        <v>46393</v>
      </c>
      <c r="AB754" s="16"/>
      <c r="AC754" s="16"/>
      <c r="AD754" s="16"/>
      <c r="AE754" s="16" t="s">
        <v>2959</v>
      </c>
      <c r="AF754" s="16"/>
      <c r="AI754" s="3" t="str">
        <f t="shared" ca="1" si="11"/>
        <v>OK</v>
      </c>
    </row>
    <row r="755" spans="1:35" hidden="1" x14ac:dyDescent="0.3">
      <c r="A755" s="13">
        <v>46032</v>
      </c>
      <c r="B755" s="14" t="s">
        <v>2806</v>
      </c>
      <c r="C755" s="16"/>
      <c r="D755" s="16"/>
      <c r="E755" s="15" t="s">
        <v>849</v>
      </c>
      <c r="F755" s="15" t="s">
        <v>1243</v>
      </c>
      <c r="G755" s="15" t="s">
        <v>799</v>
      </c>
      <c r="H755" s="15" t="s">
        <v>849</v>
      </c>
      <c r="I755" s="15" t="s">
        <v>2728</v>
      </c>
      <c r="J755" s="15" t="s">
        <v>2729</v>
      </c>
      <c r="K755" s="16"/>
      <c r="L755" s="14" t="s">
        <v>2823</v>
      </c>
      <c r="M755" s="16"/>
      <c r="N755" s="15" t="s">
        <v>1218</v>
      </c>
      <c r="O755" s="14">
        <v>0.78</v>
      </c>
      <c r="P755" s="14" t="s">
        <v>2845</v>
      </c>
      <c r="Q755" s="14" cm="1">
        <f t="array" ref="Q755">_xlfn.IFS(P755="USD",O755,P755="VND",O755/26090,P755="JPY",O755/161)</f>
        <v>0.78</v>
      </c>
      <c r="R755" s="14">
        <v>21</v>
      </c>
      <c r="S755" s="14">
        <v>1</v>
      </c>
      <c r="T755" s="14"/>
      <c r="U755" s="14" t="s">
        <v>2849</v>
      </c>
      <c r="V755" s="14" t="s">
        <v>2857</v>
      </c>
      <c r="W755" s="14" t="s">
        <v>2858</v>
      </c>
      <c r="X755" s="17">
        <v>0</v>
      </c>
      <c r="Y755" s="15" t="s">
        <v>2875</v>
      </c>
      <c r="Z755" s="20">
        <v>46028</v>
      </c>
      <c r="AA755" s="20">
        <v>46393</v>
      </c>
      <c r="AB755" s="16"/>
      <c r="AC755" s="16"/>
      <c r="AD755" s="16"/>
      <c r="AE755" s="16" t="s">
        <v>2959</v>
      </c>
      <c r="AF755" s="16"/>
      <c r="AI755" s="3" t="str">
        <f t="shared" ca="1" si="11"/>
        <v>OK</v>
      </c>
    </row>
    <row r="756" spans="1:35" hidden="1" x14ac:dyDescent="0.3">
      <c r="A756" s="13">
        <v>46032</v>
      </c>
      <c r="B756" s="14" t="s">
        <v>2806</v>
      </c>
      <c r="C756" s="16"/>
      <c r="D756" s="16"/>
      <c r="E756" s="15" t="s">
        <v>892</v>
      </c>
      <c r="F756" s="15" t="s">
        <v>1277</v>
      </c>
      <c r="G756" s="15" t="s">
        <v>800</v>
      </c>
      <c r="H756" s="15" t="s">
        <v>892</v>
      </c>
      <c r="I756" s="15" t="s">
        <v>2730</v>
      </c>
      <c r="J756" s="15" t="s">
        <v>2731</v>
      </c>
      <c r="K756" s="16"/>
      <c r="L756" s="14" t="s">
        <v>2823</v>
      </c>
      <c r="M756" s="16"/>
      <c r="N756" s="15" t="s">
        <v>1219</v>
      </c>
      <c r="O756" s="14">
        <v>690000</v>
      </c>
      <c r="P756" s="14" t="s">
        <v>2846</v>
      </c>
      <c r="Q756" s="14" cm="1">
        <f t="array" ref="Q756">_xlfn.IFS(P756="USD",O756,P756="VND",O756/26090,P756="JPY",O756/161)</f>
        <v>26.446914526638558</v>
      </c>
      <c r="R756" s="14">
        <v>21</v>
      </c>
      <c r="S756" s="14">
        <v>1</v>
      </c>
      <c r="T756" s="14"/>
      <c r="U756" s="14" t="s">
        <v>2848</v>
      </c>
      <c r="V756" s="14" t="s">
        <v>2857</v>
      </c>
      <c r="W756" s="14" t="s">
        <v>2858</v>
      </c>
      <c r="X756" s="17">
        <v>0</v>
      </c>
      <c r="Y756" s="15" t="s">
        <v>2875</v>
      </c>
      <c r="Z756" s="18" t="s">
        <v>2969</v>
      </c>
      <c r="AA756" s="18" t="s">
        <v>2970</v>
      </c>
      <c r="AB756" s="16"/>
      <c r="AC756" s="16"/>
      <c r="AD756" s="16"/>
      <c r="AE756" s="16" t="s">
        <v>2968</v>
      </c>
      <c r="AF756" s="16"/>
      <c r="AI756" s="3" t="str">
        <f t="shared" ca="1" si="11"/>
        <v>OK</v>
      </c>
    </row>
    <row r="757" spans="1:35" hidden="1" x14ac:dyDescent="0.3">
      <c r="A757" s="13">
        <v>46032</v>
      </c>
      <c r="B757" s="14" t="s">
        <v>2806</v>
      </c>
      <c r="C757" s="16"/>
      <c r="D757" s="16"/>
      <c r="E757" s="15" t="s">
        <v>849</v>
      </c>
      <c r="F757" s="15" t="s">
        <v>1243</v>
      </c>
      <c r="G757" s="15" t="s">
        <v>801</v>
      </c>
      <c r="H757" s="15" t="s">
        <v>849</v>
      </c>
      <c r="I757" s="15" t="s">
        <v>2732</v>
      </c>
      <c r="J757" s="15" t="s">
        <v>2733</v>
      </c>
      <c r="K757" s="16"/>
      <c r="L757" s="14" t="s">
        <v>2823</v>
      </c>
      <c r="M757" s="16"/>
      <c r="N757" s="15" t="s">
        <v>1220</v>
      </c>
      <c r="O757" s="14">
        <v>83.02</v>
      </c>
      <c r="P757" s="14" t="s">
        <v>2845</v>
      </c>
      <c r="Q757" s="14" cm="1">
        <f t="array" ref="Q757">_xlfn.IFS(P757="USD",O757,P757="VND",O757/26090,P757="JPY",O757/161)</f>
        <v>83.02</v>
      </c>
      <c r="R757" s="14">
        <v>42</v>
      </c>
      <c r="S757" s="14">
        <v>1</v>
      </c>
      <c r="T757" s="14"/>
      <c r="U757" s="14" t="s">
        <v>2849</v>
      </c>
      <c r="V757" s="14" t="s">
        <v>2857</v>
      </c>
      <c r="W757" s="14" t="s">
        <v>2858</v>
      </c>
      <c r="X757" s="17">
        <v>0</v>
      </c>
      <c r="Y757" s="15" t="s">
        <v>2875</v>
      </c>
      <c r="Z757" s="20">
        <v>46028</v>
      </c>
      <c r="AA757" s="20">
        <v>46393</v>
      </c>
      <c r="AB757" s="16"/>
      <c r="AC757" s="16"/>
      <c r="AD757" s="16"/>
      <c r="AE757" s="16" t="s">
        <v>2959</v>
      </c>
      <c r="AF757" s="16"/>
      <c r="AI757" s="3" t="str">
        <f t="shared" ca="1" si="11"/>
        <v>OK</v>
      </c>
    </row>
    <row r="758" spans="1:35" x14ac:dyDescent="0.3">
      <c r="A758" s="13">
        <v>46032</v>
      </c>
      <c r="B758" s="14" t="s">
        <v>2806</v>
      </c>
      <c r="C758" s="16"/>
      <c r="D758" s="16"/>
      <c r="E758" s="15" t="s">
        <v>900</v>
      </c>
      <c r="F758" s="15" t="s">
        <v>1281</v>
      </c>
      <c r="G758" s="15" t="s">
        <v>802</v>
      </c>
      <c r="H758" s="15" t="s">
        <v>900</v>
      </c>
      <c r="I758" s="15" t="s">
        <v>2734</v>
      </c>
      <c r="J758" s="15" t="s">
        <v>2735</v>
      </c>
      <c r="K758" s="16"/>
      <c r="L758" s="14" t="s">
        <v>2823</v>
      </c>
      <c r="M758" s="16"/>
      <c r="N758" s="15" t="s">
        <v>1221</v>
      </c>
      <c r="O758" s="14">
        <v>2400000</v>
      </c>
      <c r="P758" s="14" t="s">
        <v>2846</v>
      </c>
      <c r="Q758" s="14" cm="1">
        <f t="array" ref="Q758">_xlfn.IFS(P758="USD",O758,P758="VND",O758/26090,P758="JPY",O758/161)</f>
        <v>91.989267918742812</v>
      </c>
      <c r="R758" s="14">
        <v>45</v>
      </c>
      <c r="S758" s="14">
        <v>1</v>
      </c>
      <c r="T758" s="14"/>
      <c r="U758" s="14" t="s">
        <v>2848</v>
      </c>
      <c r="V758" s="14" t="s">
        <v>2857</v>
      </c>
      <c r="W758" s="14" t="s">
        <v>2858</v>
      </c>
      <c r="X758" s="17">
        <v>0</v>
      </c>
      <c r="Y758" s="15" t="s">
        <v>2875</v>
      </c>
      <c r="Z758" s="18" t="s">
        <v>2977</v>
      </c>
      <c r="AA758" s="22" t="s">
        <v>2979</v>
      </c>
      <c r="AB758" s="16"/>
      <c r="AC758" s="16"/>
      <c r="AD758" s="16"/>
      <c r="AE758" s="16" t="s">
        <v>2978</v>
      </c>
      <c r="AF758" s="16"/>
      <c r="AI758" s="3" t="str">
        <f t="shared" ca="1" si="11"/>
        <v>OK</v>
      </c>
    </row>
    <row r="759" spans="1:35" x14ac:dyDescent="0.3">
      <c r="A759" s="13">
        <v>46032</v>
      </c>
      <c r="B759" s="14" t="s">
        <v>2806</v>
      </c>
      <c r="C759" s="16"/>
      <c r="D759" s="16"/>
      <c r="E759" s="15" t="s">
        <v>900</v>
      </c>
      <c r="F759" s="15" t="s">
        <v>1281</v>
      </c>
      <c r="G759" s="15" t="s">
        <v>803</v>
      </c>
      <c r="H759" s="15" t="s">
        <v>900</v>
      </c>
      <c r="I759" s="15" t="s">
        <v>2736</v>
      </c>
      <c r="J759" s="15" t="s">
        <v>2737</v>
      </c>
      <c r="K759" s="16"/>
      <c r="L759" s="14" t="s">
        <v>2832</v>
      </c>
      <c r="M759" s="16"/>
      <c r="N759" s="15" t="s">
        <v>1221</v>
      </c>
      <c r="O759" s="14">
        <v>2750000</v>
      </c>
      <c r="P759" s="14" t="s">
        <v>2846</v>
      </c>
      <c r="Q759" s="14" cm="1">
        <f t="array" ref="Q759">_xlfn.IFS(P759="USD",O759,P759="VND",O759/26090,P759="JPY",O759/161)</f>
        <v>105.40436949022614</v>
      </c>
      <c r="R759" s="14">
        <v>45</v>
      </c>
      <c r="S759" s="14">
        <v>1</v>
      </c>
      <c r="T759" s="14"/>
      <c r="U759" s="14" t="s">
        <v>2848</v>
      </c>
      <c r="V759" s="14" t="s">
        <v>2857</v>
      </c>
      <c r="W759" s="14" t="s">
        <v>2858</v>
      </c>
      <c r="X759" s="17">
        <v>0</v>
      </c>
      <c r="Y759" s="15" t="s">
        <v>2875</v>
      </c>
      <c r="Z759" s="18" t="s">
        <v>2977</v>
      </c>
      <c r="AA759" s="22" t="s">
        <v>2979</v>
      </c>
      <c r="AB759" s="16"/>
      <c r="AC759" s="16"/>
      <c r="AD759" s="16"/>
      <c r="AE759" s="16" t="s">
        <v>2978</v>
      </c>
      <c r="AF759" s="16"/>
      <c r="AI759" s="3" t="str">
        <f t="shared" ca="1" si="11"/>
        <v>OK</v>
      </c>
    </row>
    <row r="760" spans="1:35" x14ac:dyDescent="0.3">
      <c r="A760" s="13">
        <v>46032</v>
      </c>
      <c r="B760" s="14" t="s">
        <v>2806</v>
      </c>
      <c r="C760" s="16"/>
      <c r="D760" s="16"/>
      <c r="E760" s="15" t="s">
        <v>862</v>
      </c>
      <c r="F760" s="15" t="s">
        <v>1251</v>
      </c>
      <c r="G760" s="15" t="s">
        <v>804</v>
      </c>
      <c r="H760" s="15" t="s">
        <v>862</v>
      </c>
      <c r="I760" s="15" t="s">
        <v>2738</v>
      </c>
      <c r="J760" s="15" t="s">
        <v>2739</v>
      </c>
      <c r="K760" s="16"/>
      <c r="L760" s="14" t="s">
        <v>2823</v>
      </c>
      <c r="M760" s="16"/>
      <c r="N760" s="15" t="s">
        <v>1222</v>
      </c>
      <c r="O760" s="14">
        <v>166000</v>
      </c>
      <c r="P760" s="14" t="s">
        <v>2846</v>
      </c>
      <c r="Q760" s="14" cm="1">
        <f t="array" ref="Q760">_xlfn.IFS(P760="USD",O760,P760="VND",O760/26090,P760="JPY",O760/161)</f>
        <v>6.362591031046378</v>
      </c>
      <c r="R760" s="14">
        <v>30</v>
      </c>
      <c r="S760" s="14">
        <v>100</v>
      </c>
      <c r="T760" s="14"/>
      <c r="U760" s="14" t="s">
        <v>2848</v>
      </c>
      <c r="V760" s="14" t="s">
        <v>2857</v>
      </c>
      <c r="W760" s="14" t="s">
        <v>2858</v>
      </c>
      <c r="X760" s="17">
        <v>0</v>
      </c>
      <c r="Y760" s="15" t="s">
        <v>2875</v>
      </c>
      <c r="Z760" s="18" t="s">
        <v>2929</v>
      </c>
      <c r="AA760" s="22" t="s">
        <v>2931</v>
      </c>
      <c r="AB760" s="16"/>
      <c r="AC760" s="16"/>
      <c r="AD760" s="16"/>
      <c r="AE760" s="16" t="s">
        <v>2933</v>
      </c>
      <c r="AF760" s="16"/>
      <c r="AI760" s="3" t="str">
        <f t="shared" ca="1" si="11"/>
        <v>OK</v>
      </c>
    </row>
    <row r="761" spans="1:35" hidden="1" x14ac:dyDescent="0.3">
      <c r="A761" s="13">
        <v>46032</v>
      </c>
      <c r="B761" s="14" t="s">
        <v>2806</v>
      </c>
      <c r="C761" s="16"/>
      <c r="D761" s="16"/>
      <c r="E761" s="15" t="s">
        <v>857</v>
      </c>
      <c r="F761" s="15" t="s">
        <v>912</v>
      </c>
      <c r="G761" s="15" t="s">
        <v>805</v>
      </c>
      <c r="H761" s="15"/>
      <c r="I761" s="15" t="s">
        <v>2740</v>
      </c>
      <c r="J761" s="15" t="s">
        <v>2741</v>
      </c>
      <c r="K761" s="16"/>
      <c r="L761" s="14" t="s">
        <v>2823</v>
      </c>
      <c r="M761" s="16"/>
      <c r="N761" s="15" t="s">
        <v>1223</v>
      </c>
      <c r="O761" s="14">
        <v>12.77</v>
      </c>
      <c r="P761" s="14" t="s">
        <v>2845</v>
      </c>
      <c r="Q761" s="14" cm="1">
        <f t="array" ref="Q761">_xlfn.IFS(P761="USD",O761,P761="VND",O761/26090,P761="JPY",O761/161)</f>
        <v>12.77</v>
      </c>
      <c r="R761" s="14">
        <v>35</v>
      </c>
      <c r="S761" s="14">
        <v>1</v>
      </c>
      <c r="T761" s="14"/>
      <c r="U761" s="14" t="s">
        <v>2848</v>
      </c>
      <c r="V761" s="14" t="s">
        <v>2857</v>
      </c>
      <c r="W761" s="14" t="s">
        <v>2858</v>
      </c>
      <c r="X761" s="17">
        <v>0</v>
      </c>
      <c r="Y761" s="15" t="s">
        <v>2875</v>
      </c>
      <c r="Z761" s="20">
        <v>46243</v>
      </c>
      <c r="AA761" s="20">
        <v>46608</v>
      </c>
      <c r="AB761" s="16"/>
      <c r="AC761" s="16"/>
      <c r="AD761" s="16"/>
      <c r="AE761" s="16" t="s">
        <v>2957</v>
      </c>
      <c r="AF761" s="16"/>
      <c r="AI761" s="3" t="str">
        <f t="shared" ca="1" si="11"/>
        <v>OK</v>
      </c>
    </row>
    <row r="762" spans="1:35" hidden="1" x14ac:dyDescent="0.3">
      <c r="A762" s="13">
        <v>46032</v>
      </c>
      <c r="B762" s="14" t="s">
        <v>2806</v>
      </c>
      <c r="C762" s="16"/>
      <c r="D762" s="16"/>
      <c r="E762" s="15" t="s">
        <v>857</v>
      </c>
      <c r="F762" s="15" t="s">
        <v>912</v>
      </c>
      <c r="G762" s="15" t="s">
        <v>806</v>
      </c>
      <c r="H762" s="15"/>
      <c r="I762" s="15" t="s">
        <v>2742</v>
      </c>
      <c r="J762" s="15" t="s">
        <v>2743</v>
      </c>
      <c r="K762" s="16"/>
      <c r="L762" s="14" t="s">
        <v>2829</v>
      </c>
      <c r="M762" s="16"/>
      <c r="N762" s="15" t="s">
        <v>1223</v>
      </c>
      <c r="O762" s="14">
        <v>134.72999999999999</v>
      </c>
      <c r="P762" s="14" t="s">
        <v>2845</v>
      </c>
      <c r="Q762" s="14" cm="1">
        <f t="array" ref="Q762">_xlfn.IFS(P762="USD",O762,P762="VND",O762/26090,P762="JPY",O762/161)</f>
        <v>134.72999999999999</v>
      </c>
      <c r="R762" s="14">
        <v>35</v>
      </c>
      <c r="S762" s="14">
        <v>1</v>
      </c>
      <c r="T762" s="14"/>
      <c r="U762" s="14" t="s">
        <v>2848</v>
      </c>
      <c r="V762" s="14" t="s">
        <v>2857</v>
      </c>
      <c r="W762" s="14" t="s">
        <v>2858</v>
      </c>
      <c r="X762" s="17">
        <v>0</v>
      </c>
      <c r="Y762" s="15" t="s">
        <v>2875</v>
      </c>
      <c r="Z762" s="20">
        <v>46243</v>
      </c>
      <c r="AA762" s="20">
        <v>46608</v>
      </c>
      <c r="AB762" s="16"/>
      <c r="AC762" s="16"/>
      <c r="AD762" s="16"/>
      <c r="AE762" s="16" t="s">
        <v>2957</v>
      </c>
      <c r="AF762" s="16"/>
      <c r="AI762" s="3" t="str">
        <f t="shared" ca="1" si="11"/>
        <v>OK</v>
      </c>
    </row>
    <row r="763" spans="1:35" hidden="1" x14ac:dyDescent="0.3">
      <c r="A763" s="13">
        <v>46032</v>
      </c>
      <c r="B763" s="14" t="s">
        <v>2806</v>
      </c>
      <c r="C763" s="16"/>
      <c r="D763" s="16"/>
      <c r="E763" s="15" t="s">
        <v>857</v>
      </c>
      <c r="F763" s="15" t="s">
        <v>912</v>
      </c>
      <c r="G763" s="15" t="s">
        <v>807</v>
      </c>
      <c r="H763" s="15"/>
      <c r="I763" s="15" t="s">
        <v>2744</v>
      </c>
      <c r="J763" s="15" t="s">
        <v>2745</v>
      </c>
      <c r="K763" s="16"/>
      <c r="L763" s="14" t="s">
        <v>2823</v>
      </c>
      <c r="M763" s="16"/>
      <c r="N763" s="15" t="s">
        <v>1224</v>
      </c>
      <c r="O763" s="14">
        <v>88.6</v>
      </c>
      <c r="P763" s="14" t="s">
        <v>2845</v>
      </c>
      <c r="Q763" s="14" cm="1">
        <f t="array" ref="Q763">_xlfn.IFS(P763="USD",O763,P763="VND",O763/26090,P763="JPY",O763/161)</f>
        <v>88.6</v>
      </c>
      <c r="R763" s="14">
        <v>35</v>
      </c>
      <c r="S763" s="14">
        <v>1</v>
      </c>
      <c r="T763" s="14"/>
      <c r="U763" s="14" t="s">
        <v>2848</v>
      </c>
      <c r="V763" s="14" t="s">
        <v>2857</v>
      </c>
      <c r="W763" s="14" t="s">
        <v>2858</v>
      </c>
      <c r="X763" s="17">
        <v>0</v>
      </c>
      <c r="Y763" s="15" t="s">
        <v>2875</v>
      </c>
      <c r="Z763" s="20">
        <v>46243</v>
      </c>
      <c r="AA763" s="20">
        <v>46608</v>
      </c>
      <c r="AB763" s="16"/>
      <c r="AC763" s="16"/>
      <c r="AD763" s="16"/>
      <c r="AE763" s="16" t="s">
        <v>2957</v>
      </c>
      <c r="AF763" s="16"/>
      <c r="AI763" s="3" t="str">
        <f t="shared" ca="1" si="11"/>
        <v>OK</v>
      </c>
    </row>
    <row r="764" spans="1:35" hidden="1" x14ac:dyDescent="0.3">
      <c r="A764" s="13">
        <v>46032</v>
      </c>
      <c r="B764" s="14" t="s">
        <v>2806</v>
      </c>
      <c r="C764" s="16"/>
      <c r="D764" s="16"/>
      <c r="E764" s="15" t="s">
        <v>857</v>
      </c>
      <c r="F764" s="15" t="s">
        <v>912</v>
      </c>
      <c r="G764" s="15" t="s">
        <v>808</v>
      </c>
      <c r="H764" s="15"/>
      <c r="I764" s="15" t="s">
        <v>2746</v>
      </c>
      <c r="J764" s="15" t="s">
        <v>2743</v>
      </c>
      <c r="K764" s="16"/>
      <c r="L764" s="14" t="s">
        <v>2829</v>
      </c>
      <c r="M764" s="16"/>
      <c r="N764" s="15" t="s">
        <v>1223</v>
      </c>
      <c r="O764" s="14">
        <v>329.2</v>
      </c>
      <c r="P764" s="14" t="s">
        <v>2845</v>
      </c>
      <c r="Q764" s="14" cm="1">
        <f t="array" ref="Q764">_xlfn.IFS(P764="USD",O764,P764="VND",O764/26090,P764="JPY",O764/161)</f>
        <v>329.2</v>
      </c>
      <c r="R764" s="14">
        <v>35</v>
      </c>
      <c r="S764" s="14">
        <v>1</v>
      </c>
      <c r="T764" s="14"/>
      <c r="U764" s="14" t="s">
        <v>2848</v>
      </c>
      <c r="V764" s="14" t="s">
        <v>2857</v>
      </c>
      <c r="W764" s="14" t="s">
        <v>2858</v>
      </c>
      <c r="X764" s="17">
        <v>0</v>
      </c>
      <c r="Y764" s="15" t="s">
        <v>2875</v>
      </c>
      <c r="Z764" s="20">
        <v>46243</v>
      </c>
      <c r="AA764" s="20">
        <v>46608</v>
      </c>
      <c r="AB764" s="16"/>
      <c r="AC764" s="16"/>
      <c r="AD764" s="16"/>
      <c r="AE764" s="16" t="s">
        <v>2957</v>
      </c>
      <c r="AF764" s="16"/>
      <c r="AI764" s="3" t="str">
        <f t="shared" ca="1" si="11"/>
        <v>OK</v>
      </c>
    </row>
    <row r="765" spans="1:35" hidden="1" x14ac:dyDescent="0.3">
      <c r="A765" s="13">
        <v>46032</v>
      </c>
      <c r="B765" s="14" t="s">
        <v>2806</v>
      </c>
      <c r="C765" s="16"/>
      <c r="D765" s="16"/>
      <c r="E765" s="15" t="s">
        <v>857</v>
      </c>
      <c r="F765" s="15" t="s">
        <v>912</v>
      </c>
      <c r="G765" s="15" t="s">
        <v>809</v>
      </c>
      <c r="H765" s="15"/>
      <c r="I765" s="15" t="s">
        <v>2747</v>
      </c>
      <c r="J765" s="15" t="s">
        <v>2743</v>
      </c>
      <c r="K765" s="16"/>
      <c r="L765" s="14" t="s">
        <v>2829</v>
      </c>
      <c r="M765" s="16"/>
      <c r="N765" s="15" t="s">
        <v>1223</v>
      </c>
      <c r="O765" s="14">
        <v>154.19999999999999</v>
      </c>
      <c r="P765" s="14" t="s">
        <v>2845</v>
      </c>
      <c r="Q765" s="14" cm="1">
        <f t="array" ref="Q765">_xlfn.IFS(P765="USD",O765,P765="VND",O765/26090,P765="JPY",O765/161)</f>
        <v>154.19999999999999</v>
      </c>
      <c r="R765" s="14">
        <v>35</v>
      </c>
      <c r="S765" s="14">
        <v>1</v>
      </c>
      <c r="T765" s="14"/>
      <c r="U765" s="14" t="s">
        <v>2848</v>
      </c>
      <c r="V765" s="14" t="s">
        <v>2857</v>
      </c>
      <c r="W765" s="14" t="s">
        <v>2858</v>
      </c>
      <c r="X765" s="17">
        <v>0</v>
      </c>
      <c r="Y765" s="15" t="s">
        <v>2875</v>
      </c>
      <c r="Z765" s="20">
        <v>46243</v>
      </c>
      <c r="AA765" s="20">
        <v>46608</v>
      </c>
      <c r="AB765" s="16"/>
      <c r="AC765" s="16"/>
      <c r="AD765" s="16"/>
      <c r="AE765" s="16" t="s">
        <v>2957</v>
      </c>
      <c r="AF765" s="16"/>
      <c r="AI765" s="3" t="str">
        <f t="shared" ca="1" si="11"/>
        <v>OK</v>
      </c>
    </row>
    <row r="766" spans="1:35" hidden="1" x14ac:dyDescent="0.3">
      <c r="A766" s="13">
        <v>46032</v>
      </c>
      <c r="B766" s="14" t="s">
        <v>2806</v>
      </c>
      <c r="C766" s="16"/>
      <c r="D766" s="16"/>
      <c r="E766" s="15" t="s">
        <v>857</v>
      </c>
      <c r="F766" s="15" t="s">
        <v>912</v>
      </c>
      <c r="G766" s="15" t="s">
        <v>810</v>
      </c>
      <c r="H766" s="15"/>
      <c r="I766" s="15" t="s">
        <v>2748</v>
      </c>
      <c r="J766" s="15" t="s">
        <v>2743</v>
      </c>
      <c r="K766" s="16"/>
      <c r="L766" s="14" t="s">
        <v>2829</v>
      </c>
      <c r="M766" s="16"/>
      <c r="N766" s="15" t="s">
        <v>1223</v>
      </c>
      <c r="O766" s="14">
        <v>129</v>
      </c>
      <c r="P766" s="14" t="s">
        <v>2845</v>
      </c>
      <c r="Q766" s="14" cm="1">
        <f t="array" ref="Q766">_xlfn.IFS(P766="USD",O766,P766="VND",O766/26090,P766="JPY",O766/161)</f>
        <v>129</v>
      </c>
      <c r="R766" s="14">
        <v>35</v>
      </c>
      <c r="S766" s="14">
        <v>1</v>
      </c>
      <c r="T766" s="14"/>
      <c r="U766" s="14" t="s">
        <v>2848</v>
      </c>
      <c r="V766" s="14" t="s">
        <v>2857</v>
      </c>
      <c r="W766" s="14" t="s">
        <v>2858</v>
      </c>
      <c r="X766" s="17">
        <v>0</v>
      </c>
      <c r="Y766" s="15" t="s">
        <v>2875</v>
      </c>
      <c r="Z766" s="20">
        <v>46243</v>
      </c>
      <c r="AA766" s="20">
        <v>46608</v>
      </c>
      <c r="AB766" s="16"/>
      <c r="AC766" s="16"/>
      <c r="AD766" s="16"/>
      <c r="AE766" s="16" t="s">
        <v>2957</v>
      </c>
      <c r="AF766" s="16"/>
      <c r="AI766" s="3" t="str">
        <f t="shared" ca="1" si="11"/>
        <v>OK</v>
      </c>
    </row>
    <row r="767" spans="1:35" hidden="1" x14ac:dyDescent="0.3">
      <c r="A767" s="13">
        <v>46032</v>
      </c>
      <c r="B767" s="14" t="s">
        <v>2806</v>
      </c>
      <c r="C767" s="16"/>
      <c r="D767" s="16"/>
      <c r="E767" s="15" t="s">
        <v>857</v>
      </c>
      <c r="F767" s="15" t="s">
        <v>912</v>
      </c>
      <c r="G767" s="15" t="s">
        <v>811</v>
      </c>
      <c r="H767" s="15"/>
      <c r="I767" s="15" t="s">
        <v>2749</v>
      </c>
      <c r="J767" s="15" t="s">
        <v>2750</v>
      </c>
      <c r="K767" s="16"/>
      <c r="L767" s="14" t="s">
        <v>2823</v>
      </c>
      <c r="M767" s="16"/>
      <c r="N767" s="15" t="s">
        <v>1225</v>
      </c>
      <c r="O767" s="14">
        <v>5.3</v>
      </c>
      <c r="P767" s="14" t="s">
        <v>2845</v>
      </c>
      <c r="Q767" s="14" cm="1">
        <f t="array" ref="Q767">_xlfn.IFS(P767="USD",O767,P767="VND",O767/26090,P767="JPY",O767/161)</f>
        <v>5.3</v>
      </c>
      <c r="R767" s="14">
        <v>35</v>
      </c>
      <c r="S767" s="14">
        <v>1</v>
      </c>
      <c r="T767" s="14"/>
      <c r="U767" s="14" t="s">
        <v>2848</v>
      </c>
      <c r="V767" s="14" t="s">
        <v>2857</v>
      </c>
      <c r="W767" s="14" t="s">
        <v>2858</v>
      </c>
      <c r="X767" s="17">
        <v>0</v>
      </c>
      <c r="Y767" s="15" t="s">
        <v>2875</v>
      </c>
      <c r="Z767" s="20">
        <v>46243</v>
      </c>
      <c r="AA767" s="20">
        <v>46608</v>
      </c>
      <c r="AB767" s="16"/>
      <c r="AC767" s="16"/>
      <c r="AD767" s="16"/>
      <c r="AE767" s="16" t="s">
        <v>2957</v>
      </c>
      <c r="AF767" s="16"/>
      <c r="AI767" s="3" t="str">
        <f t="shared" ca="1" si="11"/>
        <v>OK</v>
      </c>
    </row>
    <row r="768" spans="1:35" x14ac:dyDescent="0.3">
      <c r="A768" s="13">
        <v>46032</v>
      </c>
      <c r="B768" s="14" t="s">
        <v>2806</v>
      </c>
      <c r="C768" s="16"/>
      <c r="D768" s="16"/>
      <c r="E768" s="15" t="s">
        <v>892</v>
      </c>
      <c r="F768" s="15" t="s">
        <v>1277</v>
      </c>
      <c r="G768" s="15" t="s">
        <v>812</v>
      </c>
      <c r="H768" s="15" t="s">
        <v>892</v>
      </c>
      <c r="I768" s="15" t="s">
        <v>2751</v>
      </c>
      <c r="J768" s="15" t="s">
        <v>2752</v>
      </c>
      <c r="K768" s="16"/>
      <c r="L768" s="14" t="s">
        <v>2832</v>
      </c>
      <c r="M768" s="16"/>
      <c r="N768" s="15" t="s">
        <v>1226</v>
      </c>
      <c r="O768" s="14">
        <v>4800000</v>
      </c>
      <c r="P768" s="14" t="s">
        <v>2846</v>
      </c>
      <c r="Q768" s="14" cm="1">
        <f t="array" ref="Q768">_xlfn.IFS(P768="USD",O768,P768="VND",O768/26090,P768="JPY",O768/161)</f>
        <v>183.97853583748562</v>
      </c>
      <c r="R768" s="14">
        <v>21</v>
      </c>
      <c r="S768" s="14">
        <v>1</v>
      </c>
      <c r="T768" s="14"/>
      <c r="U768" s="14" t="s">
        <v>2848</v>
      </c>
      <c r="V768" s="14" t="s">
        <v>2857</v>
      </c>
      <c r="W768" s="14" t="s">
        <v>2858</v>
      </c>
      <c r="X768" s="17">
        <v>0</v>
      </c>
      <c r="Y768" s="15" t="s">
        <v>2875</v>
      </c>
      <c r="Z768" s="20">
        <v>46212</v>
      </c>
      <c r="AA768" s="23">
        <v>46213</v>
      </c>
      <c r="AB768" s="16"/>
      <c r="AC768" s="16"/>
      <c r="AD768" s="16"/>
      <c r="AE768" s="16" t="s">
        <v>2971</v>
      </c>
      <c r="AF768" s="16"/>
      <c r="AI768" s="3" t="str">
        <f t="shared" ca="1" si="11"/>
        <v>NG</v>
      </c>
    </row>
    <row r="769" spans="1:35" hidden="1" x14ac:dyDescent="0.3">
      <c r="A769" s="13">
        <v>46032</v>
      </c>
      <c r="B769" s="14" t="s">
        <v>2806</v>
      </c>
      <c r="C769" s="16"/>
      <c r="D769" s="16"/>
      <c r="E769" s="15" t="s">
        <v>857</v>
      </c>
      <c r="F769" s="15" t="s">
        <v>912</v>
      </c>
      <c r="G769" s="15" t="s">
        <v>813</v>
      </c>
      <c r="H769" s="15"/>
      <c r="I769" s="15" t="s">
        <v>2753</v>
      </c>
      <c r="J769" s="15" t="s">
        <v>2754</v>
      </c>
      <c r="K769" s="16"/>
      <c r="L769" s="14" t="s">
        <v>2823</v>
      </c>
      <c r="M769" s="16"/>
      <c r="N769" s="15" t="s">
        <v>1223</v>
      </c>
      <c r="O769" s="14">
        <v>31.6</v>
      </c>
      <c r="P769" s="14" t="s">
        <v>2845</v>
      </c>
      <c r="Q769" s="14" cm="1">
        <f t="array" ref="Q769">_xlfn.IFS(P769="USD",O769,P769="VND",O769/26090,P769="JPY",O769/161)</f>
        <v>31.6</v>
      </c>
      <c r="R769" s="14">
        <v>35</v>
      </c>
      <c r="S769" s="14">
        <v>1</v>
      </c>
      <c r="T769" s="14"/>
      <c r="U769" s="14" t="s">
        <v>2848</v>
      </c>
      <c r="V769" s="14" t="s">
        <v>2857</v>
      </c>
      <c r="W769" s="14" t="s">
        <v>2858</v>
      </c>
      <c r="X769" s="17">
        <v>0</v>
      </c>
      <c r="Y769" s="15" t="s">
        <v>2875</v>
      </c>
      <c r="Z769" s="20">
        <v>46243</v>
      </c>
      <c r="AA769" s="20">
        <v>46608</v>
      </c>
      <c r="AB769" s="16"/>
      <c r="AC769" s="16"/>
      <c r="AD769" s="16"/>
      <c r="AE769" s="16" t="s">
        <v>2957</v>
      </c>
      <c r="AF769" s="16"/>
      <c r="AI769" s="3" t="str">
        <f t="shared" ca="1" si="11"/>
        <v>OK</v>
      </c>
    </row>
    <row r="770" spans="1:35" hidden="1" x14ac:dyDescent="0.3">
      <c r="A770" s="13">
        <v>46032</v>
      </c>
      <c r="B770" s="14" t="s">
        <v>2806</v>
      </c>
      <c r="C770" s="16"/>
      <c r="D770" s="16"/>
      <c r="E770" s="15" t="s">
        <v>858</v>
      </c>
      <c r="F770" s="15" t="s">
        <v>1248</v>
      </c>
      <c r="G770" s="15" t="s">
        <v>814</v>
      </c>
      <c r="H770" s="15" t="s">
        <v>858</v>
      </c>
      <c r="I770" s="15" t="s">
        <v>2755</v>
      </c>
      <c r="J770" s="15" t="s">
        <v>2756</v>
      </c>
      <c r="K770" s="16"/>
      <c r="L770" s="14" t="s">
        <v>2829</v>
      </c>
      <c r="M770" s="16"/>
      <c r="N770" s="15" t="s">
        <v>1227</v>
      </c>
      <c r="O770" s="14">
        <v>517.44000000000005</v>
      </c>
      <c r="P770" s="14" t="s">
        <v>2845</v>
      </c>
      <c r="Q770" s="14" cm="1">
        <f t="array" ref="Q770">_xlfn.IFS(P770="USD",O770,P770="VND",O770/26090,P770="JPY",O770/161)</f>
        <v>517.44000000000005</v>
      </c>
      <c r="R770" s="14">
        <v>75</v>
      </c>
      <c r="S770" s="14">
        <v>1</v>
      </c>
      <c r="T770" s="14"/>
      <c r="U770" s="14" t="s">
        <v>2852</v>
      </c>
      <c r="V770" s="14" t="s">
        <v>2864</v>
      </c>
      <c r="W770" s="14" t="s">
        <v>2860</v>
      </c>
      <c r="X770" s="17">
        <v>0</v>
      </c>
      <c r="Y770" s="15" t="s">
        <v>2880</v>
      </c>
      <c r="Z770" s="18" t="s">
        <v>3050</v>
      </c>
      <c r="AA770" s="18"/>
      <c r="AB770" s="16"/>
      <c r="AC770" s="16"/>
      <c r="AD770" s="16"/>
      <c r="AE770" s="16" t="s">
        <v>3049</v>
      </c>
      <c r="AF770" s="16"/>
      <c r="AI770" s="3" t="str">
        <f t="shared" ca="1" si="11"/>
        <v>OK</v>
      </c>
    </row>
    <row r="771" spans="1:35" hidden="1" x14ac:dyDescent="0.3">
      <c r="A771" s="13">
        <v>46032</v>
      </c>
      <c r="B771" s="14" t="s">
        <v>2806</v>
      </c>
      <c r="C771" s="16"/>
      <c r="D771" s="16"/>
      <c r="E771" s="15" t="s">
        <v>888</v>
      </c>
      <c r="F771" s="15" t="s">
        <v>1273</v>
      </c>
      <c r="G771" s="15" t="s">
        <v>815</v>
      </c>
      <c r="H771" s="15" t="s">
        <v>888</v>
      </c>
      <c r="I771" s="15" t="s">
        <v>2757</v>
      </c>
      <c r="J771" s="15" t="s">
        <v>2758</v>
      </c>
      <c r="K771" s="16"/>
      <c r="L771" s="14" t="s">
        <v>2832</v>
      </c>
      <c r="M771" s="16"/>
      <c r="N771" s="15" t="s">
        <v>1228</v>
      </c>
      <c r="O771" s="14">
        <v>61000</v>
      </c>
      <c r="P771" s="14" t="s">
        <v>2846</v>
      </c>
      <c r="Q771" s="14" cm="1">
        <f t="array" ref="Q771">_xlfn.IFS(P771="USD",O771,P771="VND",O771/26090,P771="JPY",O771/161)</f>
        <v>2.3380605596013799</v>
      </c>
      <c r="R771" s="14">
        <v>30</v>
      </c>
      <c r="S771" s="14">
        <v>10</v>
      </c>
      <c r="T771" s="14"/>
      <c r="U771" s="14" t="s">
        <v>2848</v>
      </c>
      <c r="V771" s="14" t="s">
        <v>2857</v>
      </c>
      <c r="W771" s="14" t="s">
        <v>2858</v>
      </c>
      <c r="X771" s="17">
        <v>0</v>
      </c>
      <c r="Y771" s="15" t="s">
        <v>2875</v>
      </c>
      <c r="Z771" s="18" t="s">
        <v>2914</v>
      </c>
      <c r="AA771" s="18"/>
      <c r="AB771" s="16"/>
      <c r="AC771" s="16"/>
      <c r="AD771" s="16"/>
      <c r="AE771" s="16" t="s">
        <v>2918</v>
      </c>
      <c r="AF771" s="16"/>
      <c r="AI771" s="3" t="str">
        <f t="shared" ref="AI771:AI803" ca="1" si="12">IF(AA771="","OK",IF(AA771&lt;TODAY(),"NG","OK"))</f>
        <v>OK</v>
      </c>
    </row>
    <row r="772" spans="1:35" hidden="1" x14ac:dyDescent="0.3">
      <c r="A772" s="13">
        <v>46032</v>
      </c>
      <c r="B772" s="14" t="s">
        <v>2806</v>
      </c>
      <c r="C772" s="16"/>
      <c r="D772" s="16"/>
      <c r="E772" s="15" t="s">
        <v>888</v>
      </c>
      <c r="F772" s="15" t="s">
        <v>1273</v>
      </c>
      <c r="G772" s="15" t="s">
        <v>816</v>
      </c>
      <c r="H772" s="15" t="s">
        <v>888</v>
      </c>
      <c r="I772" s="15" t="s">
        <v>2759</v>
      </c>
      <c r="J772" s="15" t="s">
        <v>2758</v>
      </c>
      <c r="K772" s="16"/>
      <c r="L772" s="14" t="s">
        <v>2832</v>
      </c>
      <c r="M772" s="16"/>
      <c r="N772" s="15" t="s">
        <v>1228</v>
      </c>
      <c r="O772" s="14">
        <v>105000</v>
      </c>
      <c r="P772" s="14" t="s">
        <v>2846</v>
      </c>
      <c r="Q772" s="14" cm="1">
        <f t="array" ref="Q772">_xlfn.IFS(P772="USD",O772,P772="VND",O772/26090,P772="JPY",O772/161)</f>
        <v>4.0245304714449981</v>
      </c>
      <c r="R772" s="14">
        <v>30</v>
      </c>
      <c r="S772" s="14">
        <v>10</v>
      </c>
      <c r="T772" s="14"/>
      <c r="U772" s="14" t="s">
        <v>2848</v>
      </c>
      <c r="V772" s="14" t="s">
        <v>2857</v>
      </c>
      <c r="W772" s="14" t="s">
        <v>2858</v>
      </c>
      <c r="X772" s="17">
        <v>0</v>
      </c>
      <c r="Y772" s="15" t="s">
        <v>2875</v>
      </c>
      <c r="Z772" s="18" t="s">
        <v>2914</v>
      </c>
      <c r="AA772" s="18"/>
      <c r="AB772" s="16"/>
      <c r="AC772" s="16"/>
      <c r="AD772" s="16"/>
      <c r="AE772" s="16" t="s">
        <v>2918</v>
      </c>
      <c r="AF772" s="16"/>
      <c r="AI772" s="3" t="str">
        <f t="shared" ca="1" si="12"/>
        <v>OK</v>
      </c>
    </row>
    <row r="773" spans="1:35" hidden="1" x14ac:dyDescent="0.3">
      <c r="A773" s="13">
        <v>46032</v>
      </c>
      <c r="B773" s="14" t="s">
        <v>2806</v>
      </c>
      <c r="C773" s="16"/>
      <c r="D773" s="16"/>
      <c r="E773" s="15" t="s">
        <v>888</v>
      </c>
      <c r="F773" s="15" t="s">
        <v>1273</v>
      </c>
      <c r="G773" s="15" t="s">
        <v>817</v>
      </c>
      <c r="H773" s="15" t="s">
        <v>888</v>
      </c>
      <c r="I773" s="15" t="s">
        <v>2760</v>
      </c>
      <c r="J773" s="15" t="s">
        <v>2758</v>
      </c>
      <c r="K773" s="16"/>
      <c r="L773" s="14" t="s">
        <v>2832</v>
      </c>
      <c r="M773" s="16"/>
      <c r="N773" s="15" t="s">
        <v>1228</v>
      </c>
      <c r="O773" s="14">
        <v>60000</v>
      </c>
      <c r="P773" s="14" t="s">
        <v>2846</v>
      </c>
      <c r="Q773" s="14" cm="1">
        <f t="array" ref="Q773">_xlfn.IFS(P773="USD",O773,P773="VND",O773/26090,P773="JPY",O773/161)</f>
        <v>2.2997316979685705</v>
      </c>
      <c r="R773" s="14">
        <v>30</v>
      </c>
      <c r="S773" s="14">
        <v>10</v>
      </c>
      <c r="T773" s="14"/>
      <c r="U773" s="14" t="s">
        <v>2848</v>
      </c>
      <c r="V773" s="14" t="s">
        <v>2857</v>
      </c>
      <c r="W773" s="14" t="s">
        <v>2858</v>
      </c>
      <c r="X773" s="17">
        <v>0</v>
      </c>
      <c r="Y773" s="15" t="s">
        <v>2875</v>
      </c>
      <c r="Z773" s="18" t="s">
        <v>2914</v>
      </c>
      <c r="AA773" s="18"/>
      <c r="AB773" s="16"/>
      <c r="AC773" s="16"/>
      <c r="AD773" s="16"/>
      <c r="AE773" s="16" t="s">
        <v>2918</v>
      </c>
      <c r="AF773" s="16"/>
      <c r="AI773" s="3" t="str">
        <f t="shared" ca="1" si="12"/>
        <v>OK</v>
      </c>
    </row>
    <row r="774" spans="1:35" hidden="1" x14ac:dyDescent="0.3">
      <c r="A774" s="13">
        <v>46032</v>
      </c>
      <c r="B774" s="14" t="s">
        <v>2806</v>
      </c>
      <c r="C774" s="16"/>
      <c r="D774" s="16"/>
      <c r="E774" s="15" t="s">
        <v>888</v>
      </c>
      <c r="F774" s="15" t="s">
        <v>1273</v>
      </c>
      <c r="G774" s="15" t="s">
        <v>818</v>
      </c>
      <c r="H774" s="15" t="s">
        <v>888</v>
      </c>
      <c r="I774" s="15" t="s">
        <v>2761</v>
      </c>
      <c r="J774" s="15" t="s">
        <v>2758</v>
      </c>
      <c r="K774" s="16"/>
      <c r="L774" s="14" t="s">
        <v>2832</v>
      </c>
      <c r="M774" s="16"/>
      <c r="N774" s="15" t="s">
        <v>1228</v>
      </c>
      <c r="O774" s="14">
        <v>38000</v>
      </c>
      <c r="P774" s="14" t="s">
        <v>2846</v>
      </c>
      <c r="Q774" s="14" cm="1">
        <f t="array" ref="Q774">_xlfn.IFS(P774="USD",O774,P774="VND",O774/26090,P774="JPY",O774/161)</f>
        <v>1.4564967420467612</v>
      </c>
      <c r="R774" s="14">
        <v>30</v>
      </c>
      <c r="S774" s="14">
        <v>10</v>
      </c>
      <c r="T774" s="14"/>
      <c r="U774" s="14" t="s">
        <v>2848</v>
      </c>
      <c r="V774" s="14" t="s">
        <v>2857</v>
      </c>
      <c r="W774" s="14" t="s">
        <v>2858</v>
      </c>
      <c r="X774" s="17">
        <v>0</v>
      </c>
      <c r="Y774" s="15" t="s">
        <v>2875</v>
      </c>
      <c r="Z774" s="18" t="s">
        <v>2914</v>
      </c>
      <c r="AA774" s="18"/>
      <c r="AB774" s="16"/>
      <c r="AC774" s="16"/>
      <c r="AD774" s="16"/>
      <c r="AE774" s="16" t="s">
        <v>2918</v>
      </c>
      <c r="AF774" s="16"/>
      <c r="AI774" s="3" t="str">
        <f t="shared" ca="1" si="12"/>
        <v>OK</v>
      </c>
    </row>
    <row r="775" spans="1:35" hidden="1" x14ac:dyDescent="0.3">
      <c r="A775" s="13">
        <v>46032</v>
      </c>
      <c r="B775" s="14" t="s">
        <v>2806</v>
      </c>
      <c r="C775" s="16"/>
      <c r="D775" s="16"/>
      <c r="E775" s="15" t="s">
        <v>888</v>
      </c>
      <c r="F775" s="15" t="s">
        <v>1273</v>
      </c>
      <c r="G775" s="15" t="s">
        <v>819</v>
      </c>
      <c r="H775" s="15" t="s">
        <v>888</v>
      </c>
      <c r="I775" s="15" t="s">
        <v>2762</v>
      </c>
      <c r="J775" s="15" t="s">
        <v>2758</v>
      </c>
      <c r="K775" s="16"/>
      <c r="L775" s="14" t="s">
        <v>2832</v>
      </c>
      <c r="M775" s="16"/>
      <c r="N775" s="15" t="s">
        <v>1228</v>
      </c>
      <c r="O775" s="14">
        <v>44000</v>
      </c>
      <c r="P775" s="14" t="s">
        <v>2846</v>
      </c>
      <c r="Q775" s="14" cm="1">
        <f t="array" ref="Q775">_xlfn.IFS(P775="USD",O775,P775="VND",O775/26090,P775="JPY",O775/161)</f>
        <v>1.6864699118436182</v>
      </c>
      <c r="R775" s="14">
        <v>30</v>
      </c>
      <c r="S775" s="14">
        <v>10</v>
      </c>
      <c r="T775" s="14"/>
      <c r="U775" s="14" t="s">
        <v>2848</v>
      </c>
      <c r="V775" s="14" t="s">
        <v>2857</v>
      </c>
      <c r="W775" s="14" t="s">
        <v>2858</v>
      </c>
      <c r="X775" s="17">
        <v>0</v>
      </c>
      <c r="Y775" s="15" t="s">
        <v>2875</v>
      </c>
      <c r="Z775" s="18" t="s">
        <v>2914</v>
      </c>
      <c r="AA775" s="18"/>
      <c r="AB775" s="16"/>
      <c r="AC775" s="16"/>
      <c r="AD775" s="16"/>
      <c r="AE775" s="16" t="s">
        <v>2918</v>
      </c>
      <c r="AF775" s="16"/>
      <c r="AI775" s="3" t="str">
        <f t="shared" ca="1" si="12"/>
        <v>OK</v>
      </c>
    </row>
    <row r="776" spans="1:35" hidden="1" x14ac:dyDescent="0.3">
      <c r="A776" s="13">
        <v>46032</v>
      </c>
      <c r="B776" s="14" t="s">
        <v>2806</v>
      </c>
      <c r="C776" s="16"/>
      <c r="D776" s="16"/>
      <c r="E776" s="15" t="s">
        <v>888</v>
      </c>
      <c r="F776" s="15" t="s">
        <v>1273</v>
      </c>
      <c r="G776" s="15" t="s">
        <v>820</v>
      </c>
      <c r="H776" s="15" t="s">
        <v>888</v>
      </c>
      <c r="I776" s="15" t="s">
        <v>2763</v>
      </c>
      <c r="J776" s="15" t="s">
        <v>2758</v>
      </c>
      <c r="K776" s="16"/>
      <c r="L776" s="14" t="s">
        <v>2832</v>
      </c>
      <c r="M776" s="16"/>
      <c r="N776" s="15" t="s">
        <v>1228</v>
      </c>
      <c r="O776" s="14">
        <v>22000</v>
      </c>
      <c r="P776" s="14" t="s">
        <v>2846</v>
      </c>
      <c r="Q776" s="14" cm="1">
        <f t="array" ref="Q776">_xlfn.IFS(P776="USD",O776,P776="VND",O776/26090,P776="JPY",O776/161)</f>
        <v>0.84323495592180908</v>
      </c>
      <c r="R776" s="14">
        <v>30</v>
      </c>
      <c r="S776" s="14">
        <v>10</v>
      </c>
      <c r="T776" s="14"/>
      <c r="U776" s="14" t="s">
        <v>2848</v>
      </c>
      <c r="V776" s="14" t="s">
        <v>2857</v>
      </c>
      <c r="W776" s="14" t="s">
        <v>2858</v>
      </c>
      <c r="X776" s="17">
        <v>0</v>
      </c>
      <c r="Y776" s="15" t="s">
        <v>2875</v>
      </c>
      <c r="Z776" s="18" t="s">
        <v>2914</v>
      </c>
      <c r="AA776" s="18"/>
      <c r="AB776" s="16"/>
      <c r="AC776" s="16"/>
      <c r="AD776" s="16"/>
      <c r="AE776" s="16" t="s">
        <v>2918</v>
      </c>
      <c r="AF776" s="16"/>
      <c r="AI776" s="3" t="str">
        <f t="shared" ca="1" si="12"/>
        <v>OK</v>
      </c>
    </row>
    <row r="777" spans="1:35" hidden="1" x14ac:dyDescent="0.3">
      <c r="A777" s="13">
        <v>46032</v>
      </c>
      <c r="B777" s="14" t="s">
        <v>2806</v>
      </c>
      <c r="C777" s="16"/>
      <c r="D777" s="16"/>
      <c r="E777" s="15" t="s">
        <v>888</v>
      </c>
      <c r="F777" s="15" t="s">
        <v>1273</v>
      </c>
      <c r="G777" s="15" t="s">
        <v>821</v>
      </c>
      <c r="H777" s="15" t="s">
        <v>888</v>
      </c>
      <c r="I777" s="15" t="s">
        <v>2764</v>
      </c>
      <c r="J777" s="15" t="s">
        <v>2758</v>
      </c>
      <c r="K777" s="16"/>
      <c r="L777" s="14" t="s">
        <v>2832</v>
      </c>
      <c r="M777" s="16"/>
      <c r="N777" s="15" t="s">
        <v>1228</v>
      </c>
      <c r="O777" s="14">
        <v>22000</v>
      </c>
      <c r="P777" s="14" t="s">
        <v>2846</v>
      </c>
      <c r="Q777" s="14" cm="1">
        <f t="array" ref="Q777">_xlfn.IFS(P777="USD",O777,P777="VND",O777/26090,P777="JPY",O777/161)</f>
        <v>0.84323495592180908</v>
      </c>
      <c r="R777" s="14">
        <v>30</v>
      </c>
      <c r="S777" s="14">
        <v>10</v>
      </c>
      <c r="T777" s="14"/>
      <c r="U777" s="14" t="s">
        <v>2848</v>
      </c>
      <c r="V777" s="14" t="s">
        <v>2857</v>
      </c>
      <c r="W777" s="14" t="s">
        <v>2858</v>
      </c>
      <c r="X777" s="17">
        <v>0</v>
      </c>
      <c r="Y777" s="15" t="s">
        <v>2875</v>
      </c>
      <c r="Z777" s="18" t="s">
        <v>2914</v>
      </c>
      <c r="AA777" s="18"/>
      <c r="AB777" s="16"/>
      <c r="AC777" s="16"/>
      <c r="AD777" s="16"/>
      <c r="AE777" s="16" t="s">
        <v>2918</v>
      </c>
      <c r="AF777" s="16"/>
      <c r="AI777" s="3" t="str">
        <f t="shared" ca="1" si="12"/>
        <v>OK</v>
      </c>
    </row>
    <row r="778" spans="1:35" hidden="1" x14ac:dyDescent="0.3">
      <c r="A778" s="13">
        <v>46032</v>
      </c>
      <c r="B778" s="14" t="s">
        <v>2806</v>
      </c>
      <c r="C778" s="16"/>
      <c r="D778" s="16"/>
      <c r="E778" s="15" t="s">
        <v>888</v>
      </c>
      <c r="F778" s="15" t="s">
        <v>1273</v>
      </c>
      <c r="G778" s="15" t="s">
        <v>822</v>
      </c>
      <c r="H778" s="15" t="s">
        <v>888</v>
      </c>
      <c r="I778" s="15" t="s">
        <v>2765</v>
      </c>
      <c r="J778" s="15" t="s">
        <v>2758</v>
      </c>
      <c r="K778" s="16"/>
      <c r="L778" s="14" t="s">
        <v>2832</v>
      </c>
      <c r="M778" s="16"/>
      <c r="N778" s="15" t="s">
        <v>1228</v>
      </c>
      <c r="O778" s="14">
        <v>42000</v>
      </c>
      <c r="P778" s="14" t="s">
        <v>2846</v>
      </c>
      <c r="Q778" s="14" cm="1">
        <f t="array" ref="Q778">_xlfn.IFS(P778="USD",O778,P778="VND",O778/26090,P778="JPY",O778/161)</f>
        <v>1.6098121885779992</v>
      </c>
      <c r="R778" s="14">
        <v>30</v>
      </c>
      <c r="S778" s="14">
        <v>10</v>
      </c>
      <c r="T778" s="14"/>
      <c r="U778" s="14" t="s">
        <v>2848</v>
      </c>
      <c r="V778" s="14" t="s">
        <v>2857</v>
      </c>
      <c r="W778" s="14" t="s">
        <v>2858</v>
      </c>
      <c r="X778" s="17">
        <v>0</v>
      </c>
      <c r="Y778" s="15" t="s">
        <v>2875</v>
      </c>
      <c r="Z778" s="18" t="s">
        <v>2914</v>
      </c>
      <c r="AA778" s="18"/>
      <c r="AB778" s="16"/>
      <c r="AC778" s="16"/>
      <c r="AD778" s="16"/>
      <c r="AE778" s="16" t="s">
        <v>2918</v>
      </c>
      <c r="AF778" s="16"/>
      <c r="AI778" s="3" t="str">
        <f t="shared" ca="1" si="12"/>
        <v>OK</v>
      </c>
    </row>
    <row r="779" spans="1:35" hidden="1" x14ac:dyDescent="0.3">
      <c r="A779" s="13">
        <v>46032</v>
      </c>
      <c r="B779" s="14" t="s">
        <v>2806</v>
      </c>
      <c r="C779" s="16"/>
      <c r="D779" s="16"/>
      <c r="E779" s="15" t="s">
        <v>888</v>
      </c>
      <c r="F779" s="15" t="s">
        <v>1273</v>
      </c>
      <c r="G779" s="15" t="s">
        <v>823</v>
      </c>
      <c r="H779" s="15" t="s">
        <v>888</v>
      </c>
      <c r="I779" s="15" t="s">
        <v>2766</v>
      </c>
      <c r="J779" s="15" t="s">
        <v>2758</v>
      </c>
      <c r="K779" s="16"/>
      <c r="L779" s="14" t="s">
        <v>2832</v>
      </c>
      <c r="M779" s="16"/>
      <c r="N779" s="15" t="s">
        <v>1228</v>
      </c>
      <c r="O779" s="14">
        <v>41000</v>
      </c>
      <c r="P779" s="14" t="s">
        <v>2846</v>
      </c>
      <c r="Q779" s="14" cm="1">
        <f t="array" ref="Q779">_xlfn.IFS(P779="USD",O779,P779="VND",O779/26090,P779="JPY",O779/161)</f>
        <v>1.5714833269451898</v>
      </c>
      <c r="R779" s="14">
        <v>30</v>
      </c>
      <c r="S779" s="14">
        <v>10</v>
      </c>
      <c r="T779" s="14"/>
      <c r="U779" s="14" t="s">
        <v>2848</v>
      </c>
      <c r="V779" s="14" t="s">
        <v>2857</v>
      </c>
      <c r="W779" s="14" t="s">
        <v>2858</v>
      </c>
      <c r="X779" s="17">
        <v>0</v>
      </c>
      <c r="Y779" s="15" t="s">
        <v>2875</v>
      </c>
      <c r="Z779" s="18" t="s">
        <v>2914</v>
      </c>
      <c r="AA779" s="18"/>
      <c r="AB779" s="16"/>
      <c r="AC779" s="16"/>
      <c r="AD779" s="16"/>
      <c r="AE779" s="16" t="s">
        <v>2918</v>
      </c>
      <c r="AF779" s="16"/>
      <c r="AI779" s="3" t="str">
        <f t="shared" ca="1" si="12"/>
        <v>OK</v>
      </c>
    </row>
    <row r="780" spans="1:35" hidden="1" x14ac:dyDescent="0.3">
      <c r="A780" s="13">
        <v>46032</v>
      </c>
      <c r="B780" s="14" t="s">
        <v>2806</v>
      </c>
      <c r="C780" s="16"/>
      <c r="D780" s="16"/>
      <c r="E780" s="15" t="s">
        <v>888</v>
      </c>
      <c r="F780" s="15" t="s">
        <v>1273</v>
      </c>
      <c r="G780" s="15" t="s">
        <v>824</v>
      </c>
      <c r="H780" s="15" t="s">
        <v>888</v>
      </c>
      <c r="I780" s="15" t="s">
        <v>2767</v>
      </c>
      <c r="J780" s="15" t="s">
        <v>2758</v>
      </c>
      <c r="K780" s="16"/>
      <c r="L780" s="14" t="s">
        <v>2832</v>
      </c>
      <c r="M780" s="16"/>
      <c r="N780" s="15" t="s">
        <v>1228</v>
      </c>
      <c r="O780" s="14">
        <v>35000</v>
      </c>
      <c r="P780" s="14" t="s">
        <v>2846</v>
      </c>
      <c r="Q780" s="14" cm="1">
        <f t="array" ref="Q780">_xlfn.IFS(P780="USD",O780,P780="VND",O780/26090,P780="JPY",O780/161)</f>
        <v>1.3415101571483328</v>
      </c>
      <c r="R780" s="14">
        <v>30</v>
      </c>
      <c r="S780" s="14">
        <v>10</v>
      </c>
      <c r="T780" s="14"/>
      <c r="U780" s="14" t="s">
        <v>2848</v>
      </c>
      <c r="V780" s="14" t="s">
        <v>2857</v>
      </c>
      <c r="W780" s="14" t="s">
        <v>2858</v>
      </c>
      <c r="X780" s="17">
        <v>0</v>
      </c>
      <c r="Y780" s="15" t="s">
        <v>2875</v>
      </c>
      <c r="Z780" s="18" t="s">
        <v>2914</v>
      </c>
      <c r="AA780" s="18"/>
      <c r="AB780" s="16"/>
      <c r="AC780" s="16"/>
      <c r="AD780" s="16"/>
      <c r="AE780" s="16" t="s">
        <v>2918</v>
      </c>
      <c r="AF780" s="16"/>
      <c r="AI780" s="3" t="str">
        <f t="shared" ca="1" si="12"/>
        <v>OK</v>
      </c>
    </row>
    <row r="781" spans="1:35" hidden="1" x14ac:dyDescent="0.3">
      <c r="A781" s="13">
        <v>46032</v>
      </c>
      <c r="B781" s="14" t="s">
        <v>2806</v>
      </c>
      <c r="C781" s="16"/>
      <c r="D781" s="16"/>
      <c r="E781" s="15" t="s">
        <v>888</v>
      </c>
      <c r="F781" s="15" t="s">
        <v>1273</v>
      </c>
      <c r="G781" s="15" t="s">
        <v>825</v>
      </c>
      <c r="H781" s="15" t="s">
        <v>888</v>
      </c>
      <c r="I781" s="15" t="s">
        <v>2768</v>
      </c>
      <c r="J781" s="15" t="s">
        <v>2758</v>
      </c>
      <c r="K781" s="16"/>
      <c r="L781" s="14" t="s">
        <v>2832</v>
      </c>
      <c r="M781" s="16"/>
      <c r="N781" s="15" t="s">
        <v>1228</v>
      </c>
      <c r="O781" s="14">
        <v>32000</v>
      </c>
      <c r="P781" s="14" t="s">
        <v>2846</v>
      </c>
      <c r="Q781" s="14" cm="1">
        <f t="array" ref="Q781">_xlfn.IFS(P781="USD",O781,P781="VND",O781/26090,P781="JPY",O781/161)</f>
        <v>1.2265235722499042</v>
      </c>
      <c r="R781" s="14">
        <v>30</v>
      </c>
      <c r="S781" s="14">
        <v>10</v>
      </c>
      <c r="T781" s="14"/>
      <c r="U781" s="14" t="s">
        <v>2848</v>
      </c>
      <c r="V781" s="14" t="s">
        <v>2857</v>
      </c>
      <c r="W781" s="14" t="s">
        <v>2858</v>
      </c>
      <c r="X781" s="17">
        <v>0</v>
      </c>
      <c r="Y781" s="15" t="s">
        <v>2875</v>
      </c>
      <c r="Z781" s="18" t="s">
        <v>2914</v>
      </c>
      <c r="AA781" s="18"/>
      <c r="AB781" s="16"/>
      <c r="AC781" s="16"/>
      <c r="AD781" s="16"/>
      <c r="AE781" s="16" t="s">
        <v>2918</v>
      </c>
      <c r="AF781" s="16"/>
      <c r="AI781" s="3" t="str">
        <f t="shared" ca="1" si="12"/>
        <v>OK</v>
      </c>
    </row>
    <row r="782" spans="1:35" hidden="1" x14ac:dyDescent="0.3">
      <c r="A782" s="13">
        <v>46032</v>
      </c>
      <c r="B782" s="14" t="s">
        <v>2806</v>
      </c>
      <c r="C782" s="16"/>
      <c r="D782" s="16"/>
      <c r="E782" s="15" t="s">
        <v>888</v>
      </c>
      <c r="F782" s="15" t="s">
        <v>1273</v>
      </c>
      <c r="G782" s="15" t="s">
        <v>826</v>
      </c>
      <c r="H782" s="15" t="s">
        <v>888</v>
      </c>
      <c r="I782" s="15" t="s">
        <v>2769</v>
      </c>
      <c r="J782" s="15" t="s">
        <v>2758</v>
      </c>
      <c r="K782" s="16"/>
      <c r="L782" s="14" t="s">
        <v>2832</v>
      </c>
      <c r="M782" s="16"/>
      <c r="N782" s="15" t="s">
        <v>1228</v>
      </c>
      <c r="O782" s="14">
        <v>62000</v>
      </c>
      <c r="P782" s="14" t="s">
        <v>2846</v>
      </c>
      <c r="Q782" s="14" cm="1">
        <f t="array" ref="Q782">_xlfn.IFS(P782="USD",O782,P782="VND",O782/26090,P782="JPY",O782/161)</f>
        <v>2.3763894212341894</v>
      </c>
      <c r="R782" s="14">
        <v>30</v>
      </c>
      <c r="S782" s="14">
        <v>10</v>
      </c>
      <c r="T782" s="14"/>
      <c r="U782" s="14" t="s">
        <v>2848</v>
      </c>
      <c r="V782" s="14" t="s">
        <v>2857</v>
      </c>
      <c r="W782" s="14" t="s">
        <v>2858</v>
      </c>
      <c r="X782" s="17">
        <v>0</v>
      </c>
      <c r="Y782" s="15" t="s">
        <v>2875</v>
      </c>
      <c r="Z782" s="18" t="s">
        <v>2914</v>
      </c>
      <c r="AA782" s="18"/>
      <c r="AB782" s="16"/>
      <c r="AC782" s="16"/>
      <c r="AD782" s="16"/>
      <c r="AE782" s="16" t="s">
        <v>2918</v>
      </c>
      <c r="AF782" s="16"/>
      <c r="AI782" s="3" t="str">
        <f t="shared" ca="1" si="12"/>
        <v>OK</v>
      </c>
    </row>
    <row r="783" spans="1:35" hidden="1" x14ac:dyDescent="0.3">
      <c r="A783" s="13">
        <v>46032</v>
      </c>
      <c r="B783" s="14" t="s">
        <v>2806</v>
      </c>
      <c r="C783" s="16"/>
      <c r="D783" s="16"/>
      <c r="E783" s="15" t="s">
        <v>888</v>
      </c>
      <c r="F783" s="15" t="s">
        <v>1273</v>
      </c>
      <c r="G783" s="15" t="s">
        <v>827</v>
      </c>
      <c r="H783" s="15" t="s">
        <v>888</v>
      </c>
      <c r="I783" s="15" t="s">
        <v>2770</v>
      </c>
      <c r="J783" s="15" t="s">
        <v>2758</v>
      </c>
      <c r="K783" s="16"/>
      <c r="L783" s="14" t="s">
        <v>2832</v>
      </c>
      <c r="M783" s="16"/>
      <c r="N783" s="15" t="s">
        <v>1228</v>
      </c>
      <c r="O783" s="14">
        <v>67000</v>
      </c>
      <c r="P783" s="14" t="s">
        <v>2846</v>
      </c>
      <c r="Q783" s="14" cm="1">
        <f t="array" ref="Q783">_xlfn.IFS(P783="USD",O783,P783="VND",O783/26090,P783="JPY",O783/161)</f>
        <v>2.5680337293982367</v>
      </c>
      <c r="R783" s="14">
        <v>30</v>
      </c>
      <c r="S783" s="14">
        <v>10</v>
      </c>
      <c r="T783" s="14"/>
      <c r="U783" s="14" t="s">
        <v>2848</v>
      </c>
      <c r="V783" s="14" t="s">
        <v>2857</v>
      </c>
      <c r="W783" s="14" t="s">
        <v>2858</v>
      </c>
      <c r="X783" s="17">
        <v>0</v>
      </c>
      <c r="Y783" s="15" t="s">
        <v>2875</v>
      </c>
      <c r="Z783" s="18" t="s">
        <v>2914</v>
      </c>
      <c r="AA783" s="18"/>
      <c r="AB783" s="16"/>
      <c r="AC783" s="16"/>
      <c r="AD783" s="16"/>
      <c r="AE783" s="16" t="s">
        <v>2918</v>
      </c>
      <c r="AF783" s="16"/>
      <c r="AI783" s="3" t="str">
        <f t="shared" ca="1" si="12"/>
        <v>OK</v>
      </c>
    </row>
    <row r="784" spans="1:35" hidden="1" x14ac:dyDescent="0.3">
      <c r="A784" s="13">
        <v>46032</v>
      </c>
      <c r="B784" s="14" t="s">
        <v>2806</v>
      </c>
      <c r="C784" s="16"/>
      <c r="D784" s="16"/>
      <c r="E784" s="15" t="s">
        <v>888</v>
      </c>
      <c r="F784" s="15" t="s">
        <v>1273</v>
      </c>
      <c r="G784" s="15" t="s">
        <v>828</v>
      </c>
      <c r="H784" s="15" t="s">
        <v>888</v>
      </c>
      <c r="I784" s="15" t="s">
        <v>2771</v>
      </c>
      <c r="J784" s="15" t="s">
        <v>2772</v>
      </c>
      <c r="K784" s="16"/>
      <c r="L784" s="14" t="s">
        <v>2836</v>
      </c>
      <c r="M784" s="16"/>
      <c r="N784" s="15" t="s">
        <v>1229</v>
      </c>
      <c r="O784" s="14">
        <v>335000</v>
      </c>
      <c r="P784" s="14" t="s">
        <v>2846</v>
      </c>
      <c r="Q784" s="14" cm="1">
        <f t="array" ref="Q784">_xlfn.IFS(P784="USD",O784,P784="VND",O784/26090,P784="JPY",O784/161)</f>
        <v>12.840168646991184</v>
      </c>
      <c r="R784" s="14">
        <v>30</v>
      </c>
      <c r="S784" s="14">
        <v>1</v>
      </c>
      <c r="T784" s="14"/>
      <c r="U784" s="14" t="s">
        <v>2848</v>
      </c>
      <c r="V784" s="14" t="s">
        <v>2857</v>
      </c>
      <c r="W784" s="14" t="s">
        <v>2858</v>
      </c>
      <c r="X784" s="17">
        <v>0</v>
      </c>
      <c r="Y784" s="15" t="s">
        <v>2875</v>
      </c>
      <c r="Z784" s="18" t="s">
        <v>2914</v>
      </c>
      <c r="AA784" s="18"/>
      <c r="AB784" s="16"/>
      <c r="AC784" s="16"/>
      <c r="AD784" s="16"/>
      <c r="AE784" s="16" t="s">
        <v>2918</v>
      </c>
      <c r="AF784" s="16"/>
      <c r="AI784" s="3" t="str">
        <f t="shared" ca="1" si="12"/>
        <v>OK</v>
      </c>
    </row>
    <row r="785" spans="1:35" hidden="1" x14ac:dyDescent="0.3">
      <c r="A785" s="13">
        <v>46032</v>
      </c>
      <c r="B785" s="14" t="s">
        <v>2806</v>
      </c>
      <c r="C785" s="16"/>
      <c r="D785" s="16"/>
      <c r="E785" s="15" t="s">
        <v>888</v>
      </c>
      <c r="F785" s="15" t="s">
        <v>1273</v>
      </c>
      <c r="G785" s="15" t="s">
        <v>829</v>
      </c>
      <c r="H785" s="15" t="s">
        <v>888</v>
      </c>
      <c r="I785" s="15" t="s">
        <v>2773</v>
      </c>
      <c r="J785" s="15" t="s">
        <v>2774</v>
      </c>
      <c r="K785" s="16"/>
      <c r="L785" s="14" t="s">
        <v>2836</v>
      </c>
      <c r="M785" s="16"/>
      <c r="N785" s="15" t="s">
        <v>1096</v>
      </c>
      <c r="O785" s="14">
        <v>199640</v>
      </c>
      <c r="P785" s="14" t="s">
        <v>2846</v>
      </c>
      <c r="Q785" s="14" cm="1">
        <f t="array" ref="Q785">_xlfn.IFS(P785="USD",O785,P785="VND",O785/26090,P785="JPY",O785/161)</f>
        <v>7.6519739363740893</v>
      </c>
      <c r="R785" s="14">
        <v>14</v>
      </c>
      <c r="S785" s="14">
        <v>10</v>
      </c>
      <c r="T785" s="14"/>
      <c r="U785" s="14" t="s">
        <v>2848</v>
      </c>
      <c r="V785" s="14" t="s">
        <v>2857</v>
      </c>
      <c r="W785" s="14" t="s">
        <v>2858</v>
      </c>
      <c r="X785" s="17">
        <v>0</v>
      </c>
      <c r="Y785" s="15" t="s">
        <v>2875</v>
      </c>
      <c r="Z785" s="18" t="s">
        <v>2914</v>
      </c>
      <c r="AA785" s="18"/>
      <c r="AB785" s="16"/>
      <c r="AC785" s="16"/>
      <c r="AD785" s="16"/>
      <c r="AE785" s="16" t="s">
        <v>2919</v>
      </c>
      <c r="AF785" s="16"/>
      <c r="AI785" s="3" t="str">
        <f t="shared" ca="1" si="12"/>
        <v>OK</v>
      </c>
    </row>
    <row r="786" spans="1:35" hidden="1" x14ac:dyDescent="0.3">
      <c r="A786" s="13">
        <v>46032</v>
      </c>
      <c r="B786" s="14" t="s">
        <v>2806</v>
      </c>
      <c r="C786" s="16"/>
      <c r="D786" s="16"/>
      <c r="E786" s="15" t="s">
        <v>849</v>
      </c>
      <c r="F786" s="15" t="s">
        <v>1243</v>
      </c>
      <c r="G786" s="15" t="s">
        <v>830</v>
      </c>
      <c r="H786" s="15" t="s">
        <v>849</v>
      </c>
      <c r="I786" s="15" t="s">
        <v>2519</v>
      </c>
      <c r="J786" s="15" t="s">
        <v>2520</v>
      </c>
      <c r="K786" s="16"/>
      <c r="L786" s="14" t="s">
        <v>2823</v>
      </c>
      <c r="M786" s="16"/>
      <c r="N786" s="15" t="s">
        <v>1230</v>
      </c>
      <c r="O786" s="14">
        <v>12.07</v>
      </c>
      <c r="P786" s="14" t="s">
        <v>2845</v>
      </c>
      <c r="Q786" s="14" cm="1">
        <f t="array" ref="Q786">_xlfn.IFS(P786="USD",O786,P786="VND",O786/26090,P786="JPY",O786/161)</f>
        <v>12.07</v>
      </c>
      <c r="R786" s="14">
        <v>56</v>
      </c>
      <c r="S786" s="14">
        <v>1</v>
      </c>
      <c r="T786" s="14"/>
      <c r="U786" s="14" t="s">
        <v>2849</v>
      </c>
      <c r="V786" s="14" t="s">
        <v>2857</v>
      </c>
      <c r="W786" s="14" t="s">
        <v>2858</v>
      </c>
      <c r="X786" s="17">
        <v>0</v>
      </c>
      <c r="Y786" s="15" t="s">
        <v>2875</v>
      </c>
      <c r="Z786" s="20">
        <v>46028</v>
      </c>
      <c r="AA786" s="20">
        <v>46393</v>
      </c>
      <c r="AB786" s="16"/>
      <c r="AC786" s="16"/>
      <c r="AD786" s="16"/>
      <c r="AE786" s="16" t="s">
        <v>2959</v>
      </c>
      <c r="AF786" s="16"/>
      <c r="AI786" s="3" t="str">
        <f t="shared" ca="1" si="12"/>
        <v>OK</v>
      </c>
    </row>
    <row r="787" spans="1:35" hidden="1" x14ac:dyDescent="0.3">
      <c r="A787" s="13">
        <v>46032</v>
      </c>
      <c r="B787" s="14" t="s">
        <v>2806</v>
      </c>
      <c r="C787" s="16"/>
      <c r="D787" s="16"/>
      <c r="E787" s="15" t="s">
        <v>849</v>
      </c>
      <c r="F787" s="15" t="s">
        <v>1243</v>
      </c>
      <c r="G787" s="15" t="s">
        <v>831</v>
      </c>
      <c r="H787" s="15" t="s">
        <v>849</v>
      </c>
      <c r="I787" s="15" t="s">
        <v>2775</v>
      </c>
      <c r="J787" s="15" t="s">
        <v>2776</v>
      </c>
      <c r="K787" s="16"/>
      <c r="L787" s="14" t="s">
        <v>2823</v>
      </c>
      <c r="M787" s="16"/>
      <c r="N787" s="15" t="s">
        <v>1230</v>
      </c>
      <c r="O787" s="14">
        <v>14.78</v>
      </c>
      <c r="P787" s="14" t="s">
        <v>2845</v>
      </c>
      <c r="Q787" s="14" cm="1">
        <f t="array" ref="Q787">_xlfn.IFS(P787="USD",O787,P787="VND",O787/26090,P787="JPY",O787/161)</f>
        <v>14.78</v>
      </c>
      <c r="R787" s="14">
        <v>56</v>
      </c>
      <c r="S787" s="14">
        <v>1</v>
      </c>
      <c r="T787" s="14"/>
      <c r="U787" s="14" t="s">
        <v>2849</v>
      </c>
      <c r="V787" s="14" t="s">
        <v>2857</v>
      </c>
      <c r="W787" s="14" t="s">
        <v>2858</v>
      </c>
      <c r="X787" s="17">
        <v>0</v>
      </c>
      <c r="Y787" s="15" t="s">
        <v>2875</v>
      </c>
      <c r="Z787" s="20">
        <v>46028</v>
      </c>
      <c r="AA787" s="20">
        <v>46393</v>
      </c>
      <c r="AB787" s="16"/>
      <c r="AC787" s="16"/>
      <c r="AD787" s="16"/>
      <c r="AE787" s="16" t="s">
        <v>2959</v>
      </c>
      <c r="AF787" s="16"/>
      <c r="AI787" s="3" t="str">
        <f t="shared" ca="1" si="12"/>
        <v>OK</v>
      </c>
    </row>
    <row r="788" spans="1:35" hidden="1" x14ac:dyDescent="0.3">
      <c r="A788" s="13">
        <v>46032</v>
      </c>
      <c r="B788" s="14" t="s">
        <v>2806</v>
      </c>
      <c r="C788" s="16"/>
      <c r="D788" s="16"/>
      <c r="E788" s="15" t="s">
        <v>849</v>
      </c>
      <c r="F788" s="15" t="s">
        <v>1243</v>
      </c>
      <c r="G788" s="15" t="s">
        <v>832</v>
      </c>
      <c r="H788" s="15" t="s">
        <v>849</v>
      </c>
      <c r="I788" s="15" t="s">
        <v>2777</v>
      </c>
      <c r="J788" s="15" t="s">
        <v>2778</v>
      </c>
      <c r="K788" s="16"/>
      <c r="L788" s="14" t="s">
        <v>2823</v>
      </c>
      <c r="M788" s="16"/>
      <c r="N788" s="15" t="s">
        <v>1230</v>
      </c>
      <c r="O788" s="14">
        <v>9.15</v>
      </c>
      <c r="P788" s="14" t="s">
        <v>2845</v>
      </c>
      <c r="Q788" s="14" cm="1">
        <f t="array" ref="Q788">_xlfn.IFS(P788="USD",O788,P788="VND",O788/26090,P788="JPY",O788/161)</f>
        <v>9.15</v>
      </c>
      <c r="R788" s="14">
        <v>56</v>
      </c>
      <c r="S788" s="14">
        <v>1</v>
      </c>
      <c r="T788" s="14"/>
      <c r="U788" s="14" t="s">
        <v>2849</v>
      </c>
      <c r="V788" s="14" t="s">
        <v>2857</v>
      </c>
      <c r="W788" s="14" t="s">
        <v>2858</v>
      </c>
      <c r="X788" s="17">
        <v>0</v>
      </c>
      <c r="Y788" s="15" t="s">
        <v>2875</v>
      </c>
      <c r="Z788" s="20">
        <v>46028</v>
      </c>
      <c r="AA788" s="20">
        <v>46393</v>
      </c>
      <c r="AB788" s="16"/>
      <c r="AC788" s="16"/>
      <c r="AD788" s="16"/>
      <c r="AE788" s="16" t="s">
        <v>2959</v>
      </c>
      <c r="AF788" s="16"/>
      <c r="AI788" s="3" t="str">
        <f t="shared" ca="1" si="12"/>
        <v>OK</v>
      </c>
    </row>
    <row r="789" spans="1:35" x14ac:dyDescent="0.3">
      <c r="A789" s="13">
        <v>46032</v>
      </c>
      <c r="B789" s="14" t="s">
        <v>2806</v>
      </c>
      <c r="C789" s="16"/>
      <c r="D789" s="16"/>
      <c r="E789" s="15" t="s">
        <v>862</v>
      </c>
      <c r="F789" s="15" t="s">
        <v>1251</v>
      </c>
      <c r="G789" s="15" t="s">
        <v>833</v>
      </c>
      <c r="H789" s="15" t="s">
        <v>862</v>
      </c>
      <c r="I789" s="15" t="s">
        <v>2779</v>
      </c>
      <c r="J789" s="15" t="s">
        <v>2780</v>
      </c>
      <c r="K789" s="16"/>
      <c r="L789" s="14" t="s">
        <v>2829</v>
      </c>
      <c r="M789" s="16"/>
      <c r="N789" s="15" t="s">
        <v>1231</v>
      </c>
      <c r="O789" s="14">
        <v>18500</v>
      </c>
      <c r="P789" s="14" t="s">
        <v>2846</v>
      </c>
      <c r="Q789" s="14" cm="1">
        <f t="array" ref="Q789">_xlfn.IFS(P789="USD",O789,P789="VND",O789/26090,P789="JPY",O789/161)</f>
        <v>0.70908394020697585</v>
      </c>
      <c r="R789" s="14">
        <v>7</v>
      </c>
      <c r="S789" s="14">
        <v>100</v>
      </c>
      <c r="T789" s="14"/>
      <c r="U789" s="14" t="s">
        <v>2848</v>
      </c>
      <c r="V789" s="14" t="s">
        <v>2857</v>
      </c>
      <c r="W789" s="14" t="s">
        <v>2858</v>
      </c>
      <c r="X789" s="17">
        <v>0</v>
      </c>
      <c r="Y789" s="15" t="s">
        <v>2875</v>
      </c>
      <c r="Z789" s="18" t="s">
        <v>2929</v>
      </c>
      <c r="AA789" s="22" t="s">
        <v>2931</v>
      </c>
      <c r="AB789" s="16"/>
      <c r="AC789" s="16"/>
      <c r="AD789" s="16"/>
      <c r="AE789" s="16" t="s">
        <v>2933</v>
      </c>
      <c r="AF789" s="16"/>
      <c r="AI789" s="3" t="str">
        <f t="shared" ca="1" si="12"/>
        <v>OK</v>
      </c>
    </row>
    <row r="790" spans="1:35" hidden="1" x14ac:dyDescent="0.3">
      <c r="A790" s="13">
        <v>46032</v>
      </c>
      <c r="B790" s="14" t="s">
        <v>2806</v>
      </c>
      <c r="C790" s="16"/>
      <c r="D790" s="16"/>
      <c r="E790" s="15" t="s">
        <v>849</v>
      </c>
      <c r="F790" s="15" t="s">
        <v>1243</v>
      </c>
      <c r="G790" s="15" t="s">
        <v>834</v>
      </c>
      <c r="H790" s="15" t="s">
        <v>849</v>
      </c>
      <c r="I790" s="15" t="s">
        <v>2781</v>
      </c>
      <c r="J790" s="15" t="s">
        <v>2782</v>
      </c>
      <c r="K790" s="16"/>
      <c r="L790" s="14" t="s">
        <v>2823</v>
      </c>
      <c r="M790" s="16"/>
      <c r="N790" s="15" t="s">
        <v>1198</v>
      </c>
      <c r="O790" s="14">
        <v>2.25</v>
      </c>
      <c r="P790" s="14" t="s">
        <v>2845</v>
      </c>
      <c r="Q790" s="14" cm="1">
        <f t="array" ref="Q790">_xlfn.IFS(P790="USD",O790,P790="VND",O790/26090,P790="JPY",O790/161)</f>
        <v>2.25</v>
      </c>
      <c r="R790" s="14">
        <v>56</v>
      </c>
      <c r="S790" s="14">
        <v>1</v>
      </c>
      <c r="T790" s="14"/>
      <c r="U790" s="14" t="s">
        <v>2849</v>
      </c>
      <c r="V790" s="14" t="s">
        <v>2857</v>
      </c>
      <c r="W790" s="14" t="s">
        <v>2858</v>
      </c>
      <c r="X790" s="17">
        <v>0</v>
      </c>
      <c r="Y790" s="15" t="s">
        <v>2875</v>
      </c>
      <c r="Z790" s="20">
        <v>46028</v>
      </c>
      <c r="AA790" s="20">
        <v>46393</v>
      </c>
      <c r="AB790" s="16"/>
      <c r="AC790" s="16"/>
      <c r="AD790" s="16"/>
      <c r="AE790" s="16" t="s">
        <v>2959</v>
      </c>
      <c r="AF790" s="16"/>
      <c r="AI790" s="3" t="str">
        <f t="shared" ca="1" si="12"/>
        <v>OK</v>
      </c>
    </row>
    <row r="791" spans="1:35" x14ac:dyDescent="0.3">
      <c r="A791" s="13">
        <v>46032</v>
      </c>
      <c r="B791" s="14" t="s">
        <v>2806</v>
      </c>
      <c r="C791" s="16"/>
      <c r="D791" s="16"/>
      <c r="E791" s="15" t="s">
        <v>862</v>
      </c>
      <c r="F791" s="15" t="s">
        <v>1251</v>
      </c>
      <c r="G791" s="15" t="s">
        <v>835</v>
      </c>
      <c r="H791" s="15" t="s">
        <v>862</v>
      </c>
      <c r="I791" s="15" t="s">
        <v>2775</v>
      </c>
      <c r="J791" s="15" t="s">
        <v>2776</v>
      </c>
      <c r="K791" s="16"/>
      <c r="L791" s="14" t="s">
        <v>2823</v>
      </c>
      <c r="M791" s="16"/>
      <c r="N791" s="15" t="s">
        <v>1177</v>
      </c>
      <c r="O791" s="14">
        <v>400000</v>
      </c>
      <c r="P791" s="14" t="s">
        <v>2846</v>
      </c>
      <c r="Q791" s="14" cm="1">
        <f t="array" ref="Q791">_xlfn.IFS(P791="USD",O791,P791="VND",O791/26090,P791="JPY",O791/161)</f>
        <v>15.331544653123803</v>
      </c>
      <c r="R791" s="14">
        <v>45</v>
      </c>
      <c r="S791" s="14">
        <v>200</v>
      </c>
      <c r="T791" s="14"/>
      <c r="U791" s="14" t="s">
        <v>2848</v>
      </c>
      <c r="V791" s="14" t="s">
        <v>2857</v>
      </c>
      <c r="W791" s="14" t="s">
        <v>2858</v>
      </c>
      <c r="X791" s="17">
        <v>0</v>
      </c>
      <c r="Y791" s="15" t="s">
        <v>2875</v>
      </c>
      <c r="Z791" s="18" t="s">
        <v>2929</v>
      </c>
      <c r="AA791" s="22" t="s">
        <v>2931</v>
      </c>
      <c r="AB791" s="16"/>
      <c r="AC791" s="16"/>
      <c r="AD791" s="16"/>
      <c r="AE791" s="16" t="s">
        <v>2933</v>
      </c>
      <c r="AF791" s="16"/>
      <c r="AI791" s="3" t="str">
        <f t="shared" ca="1" si="12"/>
        <v>OK</v>
      </c>
    </row>
    <row r="792" spans="1:35" hidden="1" x14ac:dyDescent="0.3">
      <c r="A792" s="13">
        <v>46032</v>
      </c>
      <c r="B792" s="14" t="s">
        <v>2806</v>
      </c>
      <c r="C792" s="16"/>
      <c r="D792" s="16"/>
      <c r="E792" s="15" t="s">
        <v>849</v>
      </c>
      <c r="F792" s="15" t="s">
        <v>1243</v>
      </c>
      <c r="G792" s="15" t="s">
        <v>836</v>
      </c>
      <c r="H792" s="15" t="s">
        <v>849</v>
      </c>
      <c r="I792" s="15" t="s">
        <v>2783</v>
      </c>
      <c r="J792" s="15" t="s">
        <v>2784</v>
      </c>
      <c r="K792" s="16"/>
      <c r="L792" s="14" t="s">
        <v>2823</v>
      </c>
      <c r="M792" s="16"/>
      <c r="N792" s="15" t="s">
        <v>1232</v>
      </c>
      <c r="O792" s="14">
        <v>57.5</v>
      </c>
      <c r="P792" s="14" t="s">
        <v>2845</v>
      </c>
      <c r="Q792" s="14" cm="1">
        <f t="array" ref="Q792">_xlfn.IFS(P792="USD",O792,P792="VND",O792/26090,P792="JPY",O792/161)</f>
        <v>57.5</v>
      </c>
      <c r="R792" s="14">
        <v>56</v>
      </c>
      <c r="S792" s="14">
        <v>1</v>
      </c>
      <c r="T792" s="14"/>
      <c r="U792" s="14" t="s">
        <v>2849</v>
      </c>
      <c r="V792" s="14" t="s">
        <v>2857</v>
      </c>
      <c r="W792" s="14" t="s">
        <v>2858</v>
      </c>
      <c r="X792" s="17">
        <v>0</v>
      </c>
      <c r="Y792" s="15" t="s">
        <v>2875</v>
      </c>
      <c r="Z792" s="20">
        <v>46028</v>
      </c>
      <c r="AA792" s="20">
        <v>46393</v>
      </c>
      <c r="AB792" s="16"/>
      <c r="AC792" s="16"/>
      <c r="AD792" s="16"/>
      <c r="AE792" s="16" t="s">
        <v>2959</v>
      </c>
      <c r="AF792" s="16"/>
      <c r="AI792" s="3" t="str">
        <f t="shared" ca="1" si="12"/>
        <v>OK</v>
      </c>
    </row>
    <row r="793" spans="1:35" x14ac:dyDescent="0.3">
      <c r="A793" s="13">
        <v>46032</v>
      </c>
      <c r="B793" s="14" t="s">
        <v>2806</v>
      </c>
      <c r="C793" s="16"/>
      <c r="D793" s="16"/>
      <c r="E793" s="15" t="s">
        <v>862</v>
      </c>
      <c r="F793" s="15" t="s">
        <v>1251</v>
      </c>
      <c r="G793" s="15" t="s">
        <v>837</v>
      </c>
      <c r="H793" s="15" t="s">
        <v>862</v>
      </c>
      <c r="I793" s="15" t="s">
        <v>2785</v>
      </c>
      <c r="J793" s="15" t="s">
        <v>2786</v>
      </c>
      <c r="K793" s="16"/>
      <c r="L793" s="14" t="s">
        <v>2823</v>
      </c>
      <c r="M793" s="16"/>
      <c r="N793" s="15" t="s">
        <v>1233</v>
      </c>
      <c r="O793" s="14">
        <v>2700000</v>
      </c>
      <c r="P793" s="14" t="s">
        <v>2846</v>
      </c>
      <c r="Q793" s="14" cm="1">
        <f t="array" ref="Q793">_xlfn.IFS(P793="USD",O793,P793="VND",O793/26090,P793="JPY",O793/161)</f>
        <v>103.48792640858566</v>
      </c>
      <c r="R793" s="14">
        <v>7</v>
      </c>
      <c r="S793" s="14">
        <v>1</v>
      </c>
      <c r="T793" s="14"/>
      <c r="U793" s="14" t="s">
        <v>2848</v>
      </c>
      <c r="V793" s="14" t="s">
        <v>2857</v>
      </c>
      <c r="W793" s="14" t="s">
        <v>2858</v>
      </c>
      <c r="X793" s="17">
        <v>0</v>
      </c>
      <c r="Y793" s="15" t="s">
        <v>2875</v>
      </c>
      <c r="Z793" s="18" t="s">
        <v>2929</v>
      </c>
      <c r="AA793" s="22" t="s">
        <v>2931</v>
      </c>
      <c r="AB793" s="16"/>
      <c r="AC793" s="16"/>
      <c r="AD793" s="16"/>
      <c r="AE793" s="16" t="s">
        <v>2933</v>
      </c>
      <c r="AF793" s="16"/>
      <c r="AI793" s="3" t="str">
        <f t="shared" ca="1" si="12"/>
        <v>OK</v>
      </c>
    </row>
    <row r="794" spans="1:35" hidden="1" x14ac:dyDescent="0.3">
      <c r="A794" s="13">
        <v>46032</v>
      </c>
      <c r="B794" s="14" t="s">
        <v>2806</v>
      </c>
      <c r="C794" s="16"/>
      <c r="D794" s="16"/>
      <c r="E794" s="15" t="s">
        <v>850</v>
      </c>
      <c r="F794" s="15" t="s">
        <v>915</v>
      </c>
      <c r="G794" s="15" t="s">
        <v>838</v>
      </c>
      <c r="H794" s="15" t="s">
        <v>850</v>
      </c>
      <c r="I794" s="15" t="s">
        <v>2787</v>
      </c>
      <c r="J794" s="15" t="s">
        <v>2788</v>
      </c>
      <c r="K794" s="16"/>
      <c r="L794" s="14" t="s">
        <v>2823</v>
      </c>
      <c r="M794" s="16"/>
      <c r="N794" s="15" t="s">
        <v>1234</v>
      </c>
      <c r="O794" s="14">
        <v>6.7900000000000002E-2</v>
      </c>
      <c r="P794" s="14" t="s">
        <v>2845</v>
      </c>
      <c r="Q794" s="14" cm="1">
        <f t="array" ref="Q794">_xlfn.IFS(P794="USD",O794,P794="VND",O794/26090,P794="JPY",O794/161)</f>
        <v>6.7900000000000002E-2</v>
      </c>
      <c r="R794" s="14">
        <v>60</v>
      </c>
      <c r="S794" s="14" t="s">
        <v>2912</v>
      </c>
      <c r="T794" s="14"/>
      <c r="U794" s="14" t="s">
        <v>2850</v>
      </c>
      <c r="V794" s="14" t="s">
        <v>2859</v>
      </c>
      <c r="W794" s="14" t="s">
        <v>2860</v>
      </c>
      <c r="X794" s="17">
        <v>0</v>
      </c>
      <c r="Y794" s="15" t="s">
        <v>2876</v>
      </c>
      <c r="Z794" s="18"/>
      <c r="AA794" s="18"/>
      <c r="AB794" s="16"/>
      <c r="AC794" s="16"/>
      <c r="AD794" s="16"/>
      <c r="AE794" s="16"/>
      <c r="AF794" s="16"/>
      <c r="AI794" s="3" t="str">
        <f t="shared" ca="1" si="12"/>
        <v>OK</v>
      </c>
    </row>
    <row r="795" spans="1:35" x14ac:dyDescent="0.3">
      <c r="A795" s="13">
        <v>46032</v>
      </c>
      <c r="B795" s="14" t="s">
        <v>2806</v>
      </c>
      <c r="C795" s="16"/>
      <c r="D795" s="16"/>
      <c r="E795" s="15" t="s">
        <v>862</v>
      </c>
      <c r="F795" s="15" t="s">
        <v>1251</v>
      </c>
      <c r="G795" s="15" t="s">
        <v>839</v>
      </c>
      <c r="H795" s="15" t="s">
        <v>862</v>
      </c>
      <c r="I795" s="15" t="s">
        <v>2789</v>
      </c>
      <c r="J795" s="15" t="s">
        <v>2790</v>
      </c>
      <c r="K795" s="16"/>
      <c r="L795" s="14" t="s">
        <v>2823</v>
      </c>
      <c r="M795" s="16"/>
      <c r="N795" s="15" t="s">
        <v>1235</v>
      </c>
      <c r="O795" s="14">
        <v>18000</v>
      </c>
      <c r="P795" s="14" t="s">
        <v>2846</v>
      </c>
      <c r="Q795" s="14" cm="1">
        <f t="array" ref="Q795">_xlfn.IFS(P795="USD",O795,P795="VND",O795/26090,P795="JPY",O795/161)</f>
        <v>0.68991950939057112</v>
      </c>
      <c r="R795" s="14">
        <v>7</v>
      </c>
      <c r="S795" s="14">
        <v>50</v>
      </c>
      <c r="T795" s="14"/>
      <c r="U795" s="14" t="s">
        <v>2848</v>
      </c>
      <c r="V795" s="14" t="s">
        <v>2857</v>
      </c>
      <c r="W795" s="14" t="s">
        <v>2858</v>
      </c>
      <c r="X795" s="17">
        <v>0</v>
      </c>
      <c r="Y795" s="15" t="s">
        <v>2875</v>
      </c>
      <c r="Z795" s="18" t="s">
        <v>2929</v>
      </c>
      <c r="AA795" s="22" t="s">
        <v>2931</v>
      </c>
      <c r="AB795" s="16"/>
      <c r="AC795" s="16"/>
      <c r="AD795" s="16"/>
      <c r="AE795" s="16" t="s">
        <v>2933</v>
      </c>
      <c r="AF795" s="16"/>
      <c r="AI795" s="3" t="str">
        <f t="shared" ca="1" si="12"/>
        <v>OK</v>
      </c>
    </row>
    <row r="796" spans="1:35" hidden="1" x14ac:dyDescent="0.3">
      <c r="A796" s="13">
        <v>46032</v>
      </c>
      <c r="B796" s="14" t="s">
        <v>2806</v>
      </c>
      <c r="C796" s="16"/>
      <c r="D796" s="16"/>
      <c r="E796" s="15" t="s">
        <v>872</v>
      </c>
      <c r="F796" s="15" t="s">
        <v>1258</v>
      </c>
      <c r="G796" s="15" t="s">
        <v>840</v>
      </c>
      <c r="H796" s="15" t="s">
        <v>872</v>
      </c>
      <c r="I796" s="15" t="s">
        <v>2791</v>
      </c>
      <c r="J796" s="15" t="s">
        <v>2792</v>
      </c>
      <c r="K796" s="16"/>
      <c r="L796" s="14" t="s">
        <v>2823</v>
      </c>
      <c r="M796" s="16"/>
      <c r="N796" s="15" t="s">
        <v>1236</v>
      </c>
      <c r="O796" s="14">
        <v>28.9</v>
      </c>
      <c r="P796" s="14" t="s">
        <v>2845</v>
      </c>
      <c r="Q796" s="14" cm="1">
        <f t="array" ref="Q796">_xlfn.IFS(P796="USD",O796,P796="VND",O796/26090,P796="JPY",O796/161)</f>
        <v>28.9</v>
      </c>
      <c r="R796" s="14">
        <v>14</v>
      </c>
      <c r="S796" s="14">
        <v>1</v>
      </c>
      <c r="T796" s="14"/>
      <c r="U796" s="14" t="s">
        <v>2849</v>
      </c>
      <c r="V796" s="14" t="s">
        <v>2857</v>
      </c>
      <c r="W796" s="14" t="s">
        <v>2858</v>
      </c>
      <c r="X796" s="17">
        <v>0</v>
      </c>
      <c r="Y796" s="15" t="s">
        <v>2893</v>
      </c>
      <c r="Z796" s="18" t="s">
        <v>2930</v>
      </c>
      <c r="AA796" s="18"/>
      <c r="AB796" s="16"/>
      <c r="AC796" s="16"/>
      <c r="AD796" s="16"/>
      <c r="AE796" s="16" t="s">
        <v>2954</v>
      </c>
      <c r="AF796" s="16"/>
      <c r="AI796" s="3" t="str">
        <f t="shared" ca="1" si="12"/>
        <v>OK</v>
      </c>
    </row>
    <row r="797" spans="1:35" x14ac:dyDescent="0.3">
      <c r="A797" s="13">
        <v>46032</v>
      </c>
      <c r="B797" s="14" t="s">
        <v>2806</v>
      </c>
      <c r="C797" s="16"/>
      <c r="D797" s="16"/>
      <c r="E797" s="15" t="s">
        <v>898</v>
      </c>
      <c r="F797" s="15" t="s">
        <v>1280</v>
      </c>
      <c r="G797" s="15" t="s">
        <v>841</v>
      </c>
      <c r="H797" s="15" t="s">
        <v>898</v>
      </c>
      <c r="I797" s="15" t="s">
        <v>2793</v>
      </c>
      <c r="J797" s="15" t="s">
        <v>2794</v>
      </c>
      <c r="K797" s="16"/>
      <c r="L797" s="14" t="s">
        <v>2832</v>
      </c>
      <c r="M797" s="16"/>
      <c r="N797" s="15" t="s">
        <v>1237</v>
      </c>
      <c r="O797" s="14">
        <v>7920000</v>
      </c>
      <c r="P797" s="14" t="s">
        <v>2846</v>
      </c>
      <c r="Q797" s="14" cm="1">
        <f t="array" ref="Q797">_xlfn.IFS(P797="USD",O797,P797="VND",O797/26090,P797="JPY",O797/161)</f>
        <v>303.56458413185129</v>
      </c>
      <c r="R797" s="14">
        <v>14</v>
      </c>
      <c r="S797" s="14">
        <v>1</v>
      </c>
      <c r="T797" s="14"/>
      <c r="U797" s="14" t="s">
        <v>2848</v>
      </c>
      <c r="V797" s="14" t="s">
        <v>2857</v>
      </c>
      <c r="W797" s="14" t="s">
        <v>2858</v>
      </c>
      <c r="X797" s="17">
        <v>0</v>
      </c>
      <c r="Y797" s="15" t="s">
        <v>2875</v>
      </c>
      <c r="Z797" s="20">
        <v>46121</v>
      </c>
      <c r="AA797" s="22" t="s">
        <v>2973</v>
      </c>
      <c r="AB797" s="16"/>
      <c r="AC797" s="16"/>
      <c r="AD797" s="16"/>
      <c r="AE797" s="16" t="s">
        <v>2993</v>
      </c>
      <c r="AF797" s="16"/>
      <c r="AI797" s="3" t="str">
        <f t="shared" ca="1" si="12"/>
        <v>OK</v>
      </c>
    </row>
    <row r="798" spans="1:35" hidden="1" x14ac:dyDescent="0.3">
      <c r="A798" s="13">
        <v>46032</v>
      </c>
      <c r="B798" s="14" t="s">
        <v>2806</v>
      </c>
      <c r="C798" s="16"/>
      <c r="D798" s="16"/>
      <c r="E798" s="15" t="s">
        <v>857</v>
      </c>
      <c r="F798" s="15" t="s">
        <v>912</v>
      </c>
      <c r="G798" s="15" t="s">
        <v>842</v>
      </c>
      <c r="H798" s="15"/>
      <c r="I798" s="15" t="s">
        <v>2795</v>
      </c>
      <c r="J798" s="15" t="s">
        <v>2796</v>
      </c>
      <c r="K798" s="16"/>
      <c r="L798" s="14" t="s">
        <v>2829</v>
      </c>
      <c r="M798" s="16"/>
      <c r="N798" s="15" t="s">
        <v>1238</v>
      </c>
      <c r="O798" s="14">
        <v>65</v>
      </c>
      <c r="P798" s="14" t="s">
        <v>2845</v>
      </c>
      <c r="Q798" s="14" cm="1">
        <f t="array" ref="Q798">_xlfn.IFS(P798="USD",O798,P798="VND",O798/26090,P798="JPY",O798/161)</f>
        <v>65</v>
      </c>
      <c r="R798" s="14">
        <v>21</v>
      </c>
      <c r="S798" s="14">
        <v>1</v>
      </c>
      <c r="T798" s="14"/>
      <c r="U798" s="14" t="s">
        <v>2848</v>
      </c>
      <c r="V798" s="14" t="s">
        <v>2857</v>
      </c>
      <c r="W798" s="14" t="s">
        <v>2858</v>
      </c>
      <c r="X798" s="17">
        <v>0</v>
      </c>
      <c r="Y798" s="15" t="s">
        <v>2875</v>
      </c>
      <c r="Z798" s="20">
        <v>46243</v>
      </c>
      <c r="AA798" s="20">
        <v>46608</v>
      </c>
      <c r="AB798" s="16"/>
      <c r="AC798" s="16"/>
      <c r="AD798" s="16"/>
      <c r="AE798" s="16" t="s">
        <v>2957</v>
      </c>
      <c r="AF798" s="16"/>
      <c r="AI798" s="3" t="str">
        <f t="shared" ca="1" si="12"/>
        <v>OK</v>
      </c>
    </row>
    <row r="799" spans="1:35" hidden="1" x14ac:dyDescent="0.3">
      <c r="A799" s="13">
        <v>46032</v>
      </c>
      <c r="B799" s="14" t="s">
        <v>2806</v>
      </c>
      <c r="C799" s="16"/>
      <c r="D799" s="16"/>
      <c r="E799" s="15" t="s">
        <v>857</v>
      </c>
      <c r="F799" s="15" t="s">
        <v>912</v>
      </c>
      <c r="G799" s="15" t="s">
        <v>843</v>
      </c>
      <c r="H799" s="15"/>
      <c r="I799" s="15" t="s">
        <v>2797</v>
      </c>
      <c r="J799" s="15" t="s">
        <v>2798</v>
      </c>
      <c r="K799" s="16"/>
      <c r="L799" s="14" t="s">
        <v>2829</v>
      </c>
      <c r="M799" s="16"/>
      <c r="N799" s="15" t="s">
        <v>1238</v>
      </c>
      <c r="O799" s="14">
        <v>132.88</v>
      </c>
      <c r="P799" s="14" t="s">
        <v>2845</v>
      </c>
      <c r="Q799" s="14" cm="1">
        <f t="array" ref="Q799">_xlfn.IFS(P799="USD",O799,P799="VND",O799/26090,P799="JPY",O799/161)</f>
        <v>132.88</v>
      </c>
      <c r="R799" s="14">
        <v>14</v>
      </c>
      <c r="S799" s="14">
        <v>1</v>
      </c>
      <c r="T799" s="14"/>
      <c r="U799" s="14" t="s">
        <v>2848</v>
      </c>
      <c r="V799" s="14" t="s">
        <v>2857</v>
      </c>
      <c r="W799" s="14" t="s">
        <v>2858</v>
      </c>
      <c r="X799" s="17">
        <v>0</v>
      </c>
      <c r="Y799" s="15" t="s">
        <v>2875</v>
      </c>
      <c r="Z799" s="20">
        <v>46243</v>
      </c>
      <c r="AA799" s="20">
        <v>46608</v>
      </c>
      <c r="AB799" s="16"/>
      <c r="AC799" s="16"/>
      <c r="AD799" s="16"/>
      <c r="AE799" s="16" t="s">
        <v>2957</v>
      </c>
      <c r="AF799" s="16"/>
      <c r="AI799" s="3" t="str">
        <f t="shared" ca="1" si="12"/>
        <v>OK</v>
      </c>
    </row>
    <row r="800" spans="1:35" hidden="1" x14ac:dyDescent="0.3">
      <c r="A800" s="13">
        <v>46032</v>
      </c>
      <c r="B800" s="14" t="s">
        <v>2806</v>
      </c>
      <c r="C800" s="16"/>
      <c r="D800" s="16"/>
      <c r="E800" s="15" t="s">
        <v>858</v>
      </c>
      <c r="F800" s="15" t="s">
        <v>1248</v>
      </c>
      <c r="G800" s="15" t="s">
        <v>844</v>
      </c>
      <c r="H800" s="15" t="s">
        <v>858</v>
      </c>
      <c r="I800" s="15" t="s">
        <v>2799</v>
      </c>
      <c r="J800" s="15" t="s">
        <v>2670</v>
      </c>
      <c r="K800" s="16"/>
      <c r="L800" s="14" t="s">
        <v>2829</v>
      </c>
      <c r="M800" s="16"/>
      <c r="N800" s="15" t="s">
        <v>1239</v>
      </c>
      <c r="O800" s="14">
        <v>256.76</v>
      </c>
      <c r="P800" s="14" t="s">
        <v>2845</v>
      </c>
      <c r="Q800" s="14" cm="1">
        <f t="array" ref="Q800">_xlfn.IFS(P800="USD",O800,P800="VND",O800/26090,P800="JPY",O800/161)</f>
        <v>256.76</v>
      </c>
      <c r="R800" s="14">
        <v>45</v>
      </c>
      <c r="S800" s="14">
        <v>1</v>
      </c>
      <c r="T800" s="14"/>
      <c r="U800" s="14" t="s">
        <v>2852</v>
      </c>
      <c r="V800" s="14" t="s">
        <v>2864</v>
      </c>
      <c r="W800" s="14" t="s">
        <v>2860</v>
      </c>
      <c r="X800" s="17">
        <v>0</v>
      </c>
      <c r="Y800" s="15" t="s">
        <v>2880</v>
      </c>
      <c r="Z800" s="18" t="s">
        <v>3050</v>
      </c>
      <c r="AA800" s="18"/>
      <c r="AB800" s="16"/>
      <c r="AC800" s="16"/>
      <c r="AD800" s="16"/>
      <c r="AE800" s="16" t="s">
        <v>3049</v>
      </c>
      <c r="AF800" s="16"/>
      <c r="AI800" s="3" t="str">
        <f t="shared" ca="1" si="12"/>
        <v>OK</v>
      </c>
    </row>
    <row r="801" spans="1:35" hidden="1" x14ac:dyDescent="0.3">
      <c r="A801" s="13">
        <v>46032</v>
      </c>
      <c r="B801" s="14" t="s">
        <v>2806</v>
      </c>
      <c r="C801" s="16"/>
      <c r="D801" s="16"/>
      <c r="E801" s="15" t="s">
        <v>849</v>
      </c>
      <c r="F801" s="15" t="s">
        <v>1243</v>
      </c>
      <c r="G801" s="15" t="s">
        <v>845</v>
      </c>
      <c r="H801" s="15" t="s">
        <v>849</v>
      </c>
      <c r="I801" s="15" t="s">
        <v>2800</v>
      </c>
      <c r="J801" s="15" t="s">
        <v>2801</v>
      </c>
      <c r="K801" s="16"/>
      <c r="L801" s="14" t="s">
        <v>2823</v>
      </c>
      <c r="M801" s="16"/>
      <c r="N801" s="15" t="s">
        <v>1148</v>
      </c>
      <c r="O801" s="14">
        <v>4.46</v>
      </c>
      <c r="P801" s="14" t="s">
        <v>2845</v>
      </c>
      <c r="Q801" s="14" cm="1">
        <f t="array" ref="Q801">_xlfn.IFS(P801="USD",O801,P801="VND",O801/26090,P801="JPY",O801/161)</f>
        <v>4.46</v>
      </c>
      <c r="R801" s="14">
        <v>84</v>
      </c>
      <c r="S801" s="14">
        <v>1</v>
      </c>
      <c r="T801" s="14"/>
      <c r="U801" s="14" t="s">
        <v>2849</v>
      </c>
      <c r="V801" s="14" t="s">
        <v>2857</v>
      </c>
      <c r="W801" s="14" t="s">
        <v>2858</v>
      </c>
      <c r="X801" s="17">
        <v>0</v>
      </c>
      <c r="Y801" s="15" t="s">
        <v>2875</v>
      </c>
      <c r="Z801" s="20">
        <v>46028</v>
      </c>
      <c r="AA801" s="20">
        <v>46393</v>
      </c>
      <c r="AB801" s="16"/>
      <c r="AC801" s="16"/>
      <c r="AD801" s="16"/>
      <c r="AE801" s="16" t="s">
        <v>2959</v>
      </c>
      <c r="AF801" s="16"/>
      <c r="AI801" s="3" t="str">
        <f t="shared" ca="1" si="12"/>
        <v>OK</v>
      </c>
    </row>
    <row r="802" spans="1:35" hidden="1" x14ac:dyDescent="0.3">
      <c r="A802" s="13">
        <v>46032</v>
      </c>
      <c r="B802" s="14" t="s">
        <v>2806</v>
      </c>
      <c r="C802" s="16"/>
      <c r="D802" s="16"/>
      <c r="E802" s="15" t="s">
        <v>872</v>
      </c>
      <c r="F802" s="15" t="s">
        <v>1258</v>
      </c>
      <c r="G802" s="15" t="s">
        <v>846</v>
      </c>
      <c r="H802" s="15" t="s">
        <v>849</v>
      </c>
      <c r="I802" s="15" t="s">
        <v>2802</v>
      </c>
      <c r="J802" s="15" t="s">
        <v>2803</v>
      </c>
      <c r="K802" s="16"/>
      <c r="L802" s="14" t="s">
        <v>2829</v>
      </c>
      <c r="M802" s="16"/>
      <c r="N802" s="15" t="s">
        <v>1240</v>
      </c>
      <c r="O802" s="14">
        <v>162</v>
      </c>
      <c r="P802" s="14" t="s">
        <v>2845</v>
      </c>
      <c r="Q802" s="14" cm="1">
        <f t="array" ref="Q802">_xlfn.IFS(P802="USD",O802,P802="VND",O802/26090,P802="JPY",O802/161)</f>
        <v>162</v>
      </c>
      <c r="R802" s="14">
        <v>30</v>
      </c>
      <c r="S802" s="14">
        <v>1</v>
      </c>
      <c r="T802" s="14"/>
      <c r="U802" s="14" t="s">
        <v>2848</v>
      </c>
      <c r="V802" s="14" t="s">
        <v>2857</v>
      </c>
      <c r="W802" s="14" t="s">
        <v>2858</v>
      </c>
      <c r="X802" s="17">
        <v>0</v>
      </c>
      <c r="Y802" s="15" t="s">
        <v>2875</v>
      </c>
      <c r="Z802" s="18" t="s">
        <v>2956</v>
      </c>
      <c r="AA802" s="18"/>
      <c r="AB802" s="16"/>
      <c r="AC802" s="16"/>
      <c r="AD802" s="16"/>
      <c r="AE802" s="16" t="s">
        <v>2955</v>
      </c>
      <c r="AF802" s="16"/>
      <c r="AI802" s="3" t="str">
        <f t="shared" ca="1" si="12"/>
        <v>OK</v>
      </c>
    </row>
    <row r="803" spans="1:35" hidden="1" x14ac:dyDescent="0.3">
      <c r="A803" s="13">
        <v>46032</v>
      </c>
      <c r="B803" s="14" t="s">
        <v>2806</v>
      </c>
      <c r="C803" s="16"/>
      <c r="D803" s="16"/>
      <c r="E803" s="15" t="s">
        <v>849</v>
      </c>
      <c r="F803" s="15" t="s">
        <v>1243</v>
      </c>
      <c r="G803" s="15" t="s">
        <v>847</v>
      </c>
      <c r="H803" s="15" t="s">
        <v>849</v>
      </c>
      <c r="I803" s="15" t="s">
        <v>2804</v>
      </c>
      <c r="J803" s="15" t="s">
        <v>2805</v>
      </c>
      <c r="K803" s="16"/>
      <c r="L803" s="14" t="s">
        <v>2823</v>
      </c>
      <c r="M803" s="16"/>
      <c r="N803" s="15" t="s">
        <v>1241</v>
      </c>
      <c r="O803" s="14">
        <v>55.08</v>
      </c>
      <c r="P803" s="14" t="s">
        <v>2845</v>
      </c>
      <c r="Q803" s="14" cm="1">
        <f t="array" ref="Q803">_xlfn.IFS(P803="USD",O803,P803="VND",O803/26090,P803="JPY",O803/161)</f>
        <v>55.08</v>
      </c>
      <c r="R803" s="14">
        <v>30</v>
      </c>
      <c r="S803" s="14">
        <v>1</v>
      </c>
      <c r="T803" s="14"/>
      <c r="U803" s="14" t="s">
        <v>2849</v>
      </c>
      <c r="V803" s="14" t="s">
        <v>2857</v>
      </c>
      <c r="W803" s="14" t="s">
        <v>2858</v>
      </c>
      <c r="X803" s="17">
        <v>0</v>
      </c>
      <c r="Y803" s="15" t="s">
        <v>2875</v>
      </c>
      <c r="Z803" s="20">
        <v>46028</v>
      </c>
      <c r="AA803" s="20">
        <v>46393</v>
      </c>
      <c r="AB803" s="16"/>
      <c r="AC803" s="16"/>
      <c r="AD803" s="16"/>
      <c r="AE803" s="16" t="s">
        <v>2959</v>
      </c>
      <c r="AF803" s="16"/>
      <c r="AI803" s="3" t="str">
        <f t="shared" ca="1" si="12"/>
        <v>OK</v>
      </c>
    </row>
  </sheetData>
  <autoFilter ref="A2:AI803" xr:uid="{45D25230-1A2A-4FDA-BBC3-5C4D3A4E14B0}">
    <filterColumn colId="26">
      <colorFilter dxfId="1"/>
    </filterColumn>
  </autoFilter>
  <conditionalFormatting sqref="AI1:AI1048576">
    <cfRule type="containsText" dxfId="0" priority="1" operator="containsText" text="NG">
      <formula>NOT(ISERROR(SEARCH("NG",AI1)))</formula>
    </cfRule>
  </conditionalFormatting>
  <dataValidations disablePrompts="1" count="1">
    <dataValidation type="list" allowBlank="1" showInputMessage="1" showErrorMessage="1" sqref="O1:O2" xr:uid="{7414B102-A1A0-4C63-B565-10E907B1B51F}">
      <formula1>"USD,VND,JPY"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vt:lpstr>
      <vt:lpstr>giải thích form</vt:lpstr>
      <vt:lpstr>Dòng chảy link vào master giá</vt:lpstr>
      <vt:lpstr>Format (EA)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PP)</dc:creator>
  <cp:lastModifiedBy>Ngan, NguyenThi (BIVN-PUR PP)</cp:lastModifiedBy>
  <dcterms:created xsi:type="dcterms:W3CDTF">2026-08-06T06:23:54Z</dcterms:created>
  <dcterms:modified xsi:type="dcterms:W3CDTF">2026-10-03T01:23:04Z</dcterms:modified>
</cp:coreProperties>
</file>
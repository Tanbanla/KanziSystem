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defaultThemeVersion="166925"/>
  <mc:AlternateContent xmlns:mc="http://schemas.openxmlformats.org/markup-compatibility/2006">
    <mc:Choice Requires="x15">
      <x15ac:absPath xmlns:x15ac="http://schemas.microsoft.com/office/spreadsheetml/2010/11/ac" url="\\apbivnap12\Share\Project_Document\Cost management\01_Clearifycation\2025-PUR-PUR_Quoctaion_Request\"/>
    </mc:Choice>
  </mc:AlternateContent>
  <xr:revisionPtr revIDLastSave="0" documentId="13_ncr:1_{214EBB25-BA41-4E7D-BC57-EBB77FF014C4}" xr6:coauthVersionLast="47" xr6:coauthVersionMax="47" xr10:uidLastSave="{00000000-0000-0000-0000-000000000000}"/>
  <bookViews>
    <workbookView minimized="1" xWindow="3870" yWindow="510" windowWidth="15330" windowHeight="10770" firstSheet="1" activeTab="2" xr2:uid="{BA027D5F-FDD0-48A4-8D05-B3EDD86CAF80}"/>
  </bookViews>
  <sheets>
    <sheet name="Rev_History" sheetId="5" state="hidden" r:id="rId1"/>
    <sheet name="KH viết phần mềm" sheetId="25" r:id="rId2"/>
    <sheet name="Form" sheetId="1" r:id="rId3"/>
    <sheet name="1. Ycau báo giá" sheetId="20" r:id="rId4"/>
    <sheet name="2. Nhập báo giá" sheetId="21" r:id="rId5"/>
    <sheet name="2.1" sheetId="26" r:id="rId6"/>
    <sheet name="3. Lựa chọn NCC" sheetId="22" r:id="rId7"/>
    <sheet name="4. yêu cầu hàng hóa" sheetId="23" r:id="rId8"/>
    <sheet name="5. Mã mới tạo code và tên" sheetId="24" r:id="rId9"/>
    <sheet name="Master quản lý giá " sheetId="16" r:id="rId10"/>
    <sheet name="4. Mail xin báo giá" sheetId="9" r:id="rId11"/>
    <sheet name="5. Quyền phê duyệt" sheetId="17" r:id="rId12"/>
  </sheets>
  <externalReferences>
    <externalReference r:id="rId1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24" l="1"/>
  <c r="F11" i="24"/>
  <c r="K10" i="24"/>
  <c r="F10" i="24"/>
  <c r="K9" i="24"/>
  <c r="F9" i="24"/>
  <c r="K8" i="24"/>
  <c r="F8" i="24"/>
  <c r="K7" i="24"/>
  <c r="F7" i="24"/>
  <c r="W4" i="24"/>
  <c r="X4" i="24" s="1"/>
  <c r="Y4" i="24" s="1"/>
  <c r="Z4" i="24" s="1"/>
  <c r="AA4" i="24" s="1"/>
  <c r="AB4" i="24" s="1"/>
  <c r="AC4" i="24" s="1"/>
  <c r="AD4" i="24" s="1"/>
  <c r="AE4" i="24" s="1"/>
  <c r="AF4" i="24" s="1"/>
  <c r="AG4" i="24" s="1"/>
  <c r="AH4" i="24" s="1"/>
  <c r="AI4" i="24" s="1"/>
  <c r="AJ4" i="24" s="1"/>
  <c r="AK4" i="24" s="1"/>
  <c r="AL4" i="24" s="1"/>
  <c r="P4" i="24"/>
  <c r="AI33" i="20" l="1"/>
  <c r="L13" i="21" l="1"/>
  <c r="L12" i="21"/>
  <c r="L11" i="21"/>
  <c r="X7" i="21"/>
  <c r="Y7" i="21" s="1"/>
  <c r="Z7" i="21" s="1"/>
  <c r="AA7" i="21" s="1"/>
  <c r="AB7" i="21" s="1"/>
  <c r="AC7" i="21" s="1"/>
  <c r="AD7" i="21" s="1"/>
  <c r="AE7" i="21" s="1"/>
  <c r="AF7" i="21" s="1"/>
  <c r="AG7" i="21" s="1"/>
  <c r="AH7" i="21" s="1"/>
  <c r="AI7" i="21" s="1"/>
  <c r="AJ7" i="21" s="1"/>
  <c r="AK7" i="21" s="1"/>
  <c r="AL7" i="21" s="1"/>
  <c r="AM7" i="21" s="1"/>
  <c r="AN7" i="21" s="1"/>
  <c r="AO7" i="21" s="1"/>
  <c r="AP7" i="21" s="1"/>
  <c r="AQ7" i="21" s="1"/>
  <c r="AR7" i="21" s="1"/>
  <c r="AS7" i="21" s="1"/>
  <c r="AT7" i="21" s="1"/>
  <c r="AU7" i="21" s="1"/>
  <c r="AV7" i="21" s="1"/>
  <c r="AW7" i="21" s="1"/>
  <c r="AX7" i="21" s="1"/>
  <c r="AY7" i="21" s="1"/>
  <c r="AZ7" i="21" s="1"/>
  <c r="BA7" i="21" s="1"/>
  <c r="BB7" i="21" s="1"/>
  <c r="BC7" i="21" s="1"/>
  <c r="Q7" i="21"/>
  <c r="J38" i="20" l="1"/>
  <c r="E38" i="20"/>
  <c r="J37" i="20"/>
  <c r="E37" i="20"/>
  <c r="J36" i="20"/>
  <c r="E36" i="20"/>
  <c r="V33" i="20"/>
  <c r="W33" i="20" s="1"/>
  <c r="X33" i="20" s="1"/>
  <c r="Y33" i="20" s="1"/>
  <c r="Z33" i="20" s="1"/>
  <c r="AA33" i="20" s="1"/>
  <c r="AB33" i="20" s="1"/>
  <c r="AC33" i="20" s="1"/>
  <c r="AD33" i="20" s="1"/>
  <c r="AE33" i="20" s="1"/>
  <c r="AF33" i="20" s="1"/>
  <c r="AG33" i="20" s="1"/>
  <c r="AH33" i="20" s="1"/>
  <c r="O33" i="20"/>
  <c r="I18" i="20"/>
  <c r="D18" i="20"/>
  <c r="I17" i="20"/>
  <c r="D17" i="20"/>
  <c r="I16" i="20"/>
  <c r="D16" i="20"/>
  <c r="U13" i="20"/>
  <c r="V13" i="20" s="1"/>
  <c r="W13" i="20" s="1"/>
  <c r="X13" i="20" s="1"/>
  <c r="Y13" i="20" s="1"/>
  <c r="Z13" i="20" s="1"/>
  <c r="AA13" i="20" s="1"/>
  <c r="AB13" i="20" s="1"/>
  <c r="AC13" i="20" s="1"/>
  <c r="AD13" i="20" s="1"/>
  <c r="AE13" i="20" s="1"/>
  <c r="AF13" i="20" s="1"/>
  <c r="AG13" i="20" s="1"/>
  <c r="N13" i="20"/>
  <c r="F10" i="16" l="1"/>
  <c r="F9" i="16"/>
  <c r="F8" i="16"/>
  <c r="F7" i="16"/>
  <c r="F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E10" authorId="0" shapeId="0" xr:uid="{7BD91323-6EE0-4759-BDF3-D4385AB7B1DF}">
      <text>
        <r>
          <rPr>
            <b/>
            <sz val="9"/>
            <color indexed="81"/>
            <rFont val="Tahoma"/>
            <family val="2"/>
          </rPr>
          <t>Ra tự động theo ngày làm đơn</t>
        </r>
        <r>
          <rPr>
            <sz val="9"/>
            <color indexed="81"/>
            <rFont val="Tahoma"/>
            <family val="2"/>
          </rPr>
          <t xml:space="preserve">
</t>
        </r>
      </text>
    </comment>
    <comment ref="J10" authorId="0" shapeId="0" xr:uid="{A1434B9D-0867-4574-B465-391F19398F8A}">
      <text>
        <r>
          <rPr>
            <b/>
            <sz val="9"/>
            <color indexed="81"/>
            <rFont val="Tahoma"/>
            <family val="2"/>
          </rPr>
          <t>RQ-Mã phòng-Năm tháng ngày-Số thứ tự</t>
        </r>
        <r>
          <rPr>
            <sz val="9"/>
            <color indexed="81"/>
            <rFont val="Tahoma"/>
            <family val="2"/>
          </rPr>
          <t xml:space="preserve">
</t>
        </r>
      </text>
    </comment>
    <comment ref="F14" authorId="0" shapeId="0" xr:uid="{0FA1544A-45BF-4AC7-B2B7-4BC3A650822B}">
      <text>
        <r>
          <rPr>
            <sz val="9"/>
            <color indexed="81"/>
            <rFont val="Tahoma"/>
            <family val="2"/>
          </rPr>
          <t xml:space="preserve">Phòng ban nào cần mua về lắp thành 1 thiết bị thì ghi
</t>
        </r>
      </text>
    </comment>
    <comment ref="G14" authorId="0" shapeId="0" xr:uid="{91131630-DA3A-40DD-8F07-4937CCCD25AC}">
      <text>
        <r>
          <rPr>
            <sz val="9"/>
            <color indexed="81"/>
            <rFont val="Tahoma"/>
            <family val="2"/>
          </rPr>
          <t xml:space="preserve">Với mã hàng đã từng mua thì bắt buộc phải điền
</t>
        </r>
      </text>
    </comment>
    <comment ref="H14" authorId="0" shapeId="0" xr:uid="{8DE6FFC3-D6CD-433C-AC65-D56F4A90C0A4}">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I14" authorId="0" shapeId="0" xr:uid="{3C8F453B-701D-4A82-B5D0-F8B1D2A6241B}">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M14" authorId="0" shapeId="0" xr:uid="{BE6CA24F-39AA-487C-89A3-F1D19032E6B5}">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X14" authorId="0" shapeId="0" xr:uid="{63095852-5664-429C-96E6-613EF12C8AC9}">
      <text>
        <r>
          <rPr>
            <b/>
            <sz val="9"/>
            <color indexed="81"/>
            <rFont val="Tahoma"/>
            <family val="2"/>
          </rPr>
          <t>Nếu là hàng tự thiết kế thì copy link bản vẽ</t>
        </r>
        <r>
          <rPr>
            <sz val="9"/>
            <color indexed="81"/>
            <rFont val="Tahoma"/>
            <family val="2"/>
          </rPr>
          <t xml:space="preserve">
</t>
        </r>
      </text>
    </comment>
    <comment ref="Y14" authorId="0" shapeId="0" xr:uid="{A4920D52-AD1A-468A-8719-6C2F518E8586}">
      <text>
        <r>
          <rPr>
            <b/>
            <sz val="9"/>
            <color indexed="81"/>
            <rFont val="Tahoma"/>
            <family val="2"/>
          </rPr>
          <t>Mã đã mua: Vlook up từ master</t>
        </r>
        <r>
          <rPr>
            <sz val="9"/>
            <color indexed="81"/>
            <rFont val="Tahoma"/>
            <family val="2"/>
          </rPr>
          <t xml:space="preserve">
Mã mới: Tự điền</t>
        </r>
      </text>
    </comment>
    <comment ref="Z14" authorId="0" shapeId="0" xr:uid="{EC90BEBE-32CB-4405-97A1-FE507E8C0439}">
      <text>
        <r>
          <rPr>
            <b/>
            <sz val="9"/>
            <color indexed="81"/>
            <rFont val="Tahoma"/>
            <family val="2"/>
          </rPr>
          <t>Link từ cột chủng loại hàng+master</t>
        </r>
      </text>
    </comment>
    <comment ref="AA14" authorId="0" shapeId="0" xr:uid="{CF90E936-94F3-4BC9-801E-B31485F8B01B}">
      <text>
        <r>
          <rPr>
            <b/>
            <sz val="9"/>
            <color indexed="81"/>
            <rFont val="Tahoma"/>
            <family val="2"/>
          </rPr>
          <t>Link từ cột chủng loại hàng+master</t>
        </r>
      </text>
    </comment>
    <comment ref="AB14" authorId="0" shapeId="0" xr:uid="{CC9486B1-1E58-4FCA-BCD9-A2F80A3F5CF0}">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C14" authorId="0" shapeId="0" xr:uid="{BF552B45-0E5E-4AEB-828C-B1BBF17C57DA}">
      <text>
        <r>
          <rPr>
            <b/>
            <sz val="9"/>
            <color indexed="81"/>
            <rFont val="Tahoma"/>
            <family val="2"/>
          </rPr>
          <t>Điền lý do hợp lý với các NCC chọn X ở cột số 14</t>
        </r>
        <r>
          <rPr>
            <sz val="9"/>
            <color indexed="81"/>
            <rFont val="Tahoma"/>
            <family val="2"/>
          </rPr>
          <t xml:space="preserve">
</t>
        </r>
      </text>
    </comment>
    <comment ref="AE14" authorId="0" shapeId="0" xr:uid="{4A25CDA7-8060-45B4-B9C8-661A0D2FE127}">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G14" authorId="0" shapeId="0" xr:uid="{C6DE3CEE-070A-42E6-829B-76543F39D57E}">
      <text>
        <r>
          <rPr>
            <sz val="9"/>
            <color indexed="81"/>
            <rFont val="Tahoma"/>
            <family val="2"/>
          </rPr>
          <t>Tên của người yêu cầu mặt hàng này
(vì mỗi phòng có 1 đảm nhiệm làm đơn, ghi chú này để ghi chú nhận yêu cầu từ ai</t>
        </r>
      </text>
    </comment>
    <comment ref="N15" authorId="0" shapeId="0" xr:uid="{40DA5FF4-25D1-43FA-892D-B56F1C04D846}">
      <text>
        <r>
          <rPr>
            <b/>
            <sz val="9"/>
            <color indexed="81"/>
            <rFont val="Tahoma"/>
            <family val="2"/>
          </rPr>
          <t>Tấm, khay, hộp...</t>
        </r>
        <r>
          <rPr>
            <sz val="9"/>
            <color indexed="81"/>
            <rFont val="Tahoma"/>
            <family val="2"/>
          </rPr>
          <t xml:space="preserve">
</t>
        </r>
      </text>
    </comment>
    <comment ref="O15" authorId="0" shapeId="0" xr:uid="{6F0805DF-6DD8-4155-9F03-BEF96DB64B96}">
      <text>
        <r>
          <rPr>
            <b/>
            <sz val="9"/>
            <color indexed="81"/>
            <rFont val="Tahoma"/>
            <family val="2"/>
          </rPr>
          <t>thép, nhựa ABS, nhôm...</t>
        </r>
        <r>
          <rPr>
            <sz val="9"/>
            <color indexed="81"/>
            <rFont val="Tahoma"/>
            <family val="2"/>
          </rPr>
          <t xml:space="preserve">
</t>
        </r>
      </text>
    </comment>
    <comment ref="G34" authorId="0" shapeId="0" xr:uid="{160B9313-CD19-4876-96EC-AFAD4210C8BF}">
      <text>
        <r>
          <rPr>
            <sz val="9"/>
            <color indexed="81"/>
            <rFont val="Tahoma"/>
            <family val="2"/>
          </rPr>
          <t xml:space="preserve">Phòng ban nào cần mua về lắp thành 1 thiết bị thì ghi
</t>
        </r>
      </text>
    </comment>
    <comment ref="H34" authorId="0" shapeId="0" xr:uid="{DB821078-1901-4142-ADAF-38CD10FFDE3B}">
      <text>
        <r>
          <rPr>
            <sz val="9"/>
            <color indexed="81"/>
            <rFont val="Tahoma"/>
            <family val="2"/>
          </rPr>
          <t xml:space="preserve">Với mã hàng đã từng mua thì bắt buộc phải điền
</t>
        </r>
      </text>
    </comment>
    <comment ref="I34" authorId="0" shapeId="0" xr:uid="{F4B5A19B-2758-4A61-A021-4F7B9603C403}">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J34" authorId="0" shapeId="0" xr:uid="{270207F6-28B5-4CAC-8068-2806B4B2309A}">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34" authorId="0" shapeId="0" xr:uid="{82E7923A-F7B1-4F6C-9083-C59600ACD2BF}">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Y34" authorId="0" shapeId="0" xr:uid="{CAF96BD8-9E76-4533-8A56-4F86197FB49B}">
      <text>
        <r>
          <rPr>
            <b/>
            <sz val="9"/>
            <color indexed="81"/>
            <rFont val="Tahoma"/>
            <family val="2"/>
          </rPr>
          <t>Nếu là hàng tự thiết kế thì copy link bản vẽ</t>
        </r>
        <r>
          <rPr>
            <sz val="9"/>
            <color indexed="81"/>
            <rFont val="Tahoma"/>
            <family val="2"/>
          </rPr>
          <t xml:space="preserve">
</t>
        </r>
      </text>
    </comment>
    <comment ref="Z34" authorId="0" shapeId="0" xr:uid="{78FB067A-8B99-4B87-A90E-0ADF86EE6053}">
      <text>
        <r>
          <rPr>
            <b/>
            <sz val="9"/>
            <color indexed="81"/>
            <rFont val="Tahoma"/>
            <family val="2"/>
          </rPr>
          <t>Mã đã mua: Vlook up từ master</t>
        </r>
        <r>
          <rPr>
            <sz val="9"/>
            <color indexed="81"/>
            <rFont val="Tahoma"/>
            <family val="2"/>
          </rPr>
          <t xml:space="preserve">
Mã mới: Tự điền</t>
        </r>
      </text>
    </comment>
    <comment ref="AA34" authorId="0" shapeId="0" xr:uid="{68440C06-9CF3-46A3-A856-251D76CA6D75}">
      <text>
        <r>
          <rPr>
            <b/>
            <sz val="9"/>
            <color indexed="81"/>
            <rFont val="Tahoma"/>
            <family val="2"/>
          </rPr>
          <t>Link từ cột chủng loại hàng+master</t>
        </r>
      </text>
    </comment>
    <comment ref="AB34" authorId="0" shapeId="0" xr:uid="{EA888501-1162-4A16-A667-D962FDA5F7A9}">
      <text>
        <r>
          <rPr>
            <b/>
            <sz val="9"/>
            <color indexed="81"/>
            <rFont val="Tahoma"/>
            <family val="2"/>
          </rPr>
          <t>Link từ cột chủng loại hàng+master</t>
        </r>
      </text>
    </comment>
    <comment ref="AC34" authorId="0" shapeId="0" xr:uid="{32D82EC8-30D2-4D8A-8B77-2F7A5B4CA57D}">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D34" authorId="0" shapeId="0" xr:uid="{28E5E4B3-6808-4395-8C1C-0FBC6CC38C2D}">
      <text>
        <r>
          <rPr>
            <b/>
            <sz val="9"/>
            <color indexed="81"/>
            <rFont val="Tahoma"/>
            <family val="2"/>
          </rPr>
          <t>Điền lý do hợp lý với các NCC chọn X ở cột số 14</t>
        </r>
        <r>
          <rPr>
            <sz val="9"/>
            <color indexed="81"/>
            <rFont val="Tahoma"/>
            <family val="2"/>
          </rPr>
          <t xml:space="preserve">
</t>
        </r>
      </text>
    </comment>
    <comment ref="AF34" authorId="0" shapeId="0" xr:uid="{224C16AA-AB09-4B55-A0D4-AA82BE8EDF2A}">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H34" authorId="0" shapeId="0" xr:uid="{1A4B96A2-2E4B-49C4-AB19-4F5CD9F67903}">
      <text>
        <r>
          <rPr>
            <sz val="9"/>
            <color indexed="81"/>
            <rFont val="Tahoma"/>
            <family val="2"/>
          </rPr>
          <t>Tên của người yêu cầu mặt hàng này
(vì mỗi phòng có 1 đảm nhiệm làm đơn, ghi chú này để ghi chú nhận yêu cầu từ ai</t>
        </r>
      </text>
    </comment>
    <comment ref="O35" authorId="0" shapeId="0" xr:uid="{7DC0BDBA-C9E4-4707-B6AA-CB914F312F4C}">
      <text>
        <r>
          <rPr>
            <b/>
            <sz val="9"/>
            <color indexed="81"/>
            <rFont val="Tahoma"/>
            <family val="2"/>
          </rPr>
          <t>Tấm, khay, hộp...</t>
        </r>
        <r>
          <rPr>
            <sz val="9"/>
            <color indexed="81"/>
            <rFont val="Tahoma"/>
            <family val="2"/>
          </rPr>
          <t xml:space="preserve">
</t>
        </r>
      </text>
    </comment>
    <comment ref="P35" authorId="0" shapeId="0" xr:uid="{AB9E12B6-5B31-4E56-B46A-1F706CF991A1}">
      <text>
        <r>
          <rPr>
            <b/>
            <sz val="9"/>
            <color indexed="81"/>
            <rFont val="Tahoma"/>
            <family val="2"/>
          </rPr>
          <t>thép, nhựa ABS, nhôm...</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I8" authorId="0" shapeId="0" xr:uid="{042DCCFC-88FB-49ED-8709-06EBEC32A1A7}">
      <text>
        <r>
          <rPr>
            <sz val="9"/>
            <color indexed="81"/>
            <rFont val="Tahoma"/>
            <family val="2"/>
          </rPr>
          <t xml:space="preserve">Phòng ban nào cần mua về lắp thành 1 thiết bị thì ghi
</t>
        </r>
      </text>
    </comment>
    <comment ref="J8" authorId="0" shapeId="0" xr:uid="{C529C273-27B4-46C4-866F-69F3CB798BAE}">
      <text>
        <r>
          <rPr>
            <sz val="9"/>
            <color indexed="81"/>
            <rFont val="Tahoma"/>
            <family val="2"/>
          </rPr>
          <t xml:space="preserve">Với mã hàng đã từng mua thì bắt buộc phải điền
</t>
        </r>
      </text>
    </comment>
    <comment ref="K8" authorId="0" shapeId="0" xr:uid="{85042BA5-7E39-40EA-8899-067CECFA221A}">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L8" authorId="0" shapeId="0" xr:uid="{A0A15CB2-1D20-4518-8E27-B26B7B95AB79}">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P8" authorId="0" shapeId="0" xr:uid="{68C0DC23-8AC6-4AA5-BD8C-52BC9C29E281}">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AA8" authorId="0" shapeId="0" xr:uid="{09297E17-60B6-49E3-B3C6-237D8669B2C9}">
      <text>
        <r>
          <rPr>
            <b/>
            <sz val="9"/>
            <color indexed="81"/>
            <rFont val="Tahoma"/>
            <family val="2"/>
          </rPr>
          <t>Nếu là hàng tự thiết kế thì copy link bản vẽ</t>
        </r>
        <r>
          <rPr>
            <sz val="9"/>
            <color indexed="81"/>
            <rFont val="Tahoma"/>
            <family val="2"/>
          </rPr>
          <t xml:space="preserve">
</t>
        </r>
      </text>
    </comment>
    <comment ref="AB8" authorId="0" shapeId="0" xr:uid="{67CA370C-0C7E-40F7-AB61-D2C9A33D839A}">
      <text>
        <r>
          <rPr>
            <b/>
            <sz val="9"/>
            <color indexed="81"/>
            <rFont val="Tahoma"/>
            <family val="2"/>
          </rPr>
          <t>Mã đã mua: Vlook up từ master</t>
        </r>
        <r>
          <rPr>
            <sz val="9"/>
            <color indexed="81"/>
            <rFont val="Tahoma"/>
            <family val="2"/>
          </rPr>
          <t xml:space="preserve">
Mã mới: Tự điền</t>
        </r>
      </text>
    </comment>
    <comment ref="AC8" authorId="0" shapeId="0" xr:uid="{3EBEA15F-B33C-458C-825B-3E5365FFF269}">
      <text>
        <r>
          <rPr>
            <b/>
            <sz val="9"/>
            <color indexed="81"/>
            <rFont val="Tahoma"/>
            <family val="2"/>
          </rPr>
          <t>Link từ cột chủng loại hàng+master</t>
        </r>
      </text>
    </comment>
    <comment ref="AD8" authorId="0" shapeId="0" xr:uid="{40D549CF-BC60-4E6A-B4ED-F6A1615F5A08}">
      <text>
        <r>
          <rPr>
            <b/>
            <sz val="9"/>
            <color indexed="81"/>
            <rFont val="Tahoma"/>
            <family val="2"/>
          </rPr>
          <t>Link từ cột chủng loại hàng+master</t>
        </r>
      </text>
    </comment>
    <comment ref="AE8" authorId="0" shapeId="0" xr:uid="{58225E1B-208B-45DA-B9DA-491F4AAE0CD2}">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F8" authorId="0" shapeId="0" xr:uid="{613E4005-5986-481A-A386-68AEADB25F27}">
      <text>
        <r>
          <rPr>
            <b/>
            <sz val="9"/>
            <color indexed="81"/>
            <rFont val="Tahoma"/>
            <family val="2"/>
          </rPr>
          <t>Điền lý do hợp lý với các NCC chọn X ở cột số 14</t>
        </r>
        <r>
          <rPr>
            <sz val="9"/>
            <color indexed="81"/>
            <rFont val="Tahoma"/>
            <family val="2"/>
          </rPr>
          <t xml:space="preserve">
</t>
        </r>
      </text>
    </comment>
    <comment ref="AH8" authorId="0" shapeId="0" xr:uid="{84A07858-465B-4F8B-830B-B86C37956D36}">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J8" authorId="0" shapeId="0" xr:uid="{370E022D-2207-4068-AA99-ED3623E2BFBF}">
      <text>
        <r>
          <rPr>
            <sz val="9"/>
            <color indexed="81"/>
            <rFont val="Tahoma"/>
            <family val="2"/>
          </rPr>
          <t>Tên của người yêu cầu mặt hàng này
(vì mỗi phòng có 1 đảm nhiệm làm đơn, ghi chú này để ghi chú nhận yêu cầu từ ai</t>
        </r>
      </text>
    </comment>
    <comment ref="Q9" authorId="0" shapeId="0" xr:uid="{D8BD6EF7-5DDA-4EA1-A95D-B8742A577813}">
      <text>
        <r>
          <rPr>
            <b/>
            <sz val="9"/>
            <color indexed="81"/>
            <rFont val="Tahoma"/>
            <family val="2"/>
          </rPr>
          <t>Tấm, khay, hộp...</t>
        </r>
        <r>
          <rPr>
            <sz val="9"/>
            <color indexed="81"/>
            <rFont val="Tahoma"/>
            <family val="2"/>
          </rPr>
          <t xml:space="preserve">
</t>
        </r>
      </text>
    </comment>
    <comment ref="R9" authorId="0" shapeId="0" xr:uid="{5B56D161-502B-40F7-9F85-7BD793330684}">
      <text>
        <r>
          <rPr>
            <b/>
            <sz val="9"/>
            <color indexed="81"/>
            <rFont val="Tahoma"/>
            <family val="2"/>
          </rPr>
          <t>thép, nhựa ABS, nhôm...</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J6" authorId="0" shapeId="0" xr:uid="{5E19A73E-115F-4C35-9A61-DE17E1CBEA19}">
      <text>
        <r>
          <rPr>
            <b/>
            <sz val="9"/>
            <color indexed="81"/>
            <rFont val="Tahoma"/>
            <family val="2"/>
          </rPr>
          <t>Input date/month/year</t>
        </r>
        <r>
          <rPr>
            <sz val="9"/>
            <color indexed="81"/>
            <rFont val="Tahoma"/>
            <family val="2"/>
          </rPr>
          <t xml:space="preserve">
</t>
        </r>
      </text>
    </comment>
    <comment ref="J7" authorId="0" shapeId="0" xr:uid="{275B266E-200C-4082-B337-F9A90231EB81}">
      <text>
        <r>
          <rPr>
            <b/>
            <sz val="9"/>
            <color indexed="81"/>
            <rFont val="Tahoma"/>
            <family val="2"/>
          </rPr>
          <t>Input date/month/year</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7" authorId="0" shapeId="0" xr:uid="{51D83835-2E4D-4094-8E88-77F4F162E60D}">
      <text>
        <r>
          <rPr>
            <sz val="9"/>
            <color indexed="81"/>
            <rFont val="Tahoma"/>
            <family val="2"/>
          </rPr>
          <t xml:space="preserve">Phòng ban nào cần mua về lắp thành 1 thiết bị thì ghi
</t>
        </r>
      </text>
    </comment>
    <comment ref="E7" authorId="0" shapeId="0" xr:uid="{CEC74CCD-391E-4764-8B15-4381626449AE}">
      <text>
        <r>
          <rPr>
            <sz val="9"/>
            <color indexed="81"/>
            <rFont val="Tahoma"/>
            <family val="2"/>
          </rPr>
          <t xml:space="preserve">Với mã hàng đã từng mua thì bắt buộc phải điền
</t>
        </r>
      </text>
    </comment>
    <comment ref="F7" authorId="0" shapeId="0" xr:uid="{2BD124EC-6701-40DF-8261-61720A2EFA6A}">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G7" authorId="0" shapeId="0" xr:uid="{4645CF27-B68B-4821-AD1B-21135A544A91}">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7" authorId="0" shapeId="0" xr:uid="{8E2CF9E3-F49A-40F0-BEB8-9B7411747121}">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V7" authorId="0" shapeId="0" xr:uid="{3B94FF60-1E0E-4894-8701-F84025C9E4B2}">
      <text>
        <r>
          <rPr>
            <b/>
            <sz val="9"/>
            <color indexed="81"/>
            <rFont val="Tahoma"/>
            <family val="2"/>
          </rPr>
          <t>Nếu là hàng tự thiết kế thì copy link bản vẽ</t>
        </r>
        <r>
          <rPr>
            <sz val="9"/>
            <color indexed="81"/>
            <rFont val="Tahoma"/>
            <family val="2"/>
          </rPr>
          <t xml:space="preserve">
</t>
        </r>
      </text>
    </comment>
    <comment ref="W7" authorId="0" shapeId="0" xr:uid="{FF19D848-D080-43CE-8181-1F2CAFE336F6}">
      <text>
        <r>
          <rPr>
            <b/>
            <sz val="9"/>
            <color indexed="81"/>
            <rFont val="Tahoma"/>
            <family val="2"/>
          </rPr>
          <t>Mã đã mua: Vlook up từ master</t>
        </r>
        <r>
          <rPr>
            <sz val="9"/>
            <color indexed="81"/>
            <rFont val="Tahoma"/>
            <family val="2"/>
          </rPr>
          <t xml:space="preserve">
Mã mới: Tự điền</t>
        </r>
      </text>
    </comment>
    <comment ref="X7" authorId="0" shapeId="0" xr:uid="{6FA2E6E9-90B1-42A4-95EF-F91691AAF0E1}">
      <text>
        <r>
          <rPr>
            <b/>
            <sz val="9"/>
            <color indexed="81"/>
            <rFont val="Tahoma"/>
            <family val="2"/>
          </rPr>
          <t>Link từ cột chủng loại hàng+master</t>
        </r>
      </text>
    </comment>
    <comment ref="Y7" authorId="0" shapeId="0" xr:uid="{357D62EF-AEC8-47C0-A795-201F4809CD9E}">
      <text>
        <r>
          <rPr>
            <b/>
            <sz val="9"/>
            <color indexed="81"/>
            <rFont val="Tahoma"/>
            <family val="2"/>
          </rPr>
          <t>Link từ cột chủng loại hàng+master</t>
        </r>
      </text>
    </comment>
    <comment ref="L8" authorId="0" shapeId="0" xr:uid="{7BA187A2-4DD6-4A03-A61E-66E1BEEE20AA}">
      <text>
        <r>
          <rPr>
            <b/>
            <sz val="9"/>
            <color indexed="81"/>
            <rFont val="Tahoma"/>
            <family val="2"/>
          </rPr>
          <t>Tấm, khay, hộp...</t>
        </r>
        <r>
          <rPr>
            <sz val="9"/>
            <color indexed="81"/>
            <rFont val="Tahoma"/>
            <family val="2"/>
          </rPr>
          <t xml:space="preserve">
</t>
        </r>
      </text>
    </comment>
    <comment ref="M8" authorId="0" shapeId="0" xr:uid="{BC3EAE73-AAF8-4BDC-B8D8-356AB0E1B1DB}">
      <text>
        <r>
          <rPr>
            <b/>
            <sz val="9"/>
            <color indexed="81"/>
            <rFont val="Tahoma"/>
            <family val="2"/>
          </rPr>
          <t>thép, nhựa ABS, nhôm...</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8" authorId="0" shapeId="0" xr:uid="{8C9E961C-2883-48FA-9EF4-C92C2F88E9E4}">
      <text>
        <r>
          <rPr>
            <sz val="9"/>
            <color indexed="81"/>
            <rFont val="Tahoma"/>
            <family val="2"/>
          </rPr>
          <t xml:space="preserve">Phòng ban nào cần mua về lắp thành 1 thiết bị thì ghi
</t>
        </r>
      </text>
    </comment>
    <comment ref="E8" authorId="0" shapeId="0" xr:uid="{D6C15EE8-CBD6-4D3C-A2CF-07515A013ACA}">
      <text>
        <r>
          <rPr>
            <sz val="9"/>
            <color indexed="81"/>
            <rFont val="Tahoma"/>
            <family val="2"/>
          </rPr>
          <t xml:space="preserve">Với mã hàng đã từng mua thì bắt buộc phải điền
</t>
        </r>
      </text>
    </comment>
    <comment ref="F8" authorId="0" shapeId="0" xr:uid="{2E59C6A6-6436-40FF-B59C-97CCFA986E4C}">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G8" authorId="0" shapeId="0" xr:uid="{ACE0893C-B323-4154-8530-3DF673C742D4}">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8" authorId="0" shapeId="0" xr:uid="{A222DC58-F9F6-4772-A6B1-ACDC9125D80D}">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V8" authorId="0" shapeId="0" xr:uid="{404ACD93-F7F1-4FF1-A7B9-DB23F22555F2}">
      <text>
        <r>
          <rPr>
            <b/>
            <sz val="9"/>
            <color indexed="81"/>
            <rFont val="Tahoma"/>
            <family val="2"/>
          </rPr>
          <t>Nếu là hàng tự thiết kế thì copy link bản vẽ</t>
        </r>
        <r>
          <rPr>
            <sz val="9"/>
            <color indexed="81"/>
            <rFont val="Tahoma"/>
            <family val="2"/>
          </rPr>
          <t xml:space="preserve">
</t>
        </r>
      </text>
    </comment>
    <comment ref="W8" authorId="0" shapeId="0" xr:uid="{EBDA6579-D7B7-4399-A4F2-490B2B762BEC}">
      <text>
        <r>
          <rPr>
            <b/>
            <sz val="9"/>
            <color indexed="81"/>
            <rFont val="Tahoma"/>
            <family val="2"/>
          </rPr>
          <t>Mã đã mua: Vlook up từ master</t>
        </r>
        <r>
          <rPr>
            <sz val="9"/>
            <color indexed="81"/>
            <rFont val="Tahoma"/>
            <family val="2"/>
          </rPr>
          <t xml:space="preserve">
Mã mới: Tự điền</t>
        </r>
      </text>
    </comment>
    <comment ref="X8" authorId="0" shapeId="0" xr:uid="{8AE9E37F-AB69-4DA4-8BF6-568926CBAC32}">
      <text>
        <r>
          <rPr>
            <b/>
            <sz val="9"/>
            <color indexed="81"/>
            <rFont val="Tahoma"/>
            <family val="2"/>
          </rPr>
          <t>Link từ cột chủng loại hàng+master</t>
        </r>
      </text>
    </comment>
    <comment ref="Y8" authorId="0" shapeId="0" xr:uid="{DA8DB501-CDFD-4DF8-9CBA-631F061F0630}">
      <text>
        <r>
          <rPr>
            <b/>
            <sz val="9"/>
            <color indexed="81"/>
            <rFont val="Tahoma"/>
            <family val="2"/>
          </rPr>
          <t>Link từ cột chủng loại hàng+master</t>
        </r>
      </text>
    </comment>
    <comment ref="L9" authorId="0" shapeId="0" xr:uid="{FA19180A-8F17-48BD-A2DE-C1FD202C5589}">
      <text>
        <r>
          <rPr>
            <b/>
            <sz val="9"/>
            <color indexed="81"/>
            <rFont val="Tahoma"/>
            <family val="2"/>
          </rPr>
          <t>Tấm, khay, hộp...</t>
        </r>
        <r>
          <rPr>
            <sz val="9"/>
            <color indexed="81"/>
            <rFont val="Tahoma"/>
            <family val="2"/>
          </rPr>
          <t xml:space="preserve">
</t>
        </r>
      </text>
    </comment>
    <comment ref="M9" authorId="0" shapeId="0" xr:uid="{DD58636E-0DDE-4540-9257-1571E2E1B09A}">
      <text>
        <r>
          <rPr>
            <b/>
            <sz val="9"/>
            <color indexed="81"/>
            <rFont val="Tahoma"/>
            <family val="2"/>
          </rPr>
          <t>thép, nhựa ABS, nhôm...</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H5" authorId="0" shapeId="0" xr:uid="{B74E8E78-ACEF-4DFE-81D5-E1AA75844038}">
      <text>
        <r>
          <rPr>
            <sz val="9"/>
            <color indexed="81"/>
            <rFont val="Tahoma"/>
            <family val="2"/>
          </rPr>
          <t xml:space="preserve">Phòng ban nào cần mua về lắp thành 1 thiết bị thì ghi
</t>
        </r>
      </text>
    </comment>
    <comment ref="I5" authorId="0" shapeId="0" xr:uid="{B4C06158-AF8A-4038-BB12-0B00137FF5D9}">
      <text>
        <r>
          <rPr>
            <sz val="9"/>
            <color indexed="81"/>
            <rFont val="Tahoma"/>
            <family val="2"/>
          </rPr>
          <t xml:space="preserve">Với mã hàng đã từng mua thì bắt buộc phải điền
</t>
        </r>
      </text>
    </comment>
    <comment ref="J5" authorId="0" shapeId="0" xr:uid="{CFE9F12D-4F9D-472C-A1CD-D396ACCE833A}">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K5" authorId="0" shapeId="0" xr:uid="{F83BDE41-3481-4A4C-887C-C0F73BB4A0ED}">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O5" authorId="0" shapeId="0" xr:uid="{090AF88E-7578-41B6-97D6-DD69B2255B68}">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Z5" authorId="0" shapeId="0" xr:uid="{0FC7D2BD-85A2-4FA1-9032-F7E834DE658D}">
      <text>
        <r>
          <rPr>
            <b/>
            <sz val="9"/>
            <color indexed="81"/>
            <rFont val="Tahoma"/>
            <family val="2"/>
          </rPr>
          <t>Nếu là hàng tự thiết kế thì copy link bản vẽ</t>
        </r>
        <r>
          <rPr>
            <sz val="9"/>
            <color indexed="81"/>
            <rFont val="Tahoma"/>
            <family val="2"/>
          </rPr>
          <t xml:space="preserve">
</t>
        </r>
      </text>
    </comment>
    <comment ref="AA5" authorId="0" shapeId="0" xr:uid="{F0B2E157-D8EF-4567-8565-F601A056E7CD}">
      <text>
        <r>
          <rPr>
            <b/>
            <sz val="9"/>
            <color indexed="81"/>
            <rFont val="Tahoma"/>
            <family val="2"/>
          </rPr>
          <t>Mã đã mua: Vlook up từ master</t>
        </r>
        <r>
          <rPr>
            <sz val="9"/>
            <color indexed="81"/>
            <rFont val="Tahoma"/>
            <family val="2"/>
          </rPr>
          <t xml:space="preserve">
Mã mới: Tự điền</t>
        </r>
      </text>
    </comment>
    <comment ref="AB5" authorId="0" shapeId="0" xr:uid="{9F9C8F85-B46C-47B2-8DF7-AFEB441A15C4}">
      <text>
        <r>
          <rPr>
            <b/>
            <sz val="9"/>
            <color indexed="81"/>
            <rFont val="Tahoma"/>
            <family val="2"/>
          </rPr>
          <t>Link từ cột chủng loại hàng+master</t>
        </r>
      </text>
    </comment>
    <comment ref="AC5" authorId="0" shapeId="0" xr:uid="{4B12A58C-0C05-4D72-92A2-67A8CAAFB552}">
      <text>
        <r>
          <rPr>
            <b/>
            <sz val="9"/>
            <color indexed="81"/>
            <rFont val="Tahoma"/>
            <family val="2"/>
          </rPr>
          <t>Link từ cột chủng loại hàng+master</t>
        </r>
      </text>
    </comment>
    <comment ref="AD5" authorId="0" shapeId="0" xr:uid="{7F47C2DE-1CEE-4DA1-BFF2-4CDA5A369A5C}">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E5" authorId="0" shapeId="0" xr:uid="{84ECD2AD-68AA-454E-A007-7AE3685C4062}">
      <text>
        <r>
          <rPr>
            <b/>
            <sz val="9"/>
            <color indexed="81"/>
            <rFont val="Tahoma"/>
            <family val="2"/>
          </rPr>
          <t>Điền lý do hợp lý với các NCC chọn X ở cột số 14</t>
        </r>
        <r>
          <rPr>
            <sz val="9"/>
            <color indexed="81"/>
            <rFont val="Tahoma"/>
            <family val="2"/>
          </rPr>
          <t xml:space="preserve">
</t>
        </r>
      </text>
    </comment>
    <comment ref="AG5" authorId="0" shapeId="0" xr:uid="{9EA528F5-D8C5-40FE-A466-A31F817EB1E2}">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I5" authorId="0" shapeId="0" xr:uid="{0073DCA2-B898-4553-A4ED-183E0926154B}">
      <text>
        <r>
          <rPr>
            <sz val="9"/>
            <color indexed="81"/>
            <rFont val="Tahoma"/>
            <family val="2"/>
          </rPr>
          <t>Tên của người yêu cầu mặt hàng này
(vì mỗi phòng có 1 đảm nhiệm làm đơn, ghi chú này để ghi chú nhận yêu cầu từ ai</t>
        </r>
      </text>
    </comment>
    <comment ref="P6" authorId="0" shapeId="0" xr:uid="{20F86750-3CC6-4609-8BC9-CD55E7E6D774}">
      <text>
        <r>
          <rPr>
            <b/>
            <sz val="9"/>
            <color indexed="81"/>
            <rFont val="Tahoma"/>
            <family val="2"/>
          </rPr>
          <t>Tấm, khay, hộp...</t>
        </r>
        <r>
          <rPr>
            <sz val="9"/>
            <color indexed="81"/>
            <rFont val="Tahoma"/>
            <family val="2"/>
          </rPr>
          <t xml:space="preserve">
</t>
        </r>
      </text>
    </comment>
    <comment ref="Q6" authorId="0" shapeId="0" xr:uid="{516233E4-F166-4E76-A03A-9534995E9B30}">
      <text>
        <r>
          <rPr>
            <b/>
            <sz val="9"/>
            <color indexed="81"/>
            <rFont val="Tahoma"/>
            <family val="2"/>
          </rPr>
          <t>thép, nhựa ABS, nhôm...</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18" authorId="0" shapeId="0" xr:uid="{612C4DE9-81BC-4D07-88DF-C7A9DFF503EC}">
      <text>
        <r>
          <rPr>
            <sz val="9"/>
            <color indexed="81"/>
            <rFont val="Tahoma"/>
            <family val="2"/>
          </rPr>
          <t xml:space="preserve">Phòng ban nào cần mua về lắp thành 1 thiết bị thì ghi
</t>
        </r>
      </text>
    </comment>
    <comment ref="C18" authorId="0" shapeId="0" xr:uid="{C1421675-A9CD-4A51-B952-5A6DA35B061B}">
      <text>
        <r>
          <rPr>
            <sz val="9"/>
            <color indexed="81"/>
            <rFont val="Tahoma"/>
            <family val="2"/>
          </rPr>
          <t xml:space="preserve">Với mã hàng đã từng mua thì bắt buộc phải điền
</t>
        </r>
      </text>
    </comment>
    <comment ref="D18" authorId="0" shapeId="0" xr:uid="{867747D9-FDE7-469B-B1FC-8923E564264E}">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E18" authorId="0" shapeId="0" xr:uid="{6FE5F7ED-C25B-475F-A635-56E8875BA45E}">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I18" authorId="0" shapeId="0" xr:uid="{31220D13-7869-4FE9-BE10-382AEE973F17}">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T18" authorId="0" shapeId="0" xr:uid="{27A538CF-55A1-4BE5-B5A2-DC29294B144F}">
      <text>
        <r>
          <rPr>
            <b/>
            <sz val="9"/>
            <color indexed="81"/>
            <rFont val="Tahoma"/>
            <family val="2"/>
          </rPr>
          <t>Nếu là hàng tự thiết kế thì copy link bản vẽ</t>
        </r>
        <r>
          <rPr>
            <sz val="9"/>
            <color indexed="81"/>
            <rFont val="Tahoma"/>
            <family val="2"/>
          </rPr>
          <t xml:space="preserve">
</t>
        </r>
      </text>
    </comment>
    <comment ref="U18" authorId="0" shapeId="0" xr:uid="{C3564C11-5750-412B-8042-582CDE167512}">
      <text>
        <r>
          <rPr>
            <b/>
            <sz val="9"/>
            <color indexed="81"/>
            <rFont val="Tahoma"/>
            <family val="2"/>
          </rPr>
          <t>Mã đã mua: Vlook up từ master</t>
        </r>
        <r>
          <rPr>
            <sz val="9"/>
            <color indexed="81"/>
            <rFont val="Tahoma"/>
            <family val="2"/>
          </rPr>
          <t xml:space="preserve">
Mã mới: Tự điền</t>
        </r>
      </text>
    </comment>
    <comment ref="V18" authorId="0" shapeId="0" xr:uid="{BEB87523-AFAF-4514-8EC8-21C0A80CD6AB}">
      <text>
        <r>
          <rPr>
            <b/>
            <sz val="9"/>
            <color indexed="81"/>
            <rFont val="Tahoma"/>
            <family val="2"/>
          </rPr>
          <t>Link từ cột chủng loại hàng+master</t>
        </r>
      </text>
    </comment>
    <comment ref="W18" authorId="0" shapeId="0" xr:uid="{E97D821D-0DA6-4369-85B0-146143F7C661}">
      <text>
        <r>
          <rPr>
            <b/>
            <sz val="9"/>
            <color indexed="81"/>
            <rFont val="Tahoma"/>
            <family val="2"/>
          </rPr>
          <t>Link từ cột chủng loại hàng+master</t>
        </r>
      </text>
    </comment>
    <comment ref="J19" authorId="0" shapeId="0" xr:uid="{DFFEC6A7-C556-43CB-A414-152D795352FA}">
      <text>
        <r>
          <rPr>
            <b/>
            <sz val="9"/>
            <color indexed="81"/>
            <rFont val="Tahoma"/>
            <family val="2"/>
          </rPr>
          <t>Tấm, khay, hộp...</t>
        </r>
        <r>
          <rPr>
            <sz val="9"/>
            <color indexed="81"/>
            <rFont val="Tahoma"/>
            <family val="2"/>
          </rPr>
          <t xml:space="preserve">
</t>
        </r>
      </text>
    </comment>
    <comment ref="K19" authorId="0" shapeId="0" xr:uid="{A0BBFF58-353E-4E76-97D0-1599224EFA90}">
      <text>
        <r>
          <rPr>
            <b/>
            <sz val="9"/>
            <color indexed="81"/>
            <rFont val="Tahoma"/>
            <family val="2"/>
          </rPr>
          <t>thép, nhựa ABS, nhôm...</t>
        </r>
        <r>
          <rPr>
            <sz val="9"/>
            <color indexed="81"/>
            <rFont val="Tahoma"/>
            <family val="2"/>
          </rPr>
          <t xml:space="preserve">
</t>
        </r>
      </text>
    </comment>
  </commentList>
</comments>
</file>

<file path=xl/sharedStrings.xml><?xml version="1.0" encoding="utf-8"?>
<sst xmlns="http://schemas.openxmlformats.org/spreadsheetml/2006/main" count="1017" uniqueCount="478">
  <si>
    <t>システム名称/System name/Tên hệ thống</t>
  </si>
  <si>
    <t>レイアウト画面/Bố trí màn hình</t>
  </si>
  <si>
    <t>操作説明-詳細要件·/Giải thích thao tác-Điều kiện chi tiết</t>
  </si>
  <si>
    <t>機能名称/Function name/Tên chức năng</t>
  </si>
  <si>
    <t>備考/Remarks/Ghi chú</t>
  </si>
  <si>
    <t>システム要件仕様書/Tài liệu chi tiết kỹ thuật yêu cầu hệ thống</t>
  </si>
  <si>
    <t>改版・承認履歴/Circulation and Approval History/ Lịch sử thay đổi</t>
  </si>
  <si>
    <t>工程名
Process Name</t>
  </si>
  <si>
    <t>システム名/System Name/Tên hệ thống</t>
  </si>
  <si>
    <t>ドキュメント名称/Document Name/Tên tài liệu</t>
  </si>
  <si>
    <t>バージョン</t>
  </si>
  <si>
    <t>改訂理由</t>
  </si>
  <si>
    <t>改訂箇所・内容</t>
  </si>
  <si>
    <t>担当者</t>
  </si>
  <si>
    <t>改訂日</t>
  </si>
  <si>
    <t>承認者</t>
  </si>
  <si>
    <t>承認日</t>
  </si>
  <si>
    <t>Version</t>
  </si>
  <si>
    <t>Reason for Revision</t>
  </si>
  <si>
    <t>Contents</t>
  </si>
  <si>
    <t>Creator</t>
  </si>
  <si>
    <t>Date of creation</t>
  </si>
  <si>
    <t>Approver</t>
  </si>
  <si>
    <t>Date of approval</t>
  </si>
  <si>
    <t>Phiên bản</t>
  </si>
  <si>
    <t>Lý do</t>
  </si>
  <si>
    <t>Nội dung</t>
  </si>
  <si>
    <t>Người tạo</t>
  </si>
  <si>
    <t>Ngày tạo</t>
  </si>
  <si>
    <t>Nguười duyệt</t>
  </si>
  <si>
    <t>Ngày duyệt</t>
  </si>
  <si>
    <t>1.00</t>
    <phoneticPr fontId="1"/>
  </si>
  <si>
    <t>First release</t>
  </si>
  <si>
    <t>nguyenta</t>
  </si>
  <si>
    <t>babahi</t>
  </si>
  <si>
    <t>要件定義</t>
  </si>
  <si>
    <t>Số đơn 依頼書番号</t>
  </si>
  <si>
    <t>Mã nhà cung cấp
取引先コード</t>
  </si>
  <si>
    <t>Tên nhà cung cấp
取引先名</t>
  </si>
  <si>
    <t>O</t>
  </si>
  <si>
    <t>Số lượng
数量(*)</t>
  </si>
  <si>
    <t>Đơn vị 
梱包単位(*)</t>
  </si>
  <si>
    <t>Mã thiết bị
設備コード</t>
  </si>
  <si>
    <t>Màn hình chính</t>
  </si>
  <si>
    <t>Đăng nhập</t>
  </si>
  <si>
    <t>User và PW: giống vào máy tính</t>
  </si>
  <si>
    <t>TÍNH TOÁN SỐ LƯỢNG</t>
  </si>
  <si>
    <t>YÊU CẦU BÁO GIÁ</t>
  </si>
  <si>
    <t>Có 2 cách tạo yêu cầu báo giá</t>
  </si>
  <si>
    <t>1. Chọn nút Tạo yêu cầu báo giá</t>
  </si>
  <si>
    <t>Màn hình dưới hiển thị, PIC điền thông tin rồi ấn submit</t>
  </si>
  <si>
    <t>2. Upload file excel</t>
  </si>
  <si>
    <t>Ấn submit</t>
  </si>
  <si>
    <t xml:space="preserve">Có thể lọc theo các trường </t>
  </si>
  <si>
    <t>Mã phòng ban yêu cầu</t>
  </si>
  <si>
    <t>Mã đơn yêu cầu báo giá</t>
  </si>
  <si>
    <t>Mã hàng</t>
  </si>
  <si>
    <t>Chi tiết ghi chú các nội dung tham chiếu</t>
  </si>
  <si>
    <t>Địa chỉ mail</t>
  </si>
  <si>
    <t>Cột mail ở master NCC</t>
  </si>
  <si>
    <t>CC</t>
  </si>
  <si>
    <t>Mail của PIC /QLSC/QLTC phòng Pur</t>
  </si>
  <si>
    <t>Tiêu đề mail</t>
  </si>
  <si>
    <t>Tên phòng ban</t>
  </si>
  <si>
    <t>Ngày muốn nhận hàng
受け日付希望(*)</t>
  </si>
  <si>
    <t>Kỳ hạn lựa chọn NCC
取引先決定期限(*)</t>
  </si>
  <si>
    <t xml:space="preserve">Nội dung email </t>
  </si>
  <si>
    <t>(lấy theo master NCC)</t>
  </si>
  <si>
    <t>From: Nhóm đặt hàng gián tiếp phòng Pur BIVN</t>
  </si>
  <si>
    <t>Lead time</t>
  </si>
  <si>
    <t>Có thể phát hành CO/CQ không</t>
  </si>
  <si>
    <t>Ngày có thể  giao hàng</t>
  </si>
  <si>
    <t>Nhà cung cấp</t>
  </si>
  <si>
    <t>Có 4 nút lựa chọn: tạo yêu cầu báo giá, down load excel format, Upload, Submit</t>
  </si>
  <si>
    <t>Mã hàng nội bộ
社内部品コード</t>
  </si>
  <si>
    <t>Màn hình phê duyệt đơn yêu cầu báo giá</t>
  </si>
  <si>
    <t>1. Chờ QLSC phòng yêu cầu phê duyêt</t>
  </si>
  <si>
    <t>2. Chờ QLTC phòng yêu cầu phê duyệt</t>
  </si>
  <si>
    <t>3. Chờ PIC phòng đặt hàng phê duyệt</t>
  </si>
  <si>
    <t>4. Chờ QLSC phòng dặt hàng phê duyệt</t>
  </si>
  <si>
    <t>5. Đã trả lại chờ sửa đơn</t>
  </si>
  <si>
    <t>Tình trạng phê duyệt (phân loại tình trạng phê duyệt)</t>
  </si>
  <si>
    <r>
      <rPr>
        <sz val="10"/>
        <color rgb="FF0000FF"/>
        <rFont val="Calibri"/>
        <family val="2"/>
        <scheme val="minor"/>
      </rPr>
      <t>QLSC phòng ban</t>
    </r>
    <r>
      <rPr>
        <sz val="10"/>
        <color theme="1"/>
        <rFont val="Calibri"/>
        <family val="2"/>
        <scheme val="minor"/>
      </rPr>
      <t>: Phải chọn vào từng nút "chi tiết" (sẽ ra đúng màn hình đơn báo giá phía trên", kiểm tra tưngf đơn rồi mới có thể phê duyệt</t>
    </r>
  </si>
  <si>
    <r>
      <rPr>
        <sz val="10"/>
        <color rgb="FF0000FF"/>
        <rFont val="Calibri"/>
        <family val="2"/>
        <scheme val="minor"/>
      </rPr>
      <t>QLTC phòng ban :</t>
    </r>
    <r>
      <rPr>
        <sz val="10"/>
        <color theme="1"/>
        <rFont val="Calibri"/>
        <family val="2"/>
        <scheme val="minor"/>
      </rPr>
      <t xml:space="preserve"> Có thể phê duyệt nhiều đơn 1 lúc </t>
    </r>
  </si>
  <si>
    <r>
      <t xml:space="preserve">PIC Pur/QLSC Pur : </t>
    </r>
    <r>
      <rPr>
        <sz val="10"/>
        <rFont val="Calibri"/>
        <family val="2"/>
        <scheme val="minor"/>
      </rPr>
      <t>Phải chọn vào từng nút "chi tiết" (sẽ ra đúng màn hình đơn báo giá phía trên", kiểm tra tưngf đơn rồi mới có thể phê duyệt</t>
    </r>
  </si>
  <si>
    <t>Dòng chảy phê duyệt (PIC phòng ban làm đơn &gt;&gt; QLSC phòng ban&gt;&gt;&gt;QLTC phòng ban&gt;&gt;PIC Pur &gt;&gt; QLSC Pur</t>
  </si>
  <si>
    <t>Phê duyệt: Ấn nút phê duyệt</t>
  </si>
  <si>
    <t>Từ chối: Ấn nút trả lại &gt;&gt;&gt; hiện thị ra cột ghi lý do trả lại</t>
  </si>
  <si>
    <t>Sau khi QLSC Pur phê duyệt đơn yêu cầu báo giá thì tình trạng đơn sẽ được hiển thị ở màn hình này</t>
  </si>
  <si>
    <t>LẤY BÁO GIÁ</t>
  </si>
  <si>
    <t>Về việc phát tín mail lấy báo giá có thể gửi bằng các cách sau đây:</t>
  </si>
  <si>
    <t>Hệ thống tự động lọc các đơn yêu cầu báo giá được QLSC Pur phê duyệt, sau đó phân loại theo điều kiện sau đây:</t>
  </si>
  <si>
    <t>Nếu email của NCC khác nhau thì tách : 1 số đơn yêu cầu báo gía + chủng loại hàng hóa + nhà cung cấp</t>
  </si>
  <si>
    <t>Nếu email của NCC giống nhau  thì tách : 1 số đơn yêu cầu báo gía + 1 NCC</t>
  </si>
  <si>
    <t>Email sẽ tự động gửi cho địa chỉ email vendor MAP</t>
  </si>
  <si>
    <t>2.</t>
  </si>
  <si>
    <t>2. Phát tín email bằng tay: PIC lựa chọn theo mã, hoặc đơn rồi ấn nút gửi emai</t>
  </si>
  <si>
    <t xml:space="preserve">6. Đơn đang chờ báo giá </t>
  </si>
  <si>
    <t>(chỉ còn 1 mã trong đơn chưa up báo gía lên hệ thống thì vẫn là ở tình trạng này)</t>
  </si>
  <si>
    <t>7. Đơn chờ lên đề án lựa chọn NCC</t>
  </si>
  <si>
    <t>(chỉ còn 1 mã trong đơn mà PIC chưa lên đề án lựa chọn NCC thì vẫn ở tình trạng này)</t>
  </si>
  <si>
    <t>8. Đơn chờ phê duyệt NCC</t>
  </si>
  <si>
    <t>(chỉ còn 1 mã trong đơn chưa phê duyệt NCC thì vẫn ở tình trạng này)</t>
  </si>
  <si>
    <t>9. Hoàn thành lựa chọn NCC</t>
  </si>
  <si>
    <t>(toàn bộ các mã trong đơn đã được phê duyệt lưaj chọn NCC)</t>
  </si>
  <si>
    <t>Số đơn 
依頼書番号</t>
  </si>
  <si>
    <t>Hoàn thành lựa chọn NCC</t>
  </si>
  <si>
    <t>Chờ lên đề án lựa chọn NCC (đã up hết giá nhưng chưa lên đề án NCC)</t>
  </si>
  <si>
    <t>Chờ báo giá (còn NCC chưa cập nhật giá)</t>
  </si>
  <si>
    <t>Chờ phê duyệt NCC (đã lên đề án, chờ bước phê duyệt)</t>
  </si>
  <si>
    <t xml:space="preserve">Phòng ban cũng dùng màn hình này để kiểm tra tình trạng lựa chọn NCC để làm đơn yêu cầu hàng hóa </t>
  </si>
  <si>
    <t>hoặc các bước tiếp theo theo quy trình</t>
  </si>
  <si>
    <t>Tên hàng Eng
品名(*)</t>
  </si>
  <si>
    <t>- Download file excel &gt;&gt;&gt; sẽ ra file excel như format ở link " \\apbivnap12\Share\Project_Document\Cost management\01_Clearifycation\2025-PUR-PUR_Quoctaion_Request\Form yêu cầu báo giá.xlsx"</t>
  </si>
  <si>
    <t>Sau khi điền đầy đủ thông tin, lưu vào đường dẫn tùy ý</t>
  </si>
  <si>
    <t>- chọn nút ": Upload: chọn đường dẫn lưu file bên trên</t>
  </si>
  <si>
    <t xml:space="preserve">Tham khảo file </t>
  </si>
  <si>
    <t>\\apbivnap12\Share\Project_Document\Cost management\01_Clearifycation\2025-PUR-PUR_Quoctaion_Request\Form yêu cầu báo giá.xlsx</t>
  </si>
  <si>
    <t>Sheet giải thích form</t>
  </si>
  <si>
    <t>Chờ báo giá (đã phát tín mail ,còn NCC chưa cập nhật giá)</t>
  </si>
  <si>
    <t>Chưa phát tín mail</t>
  </si>
  <si>
    <t>X</t>
  </si>
  <si>
    <t>Có đáp ứng ROHS không</t>
  </si>
  <si>
    <t>Có đồng ý cung cấp MSDS không</t>
  </si>
  <si>
    <t>Có 2 cách</t>
  </si>
  <si>
    <t>1.</t>
  </si>
  <si>
    <t>Điền trực tiếp vào khu vực màu xanh</t>
  </si>
  <si>
    <t>Chọn nút "format upload báo giá sẽ down ra file excel (check sheet 2)</t>
  </si>
  <si>
    <t>Điền file, lưu vào link bất kỳ</t>
  </si>
  <si>
    <t>Ấn nút upload, chọn link và submit</t>
  </si>
  <si>
    <t>File đính kèm</t>
  </si>
  <si>
    <t>Format master quản lý giá thành LK indirect</t>
  </si>
  <si>
    <t>Ngày upload</t>
  </si>
  <si>
    <t>Nội dung mail check sheet 4</t>
  </si>
  <si>
    <t>Sau khi upload lên , hệ thống sẽ tự động bôi đỏ các thông tin bị sai khác giữa thông tin của NCC và thông tin trong đơn yêu cầu báo giá cho các mục:</t>
  </si>
  <si>
    <t>Tên dùng mở thủ tục Hải quan</t>
  </si>
  <si>
    <t>Ngày có thể giao hàng chậm hơn yêu cầu</t>
  </si>
  <si>
    <t>Hiển thị đỏ nội dung cột NCC ghi chú (nếu có)</t>
  </si>
  <si>
    <t>Tên NCC + Kỳ hạn báo giá + số đơn yêu cầu báo giá</t>
  </si>
  <si>
    <r>
      <t xml:space="preserve">Dear   </t>
    </r>
    <r>
      <rPr>
        <sz val="10"/>
        <color rgb="FFFF0000"/>
        <rFont val="Times New Roman"/>
        <family val="1"/>
      </rPr>
      <t>Tên công ty + tên PIC</t>
    </r>
  </si>
  <si>
    <t>Chúng tôi có các mặt hàng với thông tin cụ thể sau đây muốn nhờ quý công ty làm báo giá</t>
  </si>
  <si>
    <t>Tên hàng VN dùng để mở thủ tục hải quan (BIVN dự thảo)
品名(*)</t>
  </si>
  <si>
    <t>Số đơn 依頼書番号
(nội bộ BIVN)</t>
  </si>
  <si>
    <t>Bản PDF có dấu (quý công ty có thể sử dụng theo format của qúy công ty hoặc format của BIVN)</t>
  </si>
  <si>
    <t>Mã hàng của NCC
取引先部品コード
(*)</t>
  </si>
  <si>
    <t>Nhà Sản xuất
メーカ(*)</t>
  </si>
  <si>
    <t>Tên hàng VN dùng để mở thủ tục hải quan 
品名(*)</t>
  </si>
  <si>
    <t>Thời gian có thể giao hàng</t>
  </si>
  <si>
    <t>Đơn giá (USD)</t>
  </si>
  <si>
    <t>Đơn giá (VND)</t>
  </si>
  <si>
    <t>Quy cách đóng gói</t>
  </si>
  <si>
    <t>Yêu cầu về đóng gói
(nếu có)</t>
  </si>
  <si>
    <t>MOQ
(quy theo đơn vị)</t>
  </si>
  <si>
    <t>Có cam kết cung cấp các tài liệu liên quan ở mục ghi chú hay không</t>
  </si>
  <si>
    <t>PDF file with stamp (your company may use your own format or BIVN's format)</t>
  </si>
  <si>
    <t>From: Indirect Purchasing Team, PUR Department, BIVN</t>
  </si>
  <si>
    <t>We have the following items with specific information and would like to request your company to provide a quotation.</t>
  </si>
  <si>
    <t>Bản excel: vui lòng sử dụng format của BIVN dưới đây</t>
  </si>
  <si>
    <t>Excel file: please use BIVN's format as shown below</t>
  </si>
  <si>
    <t>Sau khi phát tín xong thì trạng thái mã đó chuyển sang "Chờ báo giá"</t>
  </si>
  <si>
    <r>
      <t xml:space="preserve">1. </t>
    </r>
    <r>
      <rPr>
        <sz val="10"/>
        <color rgb="FF0000FF"/>
        <rFont val="Calibri"/>
        <family val="2"/>
        <scheme val="minor"/>
      </rPr>
      <t>Phát tín tự động vào 4PM hàng ngày</t>
    </r>
  </si>
  <si>
    <t>các đơn sau 4PM thì sẽ chỉ hiện thị ở trạng thái "Chưa phát tín email"</t>
  </si>
  <si>
    <t>Màn hình này cũng dùng hiển thị để điền , upload báo giá</t>
  </si>
  <si>
    <t>Khi muốn chỉnh sửa báo giá chỉ cần upload lại thì báo giá mới tự động hiển thị đè mới lên, nhưng dữ liệu cũ vẫn sẽ được lưu lại thành master (sheet 3)</t>
  </si>
  <si>
    <t>Lựa chọn NCC
取引先選定起案
（O,X）</t>
  </si>
  <si>
    <t>BIVN Pur</t>
  </si>
  <si>
    <t>Hệ thống tính</t>
  </si>
  <si>
    <t>Tổng tiền thiết bị
(tính theo mã thiết bị/theo đơn/NCC)</t>
  </si>
  <si>
    <t>Pur</t>
  </si>
  <si>
    <t>Phòng yêu cầu</t>
  </si>
  <si>
    <t>PIC</t>
  </si>
  <si>
    <t>QLSC</t>
  </si>
  <si>
    <t>QLTC</t>
  </si>
  <si>
    <t>TBP</t>
  </si>
  <si>
    <t>Email dùng để test</t>
  </si>
  <si>
    <t>Maithi.Phuc@brother-bivn.com.vn</t>
  </si>
  <si>
    <t>VuThi.Toan@brother-bivn.com.vn</t>
  </si>
  <si>
    <t>PhuongThuy.VuThi@brother-bivn.com.vn</t>
  </si>
  <si>
    <t>Phê duyệt 1</t>
  </si>
  <si>
    <t>Phê duyệt 2</t>
  </si>
  <si>
    <t>Làm đơn yêu cầu báo giá</t>
  </si>
  <si>
    <t>Mail 1</t>
  </si>
  <si>
    <t>※Vui lòng không phản hồi lại thư này</t>
  </si>
  <si>
    <t>Mail 2</t>
  </si>
  <si>
    <t>Mail 3</t>
  </si>
  <si>
    <t>Mail 4</t>
  </si>
  <si>
    <t>Tình trạng đơn</t>
  </si>
  <si>
    <t>Ngày 日付(*)</t>
  </si>
  <si>
    <t>Người yêu cầu
 要求担当者(*)</t>
  </si>
  <si>
    <t>Màn hình khi tick vào "chi tiết" check sheet 1</t>
  </si>
  <si>
    <t>Màn hình phê duyệt(kiểm tra tình trạng) đơn yêu cầu báo giá (check sheet 1)</t>
  </si>
  <si>
    <t>LỰA CHỌN NCC</t>
  </si>
  <si>
    <t>Function này chỉ có Pur mới có quyền truy cập</t>
  </si>
  <si>
    <t>PIC sẽ lựa chọn "O" vào dòng NCC mình lên đề án chọn, tick X cho các NCC không chọn</t>
  </si>
  <si>
    <t>Hoàn thành báo giá (toàn bộ các mã trong đơn đã thu hồi ĐỦ báo giá)</t>
  </si>
  <si>
    <t>Tình trạng đơn : Có 2 lựa chọn theo điều kiện sau:</t>
  </si>
  <si>
    <t>Tình trạng mã : Có các lựa chọn theo điều kiện sau:</t>
  </si>
  <si>
    <t>Chưa hoàn thành báo giá (còn có mã trong đơn đó chưa thu thập ĐỦ báo giá)</t>
  </si>
  <si>
    <t>PIC pur nên ưu tiên chọn các đơn có tình trạng "hoàn thành báo giá" để tiến hành lên đề án chọn NCC trước</t>
  </si>
  <si>
    <t>Sau khi lựa chọn xong thì sẽ hiển thị các các chú ý sau</t>
  </si>
  <si>
    <t>Bạn đang chọn NHIỀU nhà cung cấp cho 1 mã thiết bị, bạn vẫn tiếp tục với lựa chọn này?</t>
  </si>
  <si>
    <t>Bạn đang chọn NHIỀU nhà cung cấp cho 1 đơn sửa chữa, bạn vẫn tiếp tục với lựa chọn này?</t>
  </si>
  <si>
    <t>Lý do lựa chọn</t>
  </si>
  <si>
    <t>Bạn chưa điền lý do lựa chọn</t>
  </si>
  <si>
    <t>Có mã bạn đang chọn O cho nhiều nhà cung cấp</t>
  </si>
  <si>
    <t>Có mã bạn đang điền X toàn bộ các nhà cung cấp</t>
  </si>
  <si>
    <t>Giá mà bạn đang lựa chọn chưa phải tốt nhất, bạn vẫn tiếp tục với lựa chọn này?</t>
  </si>
  <si>
    <t>Điều kiện : cột mã thiết bị có điền, và kết quả lựa chọn nhiều NCC cho 1 thiết bị</t>
  </si>
  <si>
    <t>Điều kiện : Chủng loại có chữ " sửa chữa"/"bảo dưỡng" nhưng lại chọn nhiều nhà cung cấp cho các mã trong 1 đơn đó</t>
  </si>
  <si>
    <t xml:space="preserve">Điều kiện: Bất kể là mã đơn, hay tổng giá thiết bị (theo NCC) chưa phải nhỏ nhất thì đều cảnh báo </t>
  </si>
  <si>
    <t>Cột lý do lựa chọn bỏ trống</t>
  </si>
  <si>
    <t>YÊU CẦU HÀNG HÓA</t>
  </si>
  <si>
    <t>Tình trạng mã</t>
  </si>
  <si>
    <t>Mail 5</t>
  </si>
  <si>
    <t xml:space="preserve">Khi Pur ko thể tìm kiếm NCC phù hợp theo điều kiện, hoặc ko có NCC nào báo giá được , thì PIC sẽ ấn nút "Yêu cầu phòng ban xem xét lại điều kiện" &gt;&gt; sẽ ra cột lý do </t>
  </si>
  <si>
    <t xml:space="preserve">Khi nhận được mail yêu cầu xác nhận lại điều kiện xin báo giá thì PIC các phòng ban phải copy số đơn ở màn hình làm yêu cầu báo giá </t>
  </si>
  <si>
    <t>10. Chờ sửa lại điều kiện xin báo giá</t>
  </si>
  <si>
    <t>Mail trả lại check sheet 5, tình trạng đơn yêu câuf báo giá trơr thành trạng thái "10. Chờ sửa điều kiện báo giá"</t>
  </si>
  <si>
    <t>PIC copy số đơn ở mail báo về để tiến hành sửa đơn như ban đầu</t>
  </si>
  <si>
    <t>Đối tượng nhận mail</t>
  </si>
  <si>
    <t>- Nếu trong đơn chỉ trả lại 1 số mã thì các mã đó trong đơn sẽ hiển thị trạng thái "đã trả lại, yêu cầu chỉnh sửa điều kiện" trong đơn. Các phòng ban khi nhận lại khi sửa điều kiện sẽ tạo đơn yêu cầu báo giá mới</t>
  </si>
  <si>
    <t>- Nếu toàn bộ đơn bị trả lại thì phòng ban sẽ tạo = số đơn mới, nhưng dưới dạng chỉnh sửa thông tin (để PIC ko mất nhiều thời gian làm lại từ đầu"</t>
  </si>
  <si>
    <t>Số đơn cũ hiện thị trạng thái "đã thay thế bằng đơn khác"</t>
  </si>
  <si>
    <t>Phương thức giao hàng
Delivery term</t>
  </si>
  <si>
    <t>Điều kiện thanh toán</t>
  </si>
  <si>
    <t>Đồng ý cam kết cung cấp hàng theo đúng yêu cầu (bao gồm chứng từ)</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</si>
  <si>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</si>
  <si>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</si>
  <si>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</si>
  <si>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</si>
  <si>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</si>
  <si>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</si>
  <si>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</si>
  <si>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</si>
  <si>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</si>
  <si>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</si>
  <si>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</si>
  <si>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</si>
  <si>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</si>
  <si>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File Thiết kế
Design(*)</t>
  </si>
  <si>
    <t>Nhà Sản xuất
Maker</t>
  </si>
  <si>
    <t>Mã nhà cung cấp
Vendor code</t>
  </si>
  <si>
    <t>Tên nhà cung cấp
Vendor name</t>
  </si>
  <si>
    <t>Ngày muốn nhận hàng
Desired delivery date(*)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</si>
  <si>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</si>
  <si>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</si>
  <si>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</si>
  <si>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</si>
  <si>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</si>
  <si>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</si>
  <si>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Kỳ hạn báo giá
Deadline for submit quotation</t>
  </si>
  <si>
    <t>Số đơn yêu cầu báo giá 
Quotation Request Number</t>
  </si>
  <si>
    <r>
      <t xml:space="preserve">Phương pháp báo giá </t>
    </r>
    <r>
      <rPr>
        <b/>
        <sz val="10"/>
        <color rgb="FF0000FF"/>
        <rFont val="Times New Roman"/>
        <family val="1"/>
      </rPr>
      <t>(Quote method)</t>
    </r>
  </si>
  <si>
    <t>Fomrat báo giá đính kèm thư yêu cầu báo giá</t>
  </si>
  <si>
    <t>Nhận được</t>
  </si>
  <si>
    <t>Phát tín qua</t>
  </si>
  <si>
    <t>Phòng</t>
  </si>
  <si>
    <t>Nhận mail yêu cầu báo giá</t>
  </si>
  <si>
    <t>PhuongThuy.VuThi@brother-bivn.com.vn;VuThi.Toan@brother-bivn.com.vn</t>
  </si>
  <si>
    <t>[Đơn yêu cầu báo giá hàng gián tiếp] - yêu cầu phê duyệt</t>
  </si>
  <si>
    <t xml:space="preserve">Sau khi bước trước hoàn thành thì nhảy mail tự động cho đảm nhiệm tiếp theo, </t>
  </si>
  <si>
    <t>Nếu ở bước tiếp theo mà có set up nhiều email có quyền thì toàn bộ PIC đó đều nhận được. Ai phê duyệt truơcs thì ng sau tick vào link sẽ hiển thị "đơn đã có người khác xử lý"</t>
  </si>
  <si>
    <t>Đơn yêu cầu báo giá</t>
  </si>
  <si>
    <t>Phê duyệt đơn 3(chỉ có quyền check từng đơn 1)</t>
  </si>
  <si>
    <t>Phê duyệt đơn 4(chỉ có quyền check từng đơn 1)</t>
  </si>
  <si>
    <t xml:space="preserve">Trả lại </t>
  </si>
  <si>
    <t>Nhận đơn trả lại để sửa</t>
  </si>
  <si>
    <t>Yêu cầu báo giá tự động</t>
  </si>
  <si>
    <t>Yêu cầu báo gía bằng tay, chỉnh sửa giá, input giá</t>
  </si>
  <si>
    <t>Yêu cầu chỉnh sửa điều kiện báo giá</t>
  </si>
  <si>
    <t>Đề án/Lựa chọn NCC</t>
  </si>
  <si>
    <t>Lên đề án lựa chọn NCC</t>
  </si>
  <si>
    <t>Phê duyệt 1 (chỉ check từng đơn 1)</t>
  </si>
  <si>
    <t>Phê duyệt 2 (có thể check 1 hoặc nhiều đơn)</t>
  </si>
  <si>
    <t>Phê duyệt 3 (có thể check 1 hoặc nhiều đơn)</t>
  </si>
  <si>
    <t>Mail 6</t>
  </si>
  <si>
    <t>Từ chối đề án lựa chọn NCC 
(bất kể ở bước nào thì sẽ trả lại PIC lên đền án ban đầu)</t>
  </si>
  <si>
    <t>Sheet 4</t>
  </si>
  <si>
    <t>[Đơn yêu cầu báo giá hàng gián tiếp] - Trả lại</t>
  </si>
  <si>
    <t>[Đơn yêu cầu báo giá hàng gián tiếp] - Yêu cầu chỉnh sửa điều kiện</t>
  </si>
  <si>
    <t>[ Lựa chọn NCC] - Yêu cầu phê duyệt</t>
  </si>
  <si>
    <t>Nhận được/phát tín</t>
  </si>
  <si>
    <t>[ Lựa chọn NCC] - Trả lại</t>
  </si>
  <si>
    <t>[ Lựa chọn NCC] - Đã được phê duyệt</t>
  </si>
  <si>
    <t>Hãy phê duyệt yêu cầu báo giá dưới đây</t>
  </si>
  <si>
    <t>***</t>
  </si>
  <si>
    <t>Gấp</t>
  </si>
  <si>
    <t>Phòng ban yêu cầu</t>
  </si>
  <si>
    <t>Số đơn</t>
  </si>
  <si>
    <t>&lt;URL&gt;	:</t>
  </si>
  <si>
    <t>Người trả lại:</t>
  </si>
  <si>
    <t>Trong đơn yêu cầu hàng hóa của bạn có mã cần chỉnh sửa điều kiện.</t>
  </si>
  <si>
    <t>Vui lòng xác nhận và thực hiện chỉnh sửa</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</si>
  <si>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</si>
  <si>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</si>
  <si>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Maill 4</t>
  </si>
  <si>
    <t>Hãy xác nhận và phê duyệt đề án lựa chọn nhà cung cấp dưới đây</t>
  </si>
  <si>
    <t>Link ra màn hình phê duyệt đơn yêu cầu báo giá</t>
  </si>
  <si>
    <t>Link ra màn hình tạo đơn yêu cầu báo giá</t>
  </si>
  <si>
    <t>Link ra màn hình phê duyệt nhà cung cấp</t>
  </si>
  <si>
    <t>Maill 5</t>
  </si>
  <si>
    <t>Đề án lựa chọn nhà cung cấp của bạn bị trả lại.</t>
  </si>
  <si>
    <t>Vui lòng xác nhận nội dung cần đối ứng chi tiết trong đơn</t>
  </si>
  <si>
    <t>Link ra màn hình lựa chọn nhà cung cấp</t>
  </si>
  <si>
    <t>Mã hàng bạn yêu cầu đã hoàn thành lựa chọn nhà cung cấp</t>
  </si>
  <si>
    <t>Vui lòng xác nhận và thực hiện các bước tiếp theo</t>
  </si>
  <si>
    <t>Link ra màn hình làm yêu cầu hàng hóa</t>
  </si>
  <si>
    <t>-</t>
  </si>
  <si>
    <t>Phân loại
Category
(A/E/non list)</t>
  </si>
  <si>
    <t>PHIẾU YÊU CẦU BÁO GIÁ HÀNG GIÁN TIẾP</t>
  </si>
  <si>
    <t>Indirect Goods Quotation Request Form</t>
  </si>
  <si>
    <t>Ngày/tháng
 Date/month(*)</t>
  </si>
  <si>
    <t>Dòng chảy form: PIC phòng ban có yêu cầu &gt; Quản lý sơ cấp &gt; Quản lý trung cấp &gt; PIC Pur &gt; Quản lý sơ cấp Pur
フォーム流れ: 要求課PIC &gt; 要求課初級管理職 &gt; 要求課中級管理職 &gt; Pur課PIC &gt; Pur課係長</t>
  </si>
  <si>
    <t>No</t>
  </si>
  <si>
    <t>Request section code(*)
mã phòng ban</t>
  </si>
  <si>
    <t>Section (*)
Tên phòng</t>
  </si>
  <si>
    <t>Lấy báo giá?
Is it a quotation request(*)</t>
  </si>
  <si>
    <t>Lý do không lấy báo giá  
Reason for not making a request</t>
  </si>
  <si>
    <t>Kỳ hạn lựa chọn NCC
Deadline for deciding vendor(*)</t>
  </si>
  <si>
    <t>GẤP urgent</t>
  </si>
  <si>
    <t>Người yêu cầu 
Request person in charge</t>
  </si>
  <si>
    <t>Màn hình YÊU CẦU BÁO GIÁ</t>
  </si>
  <si>
    <t>Down load ra thì sẽ ra như file ở link: \\apbivnap12\Share\Project_Document\Cost management\01_Clearifycation\2025-PUR-PUR_Quoctaion_Request\Form yêu cầu báo giá New.xlsx</t>
  </si>
  <si>
    <t>(File down ra có cả sheet giải thích form, và sheet master để link được ra như phần giải thích form)</t>
  </si>
  <si>
    <t>PIC phòng ban chỉ điền list LK 1 lần, khi upload lên hệ thống thì cột vendor code, vendor name tự động nhân số dòng lên.</t>
  </si>
  <si>
    <t xml:space="preserve">Sau đó PIC phòng ban mới tiến hành tick đổi thành "X" ở cột số 22 cho những NCC không muốn lấy báo giá </t>
  </si>
  <si>
    <t>GẤP
Urgent</t>
  </si>
  <si>
    <t>Chi tiết</t>
  </si>
  <si>
    <t>Màn hình ban đầu khi lựa chọn theo các điều kiện như tình trạng đơn, tên phòng...</t>
  </si>
  <si>
    <r>
      <t xml:space="preserve">Màn hình khi tick vào </t>
    </r>
    <r>
      <rPr>
        <i/>
        <u/>
        <sz val="11"/>
        <color rgb="FF0000FF"/>
        <rFont val="Calibri"/>
        <family val="2"/>
        <scheme val="minor"/>
      </rPr>
      <t>"chi tiết"</t>
    </r>
  </si>
  <si>
    <t xml:space="preserve">Ẩn từ cột 9~23 (bằng dấu "+", khi cần xem thì tick vào dấu "+" </t>
  </si>
  <si>
    <t>Cứ chọn 1 điều kiện thì màn hình sẽ thay đổi</t>
  </si>
  <si>
    <t>Cột 22 mà phòng ban yêu cầu tick "X" sẽ không xuất hiện ở màn hình này</t>
  </si>
  <si>
    <t>Vendor input</t>
  </si>
  <si>
    <t>BIVN input</t>
  </si>
  <si>
    <t xml:space="preserve">Format upload báo giá </t>
  </si>
  <si>
    <t>Sheet 1 new dong 1 ~19</t>
  </si>
  <si>
    <t>Sheet 1 new dòng 21~28</t>
  </si>
  <si>
    <t>Sheet 1 new từ dòng 30</t>
  </si>
  <si>
    <t>Sheet 2 New dòng 1~11</t>
  </si>
  <si>
    <t xml:space="preserve">Format upload báo giá lên hệ thống </t>
  </si>
  <si>
    <t>Sheet 2 new dòng 14~22</t>
  </si>
  <si>
    <t>Màn hình LẤY BÁO GIÁ</t>
  </si>
  <si>
    <t xml:space="preserve">Chưa phát tín mail </t>
  </si>
  <si>
    <t>1. Tình trạng mã hàng</t>
  </si>
  <si>
    <t xml:space="preserve">2. Tình trạng đơn </t>
  </si>
  <si>
    <t>Giống mục trên</t>
  </si>
  <si>
    <t>3. Lựa chọn code phòng</t>
  </si>
  <si>
    <t>4. Điền số đơn yêu cầu báo gái</t>
  </si>
  <si>
    <t xml:space="preserve">Các tab tìm kiếm: </t>
  </si>
  <si>
    <t>Số đơn yêu cầu báo giá</t>
  </si>
  <si>
    <t>Tick chon</t>
  </si>
  <si>
    <t>Màn hình phê duyệt đơn YÊU CẦU BÁO GIÁ, khi đơn bị trả về cũng hiển thị màn hình dưới đây</t>
  </si>
  <si>
    <t>Returned reason
Lý do trả lại</t>
  </si>
  <si>
    <t>Màn hình check sheet 1 mục số 2</t>
  </si>
  <si>
    <t>File báo giá đính kèm</t>
  </si>
  <si>
    <t>Hiển thị cảnh báo màu vàng các ô sau đây</t>
  </si>
  <si>
    <t>Tên mở thủ tục hải quan khác nhau</t>
  </si>
  <si>
    <t>Số lượng khác nhau</t>
  </si>
  <si>
    <t>Đơn vị khác nhau</t>
  </si>
  <si>
    <t>Thời gian giao hàng muộn hơn yêu cầu</t>
  </si>
  <si>
    <t>MOQ &gt; số lượng</t>
  </si>
  <si>
    <t>Có đối ứng Rohs
OK/NG/No need</t>
  </si>
  <si>
    <t>Có thể gửi MSDS kèm số CAS
OK/NG/No need</t>
  </si>
  <si>
    <t>Có thể đối ứng tiêu chuẩn an toàn theo yêu cầu
OK/NG/No need</t>
  </si>
  <si>
    <t>Cột Yêu cầu Rohs, MSDS, tiêu chuẩn an toàn, CO,CQ mà BIVN điền "O" mà NCC điền NG hoặc No need</t>
  </si>
  <si>
    <t>Có thể đối ứng CO/CQ ?
OK.NG/No need</t>
  </si>
  <si>
    <t>Màn hình PIC và QLSC</t>
  </si>
  <si>
    <t>Màn hình lên đề án lựa chọn nhà cung cấp</t>
  </si>
  <si>
    <t>Approval 1</t>
  </si>
  <si>
    <t>Approval 2</t>
  </si>
  <si>
    <t>Approval 3</t>
  </si>
  <si>
    <t>Phê duyệt</t>
  </si>
  <si>
    <t>Lý do từ chối</t>
  </si>
  <si>
    <t xml:space="preserve">Approval  </t>
  </si>
  <si>
    <t>Màn hình sheet 3</t>
  </si>
  <si>
    <t>Đảm nhiệm phê duyệt</t>
  </si>
  <si>
    <t>vẫn màn hình này, lựa chọn OK/NG cột phê duyệt xong thì ấn submit</t>
  </si>
  <si>
    <t>Nếu chọn NG buộc phải điềnf lý do</t>
  </si>
  <si>
    <t>Ấn Submit thì đề án sẽ đến người phê duyệt số 1</t>
  </si>
  <si>
    <t>Màn hình yêu cầu hàng hóa</t>
  </si>
  <si>
    <t>Màn hình check sheet 4</t>
  </si>
  <si>
    <t>PIC có thể làm đơn cho các mã đã hoàn thành, hoặc chờ toàn bộ đơn yêu cầu báo giá hoàn thành lựa chọn NCC rồi mới down ra làm đơn</t>
  </si>
  <si>
    <t>TẠO MÃ/XÁC NHẬN TÊN</t>
  </si>
  <si>
    <t>Sau khi đơn yêu cầu báo giá được Pur phê duyệt thì toàn bộ các mã mà ở cột "Mã nội bộ" để trống sẽ được đưa qua màn hình này để xác nhận tên/tạo mã nội bộ</t>
  </si>
  <si>
    <t>Tên hàng VN dùng để mở thủ tục hải quan</t>
  </si>
  <si>
    <t>PIC Ship</t>
  </si>
  <si>
    <t>Ship</t>
  </si>
  <si>
    <t>PIC ACC</t>
  </si>
  <si>
    <t>ACC</t>
  </si>
  <si>
    <t>BIVN Ship</t>
  </si>
  <si>
    <t>Màn hình sheet 5</t>
  </si>
  <si>
    <t>Mã nội bộ và tên mở HQ sẽ auto link theo ra màn hình ở chức năng yêu cầu hàng hóa (sheet số 4)</t>
  </si>
  <si>
    <t>Đồng thời cập nhật vào master linh kiện</t>
  </si>
  <si>
    <t>Yêu cầu tạo mã, xác nhận tên</t>
  </si>
  <si>
    <t>Sau khi phê duyệt 4 duyệt đơn yêu cầu báo giá</t>
  </si>
  <si>
    <t>Mail 7</t>
  </si>
  <si>
    <t>[Yêu cầu tạo mã/xác nhận tên cho linh kiện gián tiếp mới]</t>
  </si>
  <si>
    <t>Vui lòng tạo mã nội bộ/xác nhận tên dùng để mở thủ tục hải quan cho mã hàng gián tiếp mới</t>
  </si>
  <si>
    <t>Link ra màn hình xác nhận mã/tên mã hàng mới</t>
  </si>
  <si>
    <t>Người làm đơn</t>
  </si>
  <si>
    <t xml:space="preserve">Cột số 5 : Auto link sau khi ACC submit code nội bộ cho mã mới </t>
  </si>
  <si>
    <t>Cột số 28: auto link sau khi Ship submit tên mở thủ tục hải quan</t>
  </si>
  <si>
    <t>Mỗi mã chỉ hiển thị 1 dòng kèm tình trạng</t>
  </si>
  <si>
    <t>Chỉ mã nào ở trạng thái hoàn thành lựa chọn NCC thì mới hiển thị ở phần 29~57, các mã ở tình trạng chưa hoàn thành thì blank hết ở các cột này</t>
  </si>
  <si>
    <t xml:space="preserve">Sau khi TBP phê duyêt NCC </t>
  </si>
  <si>
    <t>Các nút này có quyền theo phòng</t>
  </si>
  <si>
    <t>Upload mã: ACC</t>
  </si>
  <si>
    <t>Upload tên : Ship</t>
  </si>
  <si>
    <t>Tình trạng phê duyệt NCC</t>
  </si>
  <si>
    <t>Mail 8</t>
  </si>
  <si>
    <t>Đề án lựa chọn nhà cung cấp của bạn đã được phê duyệt, hãy xác nhận tên hàng trên baó giá</t>
  </si>
  <si>
    <t>Phê duyệt 3 hoàn thành , thông tin mã nội bộ và tên hàng Ship xác nhận đủ</t>
  </si>
  <si>
    <t>Phê duyệt 3 hoàn thành , nhưng thiếu thông tin mã nội bộ</t>
  </si>
  <si>
    <t>Phê duyệt 3 hoàn thành , nhưng thiếu thông tin tên hàng mở HQ</t>
  </si>
  <si>
    <t>Sau khi QLSC Pur phê duyệt đơn yêu cầu tạo mã mới</t>
  </si>
  <si>
    <t>Sau khi Nakayama phê duyệt NCC, ACC tạo code, Ship xác nhận tên</t>
  </si>
  <si>
    <t>Sau khi cột số 6, và 28 có đủ thông tin. Tên trên báo giá và tên Ship xác nhận khớp nhau (hoặc châps nhận được) thì Pur tick chọn các mã hàng để tick chọn nuts "Hoàn thành" để đẩy sang màn hình "Yêu cầu hàng hóa"</t>
  </si>
  <si>
    <t>[ Lựa chọn NCC] - Đã được phê duyệt, hãy xác nhận thông tin để đặt hàng</t>
  </si>
  <si>
    <t>PIC Pur sẽ nhận được mail 8</t>
  </si>
  <si>
    <t>Đồng thời PIC Ship/ACC cũng sẽ nhận được mail 7 nếu lúc đó thông tin code nội bộ và cột tên hàng mở HQ vẫn còn blank</t>
  </si>
  <si>
    <t>Sau khi Pur Tick chọn "Hoàn thành" ở màn hình "xác nhận mã mới" thì PIC phòng ban sẽ nhận được mail 6. và xác nhận thông tin ở màn hình nay.</t>
  </si>
  <si>
    <t>Hoàn thành : Pur</t>
  </si>
  <si>
    <t>Sau khi Pur xác nhận cột tên hàng mở HQ (ship) , mã nội bộ (ACC) và tên trên báo giá của NCC được lựa chọn khớp tên Ship xác nhận (hoặc chấp nhận được) thì ấn nút "hoàn thành"</t>
  </si>
  <si>
    <t>Đẩy thông tin sang màn hình "tạo yêu cầu hàng hóa"</t>
  </si>
  <si>
    <t>Sau khi nhận đươc ACC và Ship xác nhận, điền vào các ô ACC và Ship rồi ấn nút upload mã (ACC), upload tên hàng (Ship)</t>
  </si>
  <si>
    <t>Hạn xác nhận sau 2 ngày làm việc nếu vẫn blank thì remind hàng ngày vào 9AM. Số mail remind sẽ cộng lũy tiến (remind lần 1,2,3...)</t>
  </si>
  <si>
    <t xml:space="preserve"> Nguồn dữ liệu</t>
  </si>
  <si>
    <t>Master vendor map</t>
  </si>
  <si>
    <t>\\apbivnap12\Share\Project_Document\Cost management\01_Clearifycation\2025-PUR-PUR_Quoctaion_Request\Master vendor map test.xlsx</t>
  </si>
  <si>
    <t>Master Linh kiện</t>
  </si>
  <si>
    <t>\\apbivnap12\Share\Project_Document\Cost management\01_Clearifycation\2025-PUR-PUR_Quoctaion_Request\Master linh kiện (test).xlsx</t>
  </si>
  <si>
    <t>\\apbivnap12\Share\Project_Document\Cost management\01_Clearifycation\2025-PUR-PUR_Quoctaion_Request\Master cost center(test).xlsx</t>
  </si>
  <si>
    <t>Master cost centrer</t>
  </si>
  <si>
    <t>Company name</t>
  </si>
  <si>
    <t>Address</t>
  </si>
  <si>
    <t>Phone No:</t>
  </si>
  <si>
    <t>QUOTATION</t>
  </si>
  <si>
    <t>To</t>
  </si>
  <si>
    <t>Brother Industries Vietnam Co.,LTD</t>
  </si>
  <si>
    <t>Phuc Dien IZ, Mao Dien, Hai Phong, Vietnam</t>
  </si>
  <si>
    <t>Phone: 02203 545860</t>
  </si>
  <si>
    <t>Quotation No:</t>
  </si>
  <si>
    <t>Quotation validity:</t>
  </si>
  <si>
    <t>Quotation validity period:</t>
  </si>
  <si>
    <t>If content of item 1 to 6 are the same as the information in BIVN input, you can simply copy them</t>
  </si>
  <si>
    <t>Quotation Request Number</t>
  </si>
  <si>
    <t>Equipment code</t>
  </si>
  <si>
    <t>BIVN's part code</t>
  </si>
  <si>
    <t>Vendor's good code</t>
  </si>
  <si>
    <t>Part name (Vietnamese)</t>
  </si>
  <si>
    <t>Part name (English)</t>
  </si>
  <si>
    <t>Quanlity(*)</t>
  </si>
  <si>
    <t>Unit(*)</t>
  </si>
  <si>
    <t xml:space="preserve">ROHS requirements
</t>
  </si>
  <si>
    <t>CO/Cqrequirements</t>
  </si>
  <si>
    <t>Request MSDS with CAS number (for chemicals)</t>
  </si>
  <si>
    <t>Request for safety standards</t>
  </si>
  <si>
    <t>Design(*)</t>
  </si>
  <si>
    <t>Maker</t>
  </si>
  <si>
    <t>Vendor code</t>
  </si>
  <si>
    <t>Vendor name</t>
  </si>
  <si>
    <t>Delivery date(*)</t>
  </si>
  <si>
    <t>Deadline for submit quotation</t>
  </si>
  <si>
    <t>Unit price
(USD)</t>
  </si>
  <si>
    <t>Unit price
(VND)</t>
  </si>
  <si>
    <t>MOQ</t>
  </si>
  <si>
    <t>Packing qty</t>
  </si>
  <si>
    <t>Can comply with RoHS
OK/NG/No need</t>
  </si>
  <si>
    <t>Can provide CO/CQ
OK.NG/No need</t>
  </si>
  <si>
    <t>Can provide MSDS with  CAS No
OK/NG/No need</t>
  </si>
  <si>
    <t>Can comply with safety standards
OK/NG/No need</t>
  </si>
  <si>
    <t>Agree to commit to providing goods as per the requirements (including documentation).</t>
  </si>
  <si>
    <t>Delivery term</t>
  </si>
  <si>
    <t>Payment term</t>
  </si>
  <si>
    <t>Commitment from supplier
- For products with an expiration date: Ensure that at least half of the shelf life remains from the delivery date.
- In case of defects caused by the manufacturer: Free maintenance/repair or replacement if still within the warranty period</t>
  </si>
  <si>
    <t>Sheet 2.1</t>
  </si>
  <si>
    <t>Màn hình chung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</si>
</sst>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d\-mmm\-yy;@"/>
    <numFmt numFmtId="166" formatCode="[$-409]d\-mmm\-yy;@"/>
  </numFmts>
  <fonts count="66">
    <font>
      <sz val="11"/>
      <color theme="1"/>
      <name val="Calibri"/>
      <family val="2"/>
      <scheme val="minor"/>
    </font>
    <font>
      <u/>
      <sz val="11"/>
      <color theme="10"/>
      <name val="Calibri"/>
      <family val="2"/>
      <scheme val="minor"/>
    </font>
    <font>
      <b/>
      <sz val="12"/>
      <name val="Calibri"/>
      <family val="2"/>
      <scheme val="minor"/>
    </font>
    <font>
      <sz val="12"/>
      <name val="Calibri"/>
      <family val="2"/>
      <scheme val="minor"/>
    </font>
    <font>
      <sz val="12"/>
      <color theme="1"/>
      <name val="Calibri"/>
      <family val="2"/>
      <scheme val="minor"/>
    </font>
    <font>
      <sz val="11"/>
      <name val="ＭＳ Ｐゴシック"/>
      <family val="3"/>
      <charset val="128"/>
    </font>
    <font>
      <sz val="10"/>
      <name val="Calibri"/>
      <family val="2"/>
      <scheme val="minor"/>
    </font>
    <font>
      <sz val="10"/>
      <color theme="1"/>
      <name val="Calibri"/>
      <family val="2"/>
      <scheme val="minor"/>
    </font>
    <font>
      <sz val="10"/>
      <color indexed="10"/>
      <name val="Calibri"/>
      <family val="2"/>
      <scheme val="minor"/>
    </font>
    <font>
      <b/>
      <sz val="10"/>
      <color indexed="9"/>
      <name val="Calibri"/>
      <family val="2"/>
      <scheme val="minor"/>
    </font>
    <font>
      <b/>
      <sz val="12"/>
      <color indexed="9"/>
      <name val="Calibri"/>
      <family val="2"/>
      <scheme val="minor"/>
    </font>
    <font>
      <sz val="10"/>
      <color rgb="FFFF0000"/>
      <name val="Calibri"/>
      <family val="2"/>
      <scheme val="minor"/>
    </font>
    <font>
      <b/>
      <sz val="10"/>
      <color theme="1"/>
      <name val="Calibri"/>
      <family val="2"/>
      <scheme val="minor"/>
    </font>
    <font>
      <b/>
      <sz val="14"/>
      <name val="Arial Narrow"/>
      <family val="2"/>
    </font>
    <font>
      <sz val="10"/>
      <name val="Arial Narrow"/>
      <family val="2"/>
    </font>
    <font>
      <b/>
      <sz val="9"/>
      <name val="Arial Narrow"/>
      <family val="2"/>
    </font>
    <font>
      <sz val="11"/>
      <name val="Arial Narrow"/>
      <family val="2"/>
    </font>
    <font>
      <b/>
      <sz val="11"/>
      <name val="Arial Narrow"/>
      <family val="2"/>
    </font>
    <font>
      <sz val="9"/>
      <color theme="1"/>
      <name val="Times New Roman"/>
      <family val="1"/>
    </font>
    <font>
      <b/>
      <sz val="9"/>
      <color theme="1"/>
      <name val="Times New Roman"/>
      <family val="1"/>
    </font>
    <font>
      <b/>
      <sz val="9"/>
      <color indexed="81"/>
      <name val="Tahoma"/>
      <family val="2"/>
    </font>
    <font>
      <sz val="9"/>
      <color indexed="81"/>
      <name val="Tahoma"/>
      <family val="2"/>
    </font>
    <font>
      <b/>
      <sz val="10"/>
      <name val="Calibri"/>
      <family val="2"/>
      <scheme val="minor"/>
    </font>
    <font>
      <sz val="10"/>
      <color rgb="FF00B0F0"/>
      <name val="Calibri"/>
      <family val="2"/>
      <scheme val="minor"/>
    </font>
    <font>
      <sz val="12"/>
      <color rgb="FFFF0000"/>
      <name val="Calibri"/>
      <family val="2"/>
      <scheme val="minor"/>
    </font>
    <font>
      <b/>
      <sz val="12"/>
      <color rgb="FFFF0000"/>
      <name val="Calibri"/>
      <family val="2"/>
      <scheme val="minor"/>
    </font>
    <font>
      <sz val="10"/>
      <color rgb="FF0000FF"/>
      <name val="Calibri"/>
      <family val="2"/>
      <scheme val="minor"/>
    </font>
    <font>
      <b/>
      <sz val="16"/>
      <color rgb="FFFF0000"/>
      <name val="Calibri"/>
      <family val="2"/>
      <scheme val="minor"/>
    </font>
    <font>
      <sz val="12"/>
      <color rgb="FF0000FF"/>
      <name val="Calibri"/>
      <family val="2"/>
      <scheme val="minor"/>
    </font>
    <font>
      <b/>
      <sz val="10"/>
      <color rgb="FF0000FF"/>
      <name val="Calibri"/>
      <family val="2"/>
      <scheme val="minor"/>
    </font>
    <font>
      <b/>
      <sz val="10"/>
      <color theme="1"/>
      <name val="Times New Roman"/>
      <family val="1"/>
    </font>
    <font>
      <sz val="10"/>
      <color theme="1"/>
      <name val="Times New Roman"/>
      <family val="1"/>
    </font>
    <font>
      <sz val="10"/>
      <color rgb="FFFF0000"/>
      <name val="Times New Roman"/>
      <family val="1"/>
    </font>
    <font>
      <b/>
      <sz val="10"/>
      <color rgb="FFFF0000"/>
      <name val="Times New Roman"/>
      <family val="1"/>
    </font>
    <font>
      <sz val="16"/>
      <color theme="1"/>
      <name val="Calibri"/>
      <family val="2"/>
      <scheme val="minor"/>
    </font>
    <font>
      <sz val="10"/>
      <color rgb="FF0000FF"/>
      <name val="Times New Roman"/>
      <family val="1"/>
    </font>
    <font>
      <sz val="8"/>
      <name val="Calibri"/>
      <family val="2"/>
      <scheme val="minor"/>
    </font>
    <font>
      <sz val="10"/>
      <color rgb="FF0070C0"/>
      <name val="Times New Roman"/>
      <family val="1"/>
    </font>
    <font>
      <b/>
      <sz val="10"/>
      <color rgb="FF0070C0"/>
      <name val="Calibri"/>
      <family val="2"/>
      <scheme val="minor"/>
    </font>
    <font>
      <sz val="10"/>
      <name val="Times New Roman"/>
      <family val="1"/>
    </font>
    <font>
      <b/>
      <sz val="10"/>
      <color rgb="FF0000FF"/>
      <name val="Times New Roman"/>
      <family val="1"/>
    </font>
    <font>
      <sz val="8"/>
      <color theme="1"/>
      <name val="Calibri"/>
      <family val="2"/>
      <scheme val="minor"/>
    </font>
    <font>
      <sz val="8"/>
      <color rgb="FFFF0000"/>
      <name val="Calibri"/>
      <family val="2"/>
      <scheme val="minor"/>
    </font>
    <font>
      <u/>
      <sz val="8"/>
      <color theme="10"/>
      <name val="Calibri"/>
      <family val="2"/>
      <scheme val="minor"/>
    </font>
    <font>
      <b/>
      <sz val="8"/>
      <color theme="1"/>
      <name val="Calibri"/>
      <family val="2"/>
      <scheme val="minor"/>
    </font>
    <font>
      <b/>
      <sz val="8"/>
      <color rgb="FF0000FF"/>
      <name val="Calibri"/>
      <family val="2"/>
      <scheme val="minor"/>
    </font>
    <font>
      <sz val="8"/>
      <color rgb="FF0000FF"/>
      <name val="Calibri"/>
      <family val="2"/>
      <scheme val="minor"/>
    </font>
    <font>
      <b/>
      <sz val="8"/>
      <color rgb="FFFF0000"/>
      <name val="Calibri"/>
      <family val="2"/>
      <scheme val="minor"/>
    </font>
    <font>
      <b/>
      <sz val="11"/>
      <color theme="1"/>
      <name val="Times New Roman"/>
      <family val="1"/>
    </font>
    <font>
      <sz val="9"/>
      <color rgb="FFFF0000"/>
      <name val="Times New Roman"/>
      <family val="1"/>
    </font>
    <font>
      <sz val="8"/>
      <color rgb="FFFF0000"/>
      <name val="Times New Roman"/>
      <family val="1"/>
    </font>
    <font>
      <b/>
      <sz val="11"/>
      <color rgb="FF0000FF"/>
      <name val="Calibri"/>
      <family val="2"/>
      <scheme val="minor"/>
    </font>
    <font>
      <b/>
      <sz val="8"/>
      <color theme="1"/>
      <name val="Times New Roman"/>
      <family val="1"/>
    </font>
    <font>
      <sz val="8"/>
      <color theme="1"/>
      <name val="Times New Roman"/>
      <family val="1"/>
    </font>
    <font>
      <i/>
      <u/>
      <sz val="11"/>
      <color rgb="FF0000FF"/>
      <name val="Calibri"/>
      <family val="2"/>
      <scheme val="minor"/>
    </font>
    <font>
      <i/>
      <u/>
      <sz val="9"/>
      <color rgb="FF0000FF"/>
      <name val="Calibri"/>
      <family val="2"/>
      <scheme val="minor"/>
    </font>
    <font>
      <sz val="11"/>
      <color rgb="FFFF0000"/>
      <name val="Calibri"/>
      <family val="2"/>
      <scheme val="minor"/>
    </font>
    <font>
      <b/>
      <sz val="9"/>
      <color theme="1"/>
      <name val="Time s New Roman"/>
    </font>
    <font>
      <sz val="9"/>
      <color theme="1"/>
      <name val="Time s New Roman"/>
    </font>
    <font>
      <sz val="9"/>
      <color rgb="FFFF0000"/>
      <name val="Time s New Roman"/>
    </font>
    <font>
      <b/>
      <sz val="9"/>
      <color rgb="FF0000FF"/>
      <name val="Time s New Roman"/>
    </font>
    <font>
      <sz val="9"/>
      <color rgb="FF0000FF"/>
      <name val="Time s New Roman"/>
    </font>
    <font>
      <b/>
      <sz val="11"/>
      <color rgb="FFFF0000"/>
      <name val="Calibri"/>
      <family val="2"/>
      <scheme val="minor"/>
    </font>
    <font>
      <b/>
      <sz val="10"/>
      <color rgb="FFFF0000"/>
      <name val="Calibri"/>
      <family val="2"/>
      <scheme val="minor"/>
    </font>
    <font>
      <b/>
      <sz val="8"/>
      <color rgb="FF0000FF"/>
      <name val="Times New Roman"/>
      <family val="1"/>
    </font>
    <font>
      <b/>
      <sz val="14"/>
      <color theme="1"/>
      <name val="Times New Roman"/>
      <family val="1"/>
    </font>
  </fonts>
  <fills count="16">
    <fill>
      <patternFill patternType="none"/>
    </fill>
    <fill>
      <patternFill patternType="gray125"/>
    </fill>
    <fill>
      <patternFill patternType="solid">
        <fgColor indexed="41"/>
        <bgColor indexed="64"/>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theme="4" tint="0.79998168889431442"/>
        <bgColor indexed="64"/>
      </patternFill>
    </fill>
    <fill>
      <patternFill patternType="solid">
        <fgColor rgb="FF92D05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rgb="FF00B0F0"/>
        <bgColor indexed="64"/>
      </patternFill>
    </fill>
    <fill>
      <patternFill patternType="solid">
        <fgColor theme="7" tint="0.59999389629810485"/>
        <bgColor indexed="64"/>
      </patternFill>
    </fill>
  </fills>
  <borders count="5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hair">
        <color indexed="64"/>
      </right>
      <top style="thin">
        <color indexed="64"/>
      </top>
      <bottom style="thin">
        <color indexed="64"/>
      </bottom>
      <diagonal/>
    </border>
    <border>
      <left/>
      <right style="hair">
        <color indexed="64"/>
      </right>
      <top/>
      <bottom/>
      <diagonal/>
    </border>
    <border>
      <left/>
      <right style="hair">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s>
  <cellStyleXfs count="4">
    <xf numFmtId="0" fontId="0" fillId="0" borderId="0"/>
    <xf numFmtId="0" fontId="1" fillId="0" borderId="0" applyNumberFormat="0" applyFill="0" applyBorder="0" applyAlignment="0" applyProtection="0"/>
    <xf numFmtId="0" fontId="5" fillId="0" borderId="0"/>
    <xf numFmtId="0" fontId="5" fillId="0" borderId="0"/>
  </cellStyleXfs>
  <cellXfs count="417">
    <xf numFmtId="0" fontId="0" fillId="0" borderId="0" xfId="0"/>
    <xf numFmtId="0" fontId="4" fillId="0" borderId="0" xfId="0" applyFont="1"/>
    <xf numFmtId="0" fontId="3" fillId="0" borderId="10" xfId="0" applyFont="1" applyBorder="1" applyAlignment="1">
      <alignment vertical="center"/>
    </xf>
    <xf numFmtId="0" fontId="3" fillId="0" borderId="8" xfId="0" applyFont="1" applyBorder="1" applyAlignment="1">
      <alignment vertical="center"/>
    </xf>
    <xf numFmtId="49" fontId="3" fillId="0" borderId="8" xfId="0" applyNumberFormat="1" applyFont="1" applyBorder="1" applyAlignment="1">
      <alignment vertical="center"/>
    </xf>
    <xf numFmtId="0" fontId="3" fillId="0" borderId="8" xfId="2" applyFont="1" applyBorder="1" applyAlignment="1">
      <alignment vertical="center"/>
    </xf>
    <xf numFmtId="49" fontId="3" fillId="0" borderId="8" xfId="0" applyNumberFormat="1" applyFont="1" applyBorder="1"/>
    <xf numFmtId="0" fontId="3" fillId="0" borderId="8" xfId="0" applyFont="1" applyBorder="1"/>
    <xf numFmtId="0" fontId="3" fillId="0" borderId="11" xfId="0" applyFont="1" applyBorder="1" applyAlignment="1">
      <alignment vertical="center"/>
    </xf>
    <xf numFmtId="0" fontId="4" fillId="0" borderId="12" xfId="0" applyFont="1" applyBorder="1"/>
    <xf numFmtId="0" fontId="4" fillId="0" borderId="13" xfId="0" applyFont="1" applyBorder="1"/>
    <xf numFmtId="0" fontId="3" fillId="0" borderId="14"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center"/>
    </xf>
    <xf numFmtId="49" fontId="3" fillId="0" borderId="12" xfId="2" applyNumberFormat="1" applyFont="1" applyBorder="1" applyAlignment="1">
      <alignment vertical="top"/>
    </xf>
    <xf numFmtId="49" fontId="3" fillId="0" borderId="0" xfId="2" applyNumberFormat="1" applyFont="1" applyAlignment="1">
      <alignment vertical="top"/>
    </xf>
    <xf numFmtId="49" fontId="3" fillId="0" borderId="0" xfId="2" applyNumberFormat="1" applyFont="1"/>
    <xf numFmtId="49" fontId="3" fillId="0" borderId="18" xfId="2" applyNumberFormat="1" applyFont="1" applyBorder="1"/>
    <xf numFmtId="49" fontId="6" fillId="0" borderId="0" xfId="2" applyNumberFormat="1" applyFont="1"/>
    <xf numFmtId="49" fontId="3" fillId="0" borderId="13" xfId="2" applyNumberFormat="1" applyFont="1" applyBorder="1"/>
    <xf numFmtId="0" fontId="7" fillId="0" borderId="0" xfId="0" applyFont="1"/>
    <xf numFmtId="49" fontId="8" fillId="0" borderId="0" xfId="2" applyNumberFormat="1" applyFont="1"/>
    <xf numFmtId="49" fontId="6" fillId="2" borderId="8" xfId="2" applyNumberFormat="1" applyFont="1" applyFill="1" applyBorder="1"/>
    <xf numFmtId="49" fontId="9" fillId="0" borderId="0" xfId="2" applyNumberFormat="1" applyFont="1"/>
    <xf numFmtId="49" fontId="10" fillId="0" borderId="0" xfId="2" applyNumberFormat="1" applyFont="1"/>
    <xf numFmtId="49" fontId="10" fillId="0" borderId="13" xfId="2" applyNumberFormat="1" applyFont="1" applyBorder="1"/>
    <xf numFmtId="0" fontId="3" fillId="0" borderId="12" xfId="2" applyFont="1" applyBorder="1"/>
    <xf numFmtId="49" fontId="3" fillId="0" borderId="0" xfId="2" applyNumberFormat="1" applyFont="1" applyAlignment="1">
      <alignment horizontal="center" vertical="top"/>
    </xf>
    <xf numFmtId="49" fontId="3" fillId="0" borderId="0" xfId="2" applyNumberFormat="1" applyFont="1" applyAlignment="1">
      <alignment vertical="top" wrapText="1"/>
    </xf>
    <xf numFmtId="0" fontId="4" fillId="0" borderId="18" xfId="0" applyFont="1" applyBorder="1"/>
    <xf numFmtId="49" fontId="11" fillId="0" borderId="0" xfId="2" applyNumberFormat="1" applyFont="1"/>
    <xf numFmtId="0" fontId="12" fillId="0" borderId="0" xfId="0" applyFont="1"/>
    <xf numFmtId="0" fontId="4" fillId="0" borderId="4" xfId="0" applyFont="1" applyBorder="1"/>
    <xf numFmtId="0" fontId="4" fillId="0" borderId="5" xfId="0" applyFont="1" applyBorder="1"/>
    <xf numFmtId="0" fontId="4" fillId="0" borderId="19" xfId="0" applyFont="1" applyBorder="1"/>
    <xf numFmtId="0" fontId="4" fillId="0" borderId="6" xfId="0" applyFont="1" applyBorder="1"/>
    <xf numFmtId="0" fontId="5" fillId="0" borderId="0" xfId="3" applyAlignment="1">
      <alignment vertical="center"/>
    </xf>
    <xf numFmtId="0" fontId="16" fillId="2" borderId="10" xfId="3" applyFont="1" applyFill="1" applyBorder="1" applyAlignment="1">
      <alignment vertical="center"/>
    </xf>
    <xf numFmtId="0" fontId="16" fillId="2" borderId="8" xfId="3" applyFont="1" applyFill="1" applyBorder="1" applyAlignment="1">
      <alignment vertical="center"/>
    </xf>
    <xf numFmtId="0" fontId="13" fillId="0" borderId="10" xfId="3" applyFont="1" applyBorder="1" applyAlignment="1">
      <alignment horizontal="left" vertical="center"/>
    </xf>
    <xf numFmtId="0" fontId="16" fillId="0" borderId="8" xfId="3" applyFont="1" applyBorder="1" applyAlignment="1">
      <alignment horizontal="left" vertical="center"/>
    </xf>
    <xf numFmtId="49" fontId="16" fillId="0" borderId="8" xfId="3" applyNumberFormat="1" applyFont="1" applyBorder="1" applyAlignment="1">
      <alignment horizontal="left" vertical="center"/>
    </xf>
    <xf numFmtId="49" fontId="16" fillId="0" borderId="8" xfId="3" applyNumberFormat="1" applyFont="1" applyBorder="1" applyAlignment="1">
      <alignment horizontal="left"/>
    </xf>
    <xf numFmtId="0" fontId="16" fillId="0" borderId="8" xfId="3" applyFont="1" applyBorder="1" applyAlignment="1">
      <alignment horizontal="left"/>
    </xf>
    <xf numFmtId="0" fontId="16" fillId="0" borderId="9" xfId="3" applyFont="1" applyBorder="1" applyAlignment="1">
      <alignment horizontal="left" vertical="center"/>
    </xf>
    <xf numFmtId="0" fontId="16" fillId="0" borderId="15" xfId="3" applyFont="1" applyBorder="1" applyAlignment="1">
      <alignment vertical="center"/>
    </xf>
    <xf numFmtId="0" fontId="16" fillId="0" borderId="34" xfId="3" applyFont="1" applyBorder="1" applyAlignment="1">
      <alignment vertical="center"/>
    </xf>
    <xf numFmtId="0" fontId="16" fillId="0" borderId="35" xfId="3" applyFont="1" applyBorder="1" applyAlignment="1">
      <alignment vertical="center"/>
    </xf>
    <xf numFmtId="0" fontId="16" fillId="0" borderId="36" xfId="3" applyFont="1" applyBorder="1" applyAlignment="1">
      <alignment vertical="center"/>
    </xf>
    <xf numFmtId="0" fontId="16" fillId="0" borderId="24" xfId="3" applyFont="1" applyBorder="1" applyAlignment="1">
      <alignment vertical="center"/>
    </xf>
    <xf numFmtId="0" fontId="16" fillId="0" borderId="5" xfId="3" applyFont="1" applyBorder="1" applyAlignment="1">
      <alignment vertical="center"/>
    </xf>
    <xf numFmtId="0" fontId="16" fillId="0" borderId="23" xfId="3" applyFont="1" applyBorder="1" applyAlignment="1">
      <alignment vertical="center"/>
    </xf>
    <xf numFmtId="49" fontId="22" fillId="0" borderId="0" xfId="2" applyNumberFormat="1" applyFont="1"/>
    <xf numFmtId="49" fontId="23" fillId="0" borderId="0" xfId="2" applyNumberFormat="1" applyFont="1"/>
    <xf numFmtId="0" fontId="23" fillId="0" borderId="0" xfId="0" applyFont="1"/>
    <xf numFmtId="49" fontId="6" fillId="0" borderId="0" xfId="2" quotePrefix="1" applyNumberFormat="1" applyFont="1"/>
    <xf numFmtId="0" fontId="24" fillId="0" borderId="0" xfId="0" applyFont="1"/>
    <xf numFmtId="0" fontId="12" fillId="6" borderId="43" xfId="0" applyFont="1" applyFill="1" applyBorder="1" applyAlignment="1">
      <alignment horizontal="center" vertical="center" wrapText="1"/>
    </xf>
    <xf numFmtId="0" fontId="6" fillId="0" borderId="8" xfId="0" applyFont="1" applyBorder="1"/>
    <xf numFmtId="49" fontId="6" fillId="0" borderId="8" xfId="0" applyNumberFormat="1" applyFont="1" applyBorder="1"/>
    <xf numFmtId="49" fontId="6" fillId="0" borderId="8" xfId="0" applyNumberFormat="1" applyFont="1" applyBorder="1" applyAlignment="1">
      <alignment vertical="center"/>
    </xf>
    <xf numFmtId="0" fontId="6" fillId="0" borderId="15" xfId="0" applyFont="1" applyBorder="1" applyAlignment="1">
      <alignment vertical="center"/>
    </xf>
    <xf numFmtId="0" fontId="7" fillId="0" borderId="5" xfId="0" applyFont="1" applyBorder="1"/>
    <xf numFmtId="0" fontId="26" fillId="0" borderId="0" xfId="0" applyFont="1"/>
    <xf numFmtId="0" fontId="25" fillId="0" borderId="0" xfId="0" applyFont="1"/>
    <xf numFmtId="0" fontId="27" fillId="0" borderId="0" xfId="0" applyFont="1"/>
    <xf numFmtId="49" fontId="28" fillId="0" borderId="0" xfId="2" applyNumberFormat="1" applyFont="1" applyFill="1" applyAlignment="1">
      <alignment vertical="top"/>
    </xf>
    <xf numFmtId="49" fontId="29" fillId="0" borderId="0" xfId="2" applyNumberFormat="1" applyFont="1"/>
    <xf numFmtId="0" fontId="31" fillId="0" borderId="0" xfId="0" applyFont="1"/>
    <xf numFmtId="0" fontId="31" fillId="0" borderId="0" xfId="0" applyFont="1" applyAlignment="1">
      <alignment vertical="center"/>
    </xf>
    <xf numFmtId="0" fontId="31" fillId="0" borderId="43" xfId="0" applyFont="1" applyBorder="1" applyAlignment="1">
      <alignment vertical="center"/>
    </xf>
    <xf numFmtId="49" fontId="1" fillId="0" borderId="0" xfId="1" applyNumberFormat="1"/>
    <xf numFmtId="0" fontId="31" fillId="6" borderId="43" xfId="0" applyFont="1" applyFill="1" applyBorder="1"/>
    <xf numFmtId="0" fontId="30" fillId="6" borderId="43" xfId="0" applyFont="1" applyFill="1" applyBorder="1" applyAlignment="1">
      <alignment horizontal="center" vertical="center" wrapText="1"/>
    </xf>
    <xf numFmtId="49" fontId="6" fillId="0" borderId="0" xfId="2" applyNumberFormat="1" applyFont="1" applyAlignment="1">
      <alignment horizontal="right"/>
    </xf>
    <xf numFmtId="0" fontId="0" fillId="3" borderId="43" xfId="0" applyFill="1" applyBorder="1"/>
    <xf numFmtId="0" fontId="34" fillId="0" borderId="0" xfId="0" applyFont="1"/>
    <xf numFmtId="49" fontId="26" fillId="0" borderId="0" xfId="2" applyNumberFormat="1" applyFont="1"/>
    <xf numFmtId="0" fontId="35" fillId="0" borderId="0" xfId="0" applyFont="1" applyAlignment="1">
      <alignment vertical="center"/>
    </xf>
    <xf numFmtId="0" fontId="32" fillId="0" borderId="0" xfId="0" applyFont="1" applyAlignment="1">
      <alignment vertical="center"/>
    </xf>
    <xf numFmtId="0" fontId="0" fillId="8" borderId="43" xfId="0" applyFill="1" applyBorder="1" applyAlignment="1">
      <alignment horizontal="center"/>
    </xf>
    <xf numFmtId="0" fontId="18" fillId="8" borderId="43" xfId="0" applyFont="1" applyFill="1" applyBorder="1" applyAlignment="1">
      <alignment horizontal="center" vertical="center"/>
    </xf>
    <xf numFmtId="164" fontId="18" fillId="8" borderId="43" xfId="0" applyNumberFormat="1" applyFont="1" applyFill="1" applyBorder="1" applyAlignment="1">
      <alignment horizontal="center" vertical="center"/>
    </xf>
    <xf numFmtId="0" fontId="30" fillId="0" borderId="0" xfId="0" applyFont="1" applyAlignment="1">
      <alignment vertical="center"/>
    </xf>
    <xf numFmtId="0" fontId="24" fillId="0" borderId="12" xfId="0" applyFont="1" applyBorder="1"/>
    <xf numFmtId="0" fontId="37" fillId="0" borderId="0" xfId="0" applyFont="1" applyAlignment="1">
      <alignment vertical="center"/>
    </xf>
    <xf numFmtId="0" fontId="38" fillId="0" borderId="0" xfId="0" applyFont="1"/>
    <xf numFmtId="0" fontId="39" fillId="0" borderId="0" xfId="0" applyFont="1" applyAlignment="1">
      <alignment vertical="center"/>
    </xf>
    <xf numFmtId="0" fontId="3" fillId="0" borderId="0" xfId="2" applyFont="1" applyBorder="1"/>
    <xf numFmtId="0" fontId="26" fillId="3" borderId="0" xfId="0" applyFont="1" applyFill="1"/>
    <xf numFmtId="0" fontId="11" fillId="0" borderId="0" xfId="0" applyFont="1"/>
    <xf numFmtId="0" fontId="11" fillId="0" borderId="5" xfId="0" applyFont="1" applyBorder="1"/>
    <xf numFmtId="0" fontId="11" fillId="0" borderId="0" xfId="0" applyFont="1" applyBorder="1"/>
    <xf numFmtId="49" fontId="6" fillId="9" borderId="0" xfId="2" applyNumberFormat="1" applyFont="1" applyFill="1"/>
    <xf numFmtId="0" fontId="11" fillId="0" borderId="0" xfId="0" quotePrefix="1" applyFont="1" applyBorder="1"/>
    <xf numFmtId="0" fontId="35" fillId="0" borderId="0" xfId="0" applyFont="1" applyFill="1" applyBorder="1" applyAlignment="1">
      <alignment vertical="center"/>
    </xf>
    <xf numFmtId="0" fontId="18" fillId="0" borderId="0" xfId="0" applyFont="1" applyFill="1" applyBorder="1" applyAlignment="1">
      <alignment vertical="center"/>
    </xf>
    <xf numFmtId="0" fontId="31" fillId="0" borderId="0" xfId="0" applyFont="1" applyFill="1" applyBorder="1" applyAlignment="1">
      <alignment vertical="center"/>
    </xf>
    <xf numFmtId="164" fontId="18" fillId="0" borderId="0" xfId="0" applyNumberFormat="1" applyFont="1" applyFill="1" applyBorder="1" applyAlignment="1">
      <alignment vertical="center"/>
    </xf>
    <xf numFmtId="0" fontId="18" fillId="0" borderId="43" xfId="0" applyFont="1" applyFill="1" applyBorder="1" applyAlignment="1">
      <alignment vertical="center"/>
    </xf>
    <xf numFmtId="0" fontId="18" fillId="0" borderId="43" xfId="0" applyFont="1" applyFill="1" applyBorder="1" applyAlignment="1">
      <alignment vertical="center" wrapText="1"/>
    </xf>
    <xf numFmtId="0" fontId="18" fillId="0" borderId="43" xfId="0" applyFont="1" applyFill="1" applyBorder="1" applyAlignment="1">
      <alignment horizontal="center" vertical="center"/>
    </xf>
    <xf numFmtId="164" fontId="18" fillId="0" borderId="43" xfId="0" applyNumberFormat="1" applyFont="1" applyFill="1" applyBorder="1" applyAlignment="1">
      <alignment vertical="center"/>
    </xf>
    <xf numFmtId="0" fontId="31" fillId="0" borderId="43" xfId="0" applyFont="1" applyFill="1" applyBorder="1" applyAlignment="1">
      <alignment vertical="center"/>
    </xf>
    <xf numFmtId="0" fontId="35" fillId="0" borderId="43" xfId="0" applyFont="1" applyFill="1" applyBorder="1" applyAlignment="1">
      <alignment vertical="center"/>
    </xf>
    <xf numFmtId="0" fontId="33" fillId="0" borderId="0" xfId="0" applyFont="1" applyAlignment="1">
      <alignment vertical="center"/>
    </xf>
    <xf numFmtId="0" fontId="41" fillId="0" borderId="0" xfId="0" applyFont="1" applyFill="1" applyAlignment="1">
      <alignment vertical="center"/>
    </xf>
    <xf numFmtId="0" fontId="45" fillId="0" borderId="0" xfId="0" applyFont="1" applyFill="1" applyAlignment="1">
      <alignment vertical="center"/>
    </xf>
    <xf numFmtId="0" fontId="46" fillId="0" borderId="0" xfId="0" applyFont="1" applyFill="1" applyAlignment="1">
      <alignment vertical="center"/>
    </xf>
    <xf numFmtId="0" fontId="42" fillId="0" borderId="0" xfId="0" applyFont="1" applyFill="1" applyAlignment="1">
      <alignment vertical="center"/>
    </xf>
    <xf numFmtId="0" fontId="41" fillId="0" borderId="0" xfId="0" applyFont="1" applyFill="1" applyAlignment="1">
      <alignment horizontal="left" vertical="center"/>
    </xf>
    <xf numFmtId="0" fontId="41" fillId="0" borderId="43" xfId="0" applyFont="1" applyFill="1" applyBorder="1" applyAlignment="1">
      <alignment horizontal="left" vertical="center"/>
    </xf>
    <xf numFmtId="0" fontId="41" fillId="0" borderId="43" xfId="0" applyFont="1" applyFill="1" applyBorder="1" applyAlignment="1">
      <alignment vertical="center"/>
    </xf>
    <xf numFmtId="0" fontId="41" fillId="5" borderId="43" xfId="0" applyFont="1" applyFill="1" applyBorder="1" applyAlignment="1">
      <alignment vertical="center"/>
    </xf>
    <xf numFmtId="0" fontId="43" fillId="5" borderId="43" xfId="1" applyFont="1" applyFill="1" applyBorder="1" applyAlignment="1">
      <alignment vertical="center"/>
    </xf>
    <xf numFmtId="0" fontId="43" fillId="0" borderId="43" xfId="1" applyFont="1" applyFill="1" applyBorder="1" applyAlignment="1">
      <alignment vertical="center"/>
    </xf>
    <xf numFmtId="0" fontId="41" fillId="11" borderId="43" xfId="0" applyFont="1" applyFill="1" applyBorder="1" applyAlignment="1">
      <alignment vertical="center"/>
    </xf>
    <xf numFmtId="0" fontId="43" fillId="11" borderId="43" xfId="1" applyFont="1" applyFill="1" applyBorder="1" applyAlignment="1">
      <alignment vertical="center"/>
    </xf>
    <xf numFmtId="0" fontId="41" fillId="10" borderId="43" xfId="0" applyFont="1" applyFill="1" applyBorder="1" applyAlignment="1">
      <alignment vertical="center"/>
    </xf>
    <xf numFmtId="0" fontId="43" fillId="10" borderId="43" xfId="1" applyFont="1" applyFill="1" applyBorder="1" applyAlignment="1">
      <alignment vertical="center"/>
    </xf>
    <xf numFmtId="0" fontId="41" fillId="10" borderId="43" xfId="0" applyFont="1" applyFill="1" applyBorder="1" applyAlignment="1">
      <alignment vertical="center" wrapText="1"/>
    </xf>
    <xf numFmtId="0" fontId="36" fillId="0" borderId="0" xfId="0" applyFont="1" applyFill="1" applyAlignment="1">
      <alignment horizontal="center" vertical="center"/>
    </xf>
    <xf numFmtId="0" fontId="36" fillId="0" borderId="43" xfId="0" applyFont="1" applyFill="1" applyBorder="1" applyAlignment="1">
      <alignment horizontal="center" vertical="center"/>
    </xf>
    <xf numFmtId="0" fontId="44" fillId="0" borderId="43" xfId="0" applyFont="1" applyFill="1" applyBorder="1" applyAlignment="1">
      <alignment horizontal="left" vertical="center"/>
    </xf>
    <xf numFmtId="0" fontId="44" fillId="0" borderId="43" xfId="0" applyFont="1" applyFill="1" applyBorder="1" applyAlignment="1">
      <alignment vertical="center"/>
    </xf>
    <xf numFmtId="0" fontId="47" fillId="0" borderId="43" xfId="0" applyFont="1" applyFill="1" applyBorder="1" applyAlignment="1">
      <alignment vertical="center"/>
    </xf>
    <xf numFmtId="0" fontId="44" fillId="0" borderId="0" xfId="0" applyFont="1" applyFill="1" applyAlignment="1">
      <alignment vertical="center"/>
    </xf>
    <xf numFmtId="0" fontId="0" fillId="0" borderId="43" xfId="0" applyBorder="1"/>
    <xf numFmtId="0" fontId="19" fillId="0" borderId="43" xfId="0" applyFont="1" applyBorder="1" applyAlignment="1">
      <alignment horizontal="center" vertical="center" wrapText="1"/>
    </xf>
    <xf numFmtId="0" fontId="41" fillId="0" borderId="0" xfId="0" quotePrefix="1" applyFont="1" applyFill="1" applyAlignment="1">
      <alignment vertical="center"/>
    </xf>
    <xf numFmtId="0" fontId="50" fillId="0" borderId="43" xfId="0" applyFont="1" applyBorder="1" applyAlignment="1">
      <alignment horizontal="center" vertical="center"/>
    </xf>
    <xf numFmtId="0" fontId="50" fillId="0" borderId="9" xfId="0" applyFont="1" applyBorder="1" applyAlignment="1">
      <alignment horizontal="center" vertical="center"/>
    </xf>
    <xf numFmtId="0" fontId="52" fillId="0" borderId="43" xfId="0" applyFont="1" applyBorder="1" applyAlignment="1">
      <alignment horizontal="center" vertical="center" wrapText="1"/>
    </xf>
    <xf numFmtId="0" fontId="53" fillId="0" borderId="43" xfId="0" applyFont="1" applyBorder="1" applyAlignment="1">
      <alignment vertical="center"/>
    </xf>
    <xf numFmtId="0" fontId="53" fillId="12" borderId="43" xfId="0" applyFont="1" applyFill="1" applyBorder="1" applyAlignment="1">
      <alignment vertical="center"/>
    </xf>
    <xf numFmtId="0" fontId="53" fillId="13" borderId="43" xfId="0" applyFont="1" applyFill="1" applyBorder="1" applyAlignment="1">
      <alignment vertical="center"/>
    </xf>
    <xf numFmtId="0" fontId="53" fillId="13" borderId="43" xfId="0" applyFont="1" applyFill="1" applyBorder="1" applyAlignment="1">
      <alignment vertical="center" wrapText="1"/>
    </xf>
    <xf numFmtId="0" fontId="53" fillId="13" borderId="43" xfId="0" applyFont="1" applyFill="1" applyBorder="1" applyAlignment="1">
      <alignment horizontal="center" vertical="center"/>
    </xf>
    <xf numFmtId="164" fontId="53" fillId="13" borderId="43" xfId="0" applyNumberFormat="1" applyFont="1" applyFill="1" applyBorder="1" applyAlignment="1">
      <alignment vertical="center"/>
    </xf>
    <xf numFmtId="0" fontId="18" fillId="4" borderId="2" xfId="0" applyFont="1" applyFill="1" applyBorder="1" applyAlignment="1">
      <alignment vertical="center"/>
    </xf>
    <xf numFmtId="0" fontId="18" fillId="0" borderId="2" xfId="0" applyFont="1" applyBorder="1" applyAlignment="1">
      <alignment vertical="center"/>
    </xf>
    <xf numFmtId="0" fontId="18" fillId="0" borderId="3" xfId="0" applyFont="1" applyBorder="1" applyAlignment="1">
      <alignment vertical="center"/>
    </xf>
    <xf numFmtId="0" fontId="18" fillId="4" borderId="12" xfId="0" applyFont="1" applyFill="1" applyBorder="1" applyAlignment="1">
      <alignment vertical="center"/>
    </xf>
    <xf numFmtId="0" fontId="18" fillId="4" borderId="0" xfId="0" applyFont="1" applyFill="1" applyBorder="1" applyAlignment="1">
      <alignment horizontal="right" vertical="center"/>
    </xf>
    <xf numFmtId="0" fontId="18" fillId="4" borderId="0" xfId="0" applyFont="1" applyFill="1" applyBorder="1" applyAlignment="1">
      <alignment vertical="center"/>
    </xf>
    <xf numFmtId="0" fontId="18" fillId="0" borderId="0" xfId="0" applyFont="1" applyBorder="1" applyAlignment="1">
      <alignment vertical="center"/>
    </xf>
    <xf numFmtId="0" fontId="18" fillId="0" borderId="13" xfId="0" applyFont="1" applyBorder="1" applyAlignment="1">
      <alignment vertical="center"/>
    </xf>
    <xf numFmtId="0" fontId="50" fillId="0" borderId="47" xfId="0" applyFont="1" applyBorder="1" applyAlignment="1">
      <alignment horizontal="center" vertical="center"/>
    </xf>
    <xf numFmtId="0" fontId="50" fillId="0" borderId="48" xfId="0" applyFont="1" applyBorder="1" applyAlignment="1">
      <alignment horizontal="center" vertical="center"/>
    </xf>
    <xf numFmtId="0" fontId="53" fillId="0" borderId="47" xfId="0" applyFont="1" applyBorder="1" applyAlignment="1">
      <alignment vertical="center"/>
    </xf>
    <xf numFmtId="0" fontId="53" fillId="13" borderId="48" xfId="0" applyFont="1" applyFill="1" applyBorder="1" applyAlignment="1">
      <alignment vertical="center"/>
    </xf>
    <xf numFmtId="0" fontId="48" fillId="4" borderId="1" xfId="0" applyFont="1" applyFill="1" applyBorder="1" applyAlignment="1">
      <alignment horizontal="left" vertical="center"/>
    </xf>
    <xf numFmtId="0" fontId="48" fillId="4" borderId="2" xfId="0" applyFont="1" applyFill="1" applyBorder="1" applyAlignment="1">
      <alignment horizontal="left" vertical="center"/>
    </xf>
    <xf numFmtId="0" fontId="48" fillId="4" borderId="12" xfId="0" applyFont="1" applyFill="1" applyBorder="1" applyAlignment="1">
      <alignment horizontal="left" vertical="center"/>
    </xf>
    <xf numFmtId="0" fontId="48" fillId="4" borderId="0" xfId="0" applyFont="1" applyFill="1" applyBorder="1" applyAlignment="1">
      <alignment horizontal="left" vertical="center"/>
    </xf>
    <xf numFmtId="0" fontId="0" fillId="0" borderId="0" xfId="0" applyAlignment="1">
      <alignment vertical="center"/>
    </xf>
    <xf numFmtId="0" fontId="0" fillId="0" borderId="0" xfId="0" applyAlignment="1">
      <alignment horizontal="center" vertical="center"/>
    </xf>
    <xf numFmtId="0" fontId="41" fillId="0" borderId="0" xfId="0" applyFont="1" applyAlignment="1">
      <alignment horizontal="center" vertical="center"/>
    </xf>
    <xf numFmtId="0" fontId="41" fillId="0" borderId="0" xfId="0" applyFont="1" applyAlignment="1">
      <alignment vertical="center"/>
    </xf>
    <xf numFmtId="0" fontId="0" fillId="0" borderId="51" xfId="0" applyBorder="1" applyAlignment="1">
      <alignment vertical="center"/>
    </xf>
    <xf numFmtId="0" fontId="0" fillId="0" borderId="52" xfId="0" applyBorder="1" applyAlignment="1">
      <alignment vertical="center"/>
    </xf>
    <xf numFmtId="0" fontId="0" fillId="0" borderId="53" xfId="0" applyBorder="1" applyAlignment="1">
      <alignment vertical="center"/>
    </xf>
    <xf numFmtId="0" fontId="0" fillId="0" borderId="43" xfId="0" applyBorder="1" applyAlignment="1">
      <alignment vertical="center"/>
    </xf>
    <xf numFmtId="0" fontId="55" fillId="0" borderId="43" xfId="0" applyFont="1" applyBorder="1" applyAlignment="1">
      <alignment vertical="center"/>
    </xf>
    <xf numFmtId="0" fontId="0" fillId="0" borderId="0" xfId="0" applyFill="1" applyBorder="1" applyAlignment="1">
      <alignment horizontal="left" vertical="center"/>
    </xf>
    <xf numFmtId="0" fontId="41" fillId="0" borderId="0" xfId="0" applyFont="1" applyBorder="1" applyAlignment="1">
      <alignment horizontal="center" vertical="center"/>
    </xf>
    <xf numFmtId="0" fontId="41" fillId="0" borderId="0" xfId="0" applyFont="1" applyBorder="1" applyAlignment="1">
      <alignment vertical="center"/>
    </xf>
    <xf numFmtId="0" fontId="50" fillId="0" borderId="9" xfId="0" applyFont="1" applyBorder="1" applyAlignment="1">
      <alignment horizontal="center" vertical="center"/>
    </xf>
    <xf numFmtId="0" fontId="19" fillId="0" borderId="43" xfId="0" applyFont="1" applyBorder="1" applyAlignment="1">
      <alignment horizontal="center" vertical="center" wrapText="1"/>
    </xf>
    <xf numFmtId="0" fontId="0" fillId="3" borderId="0" xfId="0" applyFill="1" applyAlignment="1">
      <alignment horizontal="center" vertical="center"/>
    </xf>
    <xf numFmtId="0" fontId="51" fillId="3" borderId="0" xfId="0" applyFont="1" applyFill="1" applyAlignment="1">
      <alignment vertical="center"/>
    </xf>
    <xf numFmtId="0" fontId="51" fillId="3" borderId="0" xfId="0" applyFont="1" applyFill="1" applyAlignment="1">
      <alignment horizontal="center" vertical="center"/>
    </xf>
    <xf numFmtId="0" fontId="50" fillId="0" borderId="43" xfId="0" applyFont="1" applyBorder="1" applyAlignment="1">
      <alignment horizontal="center" vertical="center"/>
    </xf>
    <xf numFmtId="0" fontId="41" fillId="0" borderId="43" xfId="0" applyFont="1" applyBorder="1" applyAlignment="1">
      <alignment vertical="center"/>
    </xf>
    <xf numFmtId="0" fontId="0" fillId="0" borderId="0" xfId="0" applyAlignment="1">
      <alignment horizontal="center"/>
    </xf>
    <xf numFmtId="0" fontId="0" fillId="0" borderId="43" xfId="0" applyFill="1" applyBorder="1" applyAlignment="1">
      <alignment vertical="center"/>
    </xf>
    <xf numFmtId="0" fontId="0" fillId="0" borderId="0" xfId="0" applyFill="1" applyBorder="1" applyAlignment="1">
      <alignment vertical="center"/>
    </xf>
    <xf numFmtId="0" fontId="50" fillId="7" borderId="43" xfId="0" applyFont="1" applyFill="1" applyBorder="1" applyAlignment="1">
      <alignment horizontal="center" vertical="center"/>
    </xf>
    <xf numFmtId="49" fontId="3" fillId="7" borderId="0" xfId="2" applyNumberFormat="1" applyFont="1" applyFill="1" applyAlignment="1">
      <alignment vertical="top"/>
    </xf>
    <xf numFmtId="0" fontId="4" fillId="7" borderId="12" xfId="0" applyFont="1" applyFill="1" applyBorder="1"/>
    <xf numFmtId="0" fontId="52" fillId="0" borderId="43" xfId="0" applyFont="1" applyBorder="1" applyAlignment="1">
      <alignment horizontal="center" vertical="center"/>
    </xf>
    <xf numFmtId="0" fontId="0" fillId="0" borderId="43" xfId="0" applyBorder="1" applyAlignment="1">
      <alignment horizontal="center"/>
    </xf>
    <xf numFmtId="0" fontId="56" fillId="0" borderId="0" xfId="0" applyFont="1"/>
    <xf numFmtId="0" fontId="57" fillId="0" borderId="43" xfId="0" applyFont="1" applyBorder="1" applyAlignment="1">
      <alignment horizontal="center" vertical="center" wrapText="1"/>
    </xf>
    <xf numFmtId="0" fontId="58" fillId="0" borderId="43" xfId="0" applyFont="1" applyFill="1" applyBorder="1" applyAlignment="1">
      <alignment vertical="center"/>
    </xf>
    <xf numFmtId="0" fontId="58" fillId="0" borderId="43" xfId="0" applyFont="1" applyFill="1" applyBorder="1" applyAlignment="1">
      <alignment vertical="center" wrapText="1"/>
    </xf>
    <xf numFmtId="0" fontId="58" fillId="0" borderId="43" xfId="0" applyFont="1" applyFill="1" applyBorder="1" applyAlignment="1">
      <alignment horizontal="center" vertical="center"/>
    </xf>
    <xf numFmtId="164" fontId="58" fillId="0" borderId="43" xfId="0" applyNumberFormat="1" applyFont="1" applyFill="1" applyBorder="1" applyAlignment="1">
      <alignment vertical="center"/>
    </xf>
    <xf numFmtId="0" fontId="57" fillId="3" borderId="0" xfId="0" applyFont="1" applyFill="1" applyAlignment="1">
      <alignment vertical="center"/>
    </xf>
    <xf numFmtId="0" fontId="58" fillId="0" borderId="0" xfId="0" applyFont="1" applyAlignment="1">
      <alignment vertical="center"/>
    </xf>
    <xf numFmtId="0" fontId="57" fillId="11" borderId="43" xfId="0" applyFont="1" applyFill="1" applyBorder="1" applyAlignment="1">
      <alignment vertical="center" wrapText="1"/>
    </xf>
    <xf numFmtId="0" fontId="58" fillId="0" borderId="43" xfId="0" applyFont="1" applyBorder="1" applyAlignment="1">
      <alignment vertical="center"/>
    </xf>
    <xf numFmtId="0" fontId="61" fillId="0" borderId="43" xfId="0" applyFont="1" applyFill="1" applyBorder="1" applyAlignment="1">
      <alignment vertical="center"/>
    </xf>
    <xf numFmtId="0" fontId="58" fillId="14" borderId="0" xfId="0" applyFont="1" applyFill="1" applyAlignment="1">
      <alignment vertical="center"/>
    </xf>
    <xf numFmtId="0" fontId="59" fillId="0" borderId="0" xfId="0" applyFont="1" applyAlignment="1">
      <alignment horizontal="center" vertical="center"/>
    </xf>
    <xf numFmtId="0" fontId="58" fillId="0" borderId="43" xfId="0" applyFont="1" applyBorder="1" applyAlignment="1">
      <alignment horizontal="center" vertical="center"/>
    </xf>
    <xf numFmtId="0" fontId="58" fillId="11" borderId="43" xfId="0" applyFont="1" applyFill="1" applyBorder="1" applyAlignment="1">
      <alignment vertical="center"/>
    </xf>
    <xf numFmtId="0" fontId="57" fillId="11" borderId="43" xfId="0" applyFont="1" applyFill="1" applyBorder="1" applyAlignment="1">
      <alignment horizontal="center" vertical="center" wrapText="1"/>
    </xf>
    <xf numFmtId="49" fontId="3" fillId="3" borderId="0" xfId="2" applyNumberFormat="1" applyFont="1" applyFill="1" applyAlignment="1">
      <alignment vertical="top"/>
    </xf>
    <xf numFmtId="0" fontId="0" fillId="3" borderId="0" xfId="0" applyFill="1"/>
    <xf numFmtId="0" fontId="18" fillId="0" borderId="43" xfId="0" applyFont="1" applyBorder="1" applyAlignment="1">
      <alignment vertical="center"/>
    </xf>
    <xf numFmtId="0" fontId="18" fillId="12" borderId="43" xfId="0" applyFont="1" applyFill="1" applyBorder="1" applyAlignment="1">
      <alignment vertical="center"/>
    </xf>
    <xf numFmtId="0" fontId="18" fillId="13" borderId="43" xfId="0" applyFont="1" applyFill="1" applyBorder="1" applyAlignment="1">
      <alignment vertical="center"/>
    </xf>
    <xf numFmtId="0" fontId="18" fillId="13" borderId="43" xfId="0" applyFont="1" applyFill="1" applyBorder="1" applyAlignment="1">
      <alignment vertical="center" wrapText="1"/>
    </xf>
    <xf numFmtId="0" fontId="18" fillId="13" borderId="43" xfId="0" applyFont="1" applyFill="1" applyBorder="1" applyAlignment="1">
      <alignment horizontal="center" vertical="center"/>
    </xf>
    <xf numFmtId="164" fontId="18" fillId="13" borderId="43" xfId="0" applyNumberFormat="1" applyFont="1" applyFill="1" applyBorder="1" applyAlignment="1">
      <alignment vertical="center"/>
    </xf>
    <xf numFmtId="0" fontId="50" fillId="3" borderId="43" xfId="0" applyFont="1" applyFill="1" applyBorder="1" applyAlignment="1">
      <alignment horizontal="center" vertical="center"/>
    </xf>
    <xf numFmtId="0" fontId="50" fillId="3" borderId="10" xfId="0" applyFont="1" applyFill="1" applyBorder="1" applyAlignment="1">
      <alignment horizontal="center" vertical="center"/>
    </xf>
    <xf numFmtId="0" fontId="0" fillId="0" borderId="10" xfId="0" applyBorder="1"/>
    <xf numFmtId="0" fontId="0" fillId="15" borderId="43" xfId="0" applyFill="1" applyBorder="1"/>
    <xf numFmtId="0" fontId="50" fillId="15" borderId="43" xfId="0" applyFont="1" applyFill="1" applyBorder="1" applyAlignment="1">
      <alignment horizontal="center" vertical="center"/>
    </xf>
    <xf numFmtId="0" fontId="18" fillId="15" borderId="43" xfId="0" applyFont="1" applyFill="1" applyBorder="1" applyAlignment="1">
      <alignment vertical="center"/>
    </xf>
    <xf numFmtId="0" fontId="60" fillId="0" borderId="43" xfId="0" applyFont="1" applyBorder="1" applyAlignment="1">
      <alignment horizontal="center" vertical="center" wrapText="1"/>
    </xf>
    <xf numFmtId="0" fontId="19" fillId="0" borderId="44" xfId="0" applyFont="1" applyBorder="1" applyAlignment="1">
      <alignment horizontal="center" vertical="center"/>
    </xf>
    <xf numFmtId="0" fontId="41" fillId="0" borderId="43" xfId="0" applyFont="1" applyFill="1" applyBorder="1" applyAlignment="1">
      <alignment horizontal="center" vertical="center"/>
    </xf>
    <xf numFmtId="0" fontId="62" fillId="0" borderId="0" xfId="0" applyFont="1"/>
    <xf numFmtId="0" fontId="63" fillId="0" borderId="0" xfId="0" applyFont="1"/>
    <xf numFmtId="0" fontId="7" fillId="0" borderId="0" xfId="0" quotePrefix="1" applyFont="1"/>
    <xf numFmtId="49" fontId="24" fillId="0" borderId="0" xfId="2" applyNumberFormat="1" applyFont="1" applyAlignment="1">
      <alignment vertical="top"/>
    </xf>
    <xf numFmtId="0" fontId="41" fillId="10" borderId="15" xfId="0" applyFont="1" applyFill="1" applyBorder="1" applyAlignment="1">
      <alignment vertical="center"/>
    </xf>
    <xf numFmtId="0" fontId="41" fillId="10" borderId="0" xfId="0" applyFont="1" applyFill="1" applyBorder="1" applyAlignment="1">
      <alignment vertical="center"/>
    </xf>
    <xf numFmtId="0" fontId="41" fillId="0" borderId="54" xfId="0" applyFont="1" applyFill="1" applyBorder="1" applyAlignment="1">
      <alignment vertical="center"/>
    </xf>
    <xf numFmtId="0" fontId="58" fillId="0" borderId="0" xfId="0" applyFont="1" applyFill="1" applyBorder="1" applyAlignment="1">
      <alignment vertical="center"/>
    </xf>
    <xf numFmtId="49" fontId="1" fillId="0" borderId="0" xfId="1" applyNumberFormat="1" applyAlignment="1">
      <alignment vertical="top"/>
    </xf>
    <xf numFmtId="0" fontId="52" fillId="0" borderId="43" xfId="0" applyFont="1" applyBorder="1" applyAlignment="1">
      <alignment horizontal="center" vertical="center" wrapText="1"/>
    </xf>
    <xf numFmtId="49" fontId="16" fillId="0" borderId="24" xfId="3" applyNumberFormat="1" applyFont="1" applyBorder="1" applyAlignment="1">
      <alignment horizontal="center" vertical="center"/>
    </xf>
    <xf numFmtId="49" fontId="16" fillId="0" borderId="5" xfId="3" applyNumberFormat="1" applyFont="1" applyBorder="1" applyAlignment="1">
      <alignment horizontal="center" vertical="center"/>
    </xf>
    <xf numFmtId="49" fontId="16" fillId="0" borderId="23" xfId="3" applyNumberFormat="1" applyFont="1" applyBorder="1" applyAlignment="1">
      <alignment horizontal="center" vertical="center"/>
    </xf>
    <xf numFmtId="0" fontId="16" fillId="0" borderId="40" xfId="3" applyFont="1" applyBorder="1" applyAlignment="1">
      <alignment vertical="center"/>
    </xf>
    <xf numFmtId="0" fontId="16" fillId="0" borderId="41" xfId="3" applyFont="1" applyBorder="1" applyAlignment="1">
      <alignment vertical="center"/>
    </xf>
    <xf numFmtId="0" fontId="16" fillId="0" borderId="42" xfId="3" applyFont="1" applyBorder="1" applyAlignment="1">
      <alignment vertical="center"/>
    </xf>
    <xf numFmtId="0" fontId="16" fillId="0" borderId="40" xfId="3" applyFont="1" applyBorder="1" applyAlignment="1">
      <alignment horizontal="center" vertical="center"/>
    </xf>
    <xf numFmtId="0" fontId="16" fillId="0" borderId="41" xfId="3" applyFont="1" applyBorder="1" applyAlignment="1">
      <alignment horizontal="center" vertical="center"/>
    </xf>
    <xf numFmtId="0" fontId="16" fillId="0" borderId="42" xfId="3" applyFont="1" applyBorder="1" applyAlignment="1">
      <alignment horizontal="center" vertical="center"/>
    </xf>
    <xf numFmtId="14" fontId="16" fillId="0" borderId="40" xfId="3" applyNumberFormat="1" applyFont="1" applyBorder="1" applyAlignment="1">
      <alignment horizontal="center" vertical="center"/>
    </xf>
    <xf numFmtId="14" fontId="16" fillId="0" borderId="41" xfId="3" applyNumberFormat="1" applyFont="1" applyBorder="1" applyAlignment="1">
      <alignment horizontal="center" vertical="center"/>
    </xf>
    <xf numFmtId="14" fontId="16" fillId="0" borderId="42" xfId="3" applyNumberFormat="1" applyFont="1" applyBorder="1" applyAlignment="1">
      <alignment horizontal="center" vertical="center"/>
    </xf>
    <xf numFmtId="49" fontId="16" fillId="0" borderId="31" xfId="3" applyNumberFormat="1" applyFont="1" applyBorder="1" applyAlignment="1">
      <alignment horizontal="center" vertical="center"/>
    </xf>
    <xf numFmtId="49" fontId="16" fillId="0" borderId="32" xfId="3" applyNumberFormat="1" applyFont="1" applyBorder="1" applyAlignment="1">
      <alignment horizontal="center" vertical="center"/>
    </xf>
    <xf numFmtId="49" fontId="16" fillId="0" borderId="33" xfId="3" applyNumberFormat="1" applyFont="1" applyBorder="1" applyAlignment="1">
      <alignment horizontal="center" vertical="center"/>
    </xf>
    <xf numFmtId="0" fontId="16" fillId="0" borderId="34" xfId="3" applyFont="1" applyBorder="1" applyAlignment="1">
      <alignment vertical="center"/>
    </xf>
    <xf numFmtId="0" fontId="16" fillId="0" borderId="35" xfId="3" applyFont="1" applyBorder="1" applyAlignment="1">
      <alignment vertical="center"/>
    </xf>
    <xf numFmtId="0" fontId="16" fillId="0" borderId="36" xfId="3" applyFont="1" applyBorder="1" applyAlignment="1">
      <alignment vertical="center"/>
    </xf>
    <xf numFmtId="0" fontId="16" fillId="0" borderId="34" xfId="3" applyFont="1" applyBorder="1" applyAlignment="1">
      <alignment horizontal="center" vertical="center"/>
    </xf>
    <xf numFmtId="0" fontId="16" fillId="0" borderId="35" xfId="3" applyFont="1" applyBorder="1" applyAlignment="1">
      <alignment horizontal="center" vertical="center"/>
    </xf>
    <xf numFmtId="0" fontId="16" fillId="0" borderId="36" xfId="3" applyFont="1" applyBorder="1" applyAlignment="1">
      <alignment horizontal="center" vertical="center"/>
    </xf>
    <xf numFmtId="14" fontId="16" fillId="0" borderId="34" xfId="3" applyNumberFormat="1" applyFont="1" applyBorder="1" applyAlignment="1">
      <alignment horizontal="center" vertical="center"/>
    </xf>
    <xf numFmtId="14" fontId="16" fillId="0" borderId="35" xfId="3" applyNumberFormat="1" applyFont="1" applyBorder="1" applyAlignment="1">
      <alignment horizontal="center" vertical="center"/>
    </xf>
    <xf numFmtId="14" fontId="16" fillId="0" borderId="36" xfId="3" applyNumberFormat="1" applyFont="1" applyBorder="1" applyAlignment="1">
      <alignment horizontal="center" vertical="center"/>
    </xf>
    <xf numFmtId="14" fontId="16" fillId="0" borderId="31" xfId="3" applyNumberFormat="1" applyFont="1" applyBorder="1" applyAlignment="1">
      <alignment horizontal="center" vertical="center"/>
    </xf>
    <xf numFmtId="14" fontId="16" fillId="0" borderId="32" xfId="3" applyNumberFormat="1" applyFont="1" applyBorder="1" applyAlignment="1">
      <alignment horizontal="center" vertical="center"/>
    </xf>
    <xf numFmtId="14" fontId="16" fillId="0" borderId="33" xfId="3" applyNumberFormat="1" applyFont="1" applyBorder="1" applyAlignment="1">
      <alignment horizontal="center" vertical="center"/>
    </xf>
    <xf numFmtId="0" fontId="16" fillId="0" borderId="37" xfId="3" applyFont="1" applyBorder="1" applyAlignment="1">
      <alignment horizontal="left" vertical="center"/>
    </xf>
    <xf numFmtId="0" fontId="16" fillId="0" borderId="38" xfId="3" applyFont="1" applyBorder="1" applyAlignment="1">
      <alignment horizontal="left" vertical="center"/>
    </xf>
    <xf numFmtId="0" fontId="16" fillId="0" borderId="39" xfId="3" applyFont="1" applyBorder="1" applyAlignment="1">
      <alignment horizontal="left" vertical="center"/>
    </xf>
    <xf numFmtId="0" fontId="16" fillId="0" borderId="37" xfId="3" applyFont="1" applyBorder="1" applyAlignment="1">
      <alignment horizontal="center" vertical="center"/>
    </xf>
    <xf numFmtId="0" fontId="16" fillId="0" borderId="38" xfId="3" applyFont="1" applyBorder="1" applyAlignment="1">
      <alignment horizontal="center" vertical="center"/>
    </xf>
    <xf numFmtId="0" fontId="16" fillId="0" borderId="39" xfId="3" applyFont="1" applyBorder="1" applyAlignment="1">
      <alignment horizontal="center" vertical="center"/>
    </xf>
    <xf numFmtId="14" fontId="16" fillId="0" borderId="37" xfId="3" applyNumberFormat="1" applyFont="1" applyBorder="1" applyAlignment="1">
      <alignment horizontal="center" vertical="center"/>
    </xf>
    <xf numFmtId="14" fontId="16" fillId="0" borderId="38" xfId="3" applyNumberFormat="1" applyFont="1" applyBorder="1" applyAlignment="1">
      <alignment horizontal="center" vertical="center"/>
    </xf>
    <xf numFmtId="14" fontId="16" fillId="0" borderId="39" xfId="3" applyNumberFormat="1" applyFont="1" applyBorder="1" applyAlignment="1">
      <alignment horizontal="center" vertical="center"/>
    </xf>
    <xf numFmtId="0" fontId="16" fillId="0" borderId="31" xfId="3" applyFont="1" applyBorder="1" applyAlignment="1">
      <alignment horizontal="left" vertical="center"/>
    </xf>
    <xf numFmtId="0" fontId="16" fillId="0" borderId="32" xfId="3" applyFont="1" applyBorder="1" applyAlignment="1">
      <alignment horizontal="left" vertical="center"/>
    </xf>
    <xf numFmtId="0" fontId="16" fillId="0" borderId="33" xfId="3" applyFont="1" applyBorder="1" applyAlignment="1">
      <alignment horizontal="left" vertical="center"/>
    </xf>
    <xf numFmtId="0" fontId="16" fillId="0" borderId="34" xfId="3" applyFont="1" applyBorder="1" applyAlignment="1">
      <alignment vertical="center" wrapText="1"/>
    </xf>
    <xf numFmtId="0" fontId="16" fillId="0" borderId="31" xfId="3" applyFont="1" applyBorder="1" applyAlignment="1">
      <alignment horizontal="center" vertical="center"/>
    </xf>
    <xf numFmtId="0" fontId="16" fillId="0" borderId="32" xfId="3" applyFont="1" applyBorder="1" applyAlignment="1">
      <alignment horizontal="center" vertical="center"/>
    </xf>
    <xf numFmtId="0" fontId="16" fillId="0" borderId="33" xfId="3" applyFont="1" applyBorder="1" applyAlignment="1">
      <alignment horizontal="center" vertical="center"/>
    </xf>
    <xf numFmtId="0" fontId="16" fillId="2" borderId="10" xfId="3" applyFont="1" applyFill="1" applyBorder="1" applyAlignment="1">
      <alignment horizontal="center" vertical="center"/>
    </xf>
    <xf numFmtId="0" fontId="16" fillId="2" borderId="8" xfId="3" applyFont="1" applyFill="1" applyBorder="1" applyAlignment="1">
      <alignment horizontal="center" vertical="center"/>
    </xf>
    <xf numFmtId="0" fontId="16" fillId="2" borderId="9" xfId="3" applyFont="1" applyFill="1" applyBorder="1" applyAlignment="1">
      <alignment horizontal="center" vertical="center"/>
    </xf>
    <xf numFmtId="49" fontId="16" fillId="0" borderId="25" xfId="3" applyNumberFormat="1" applyFont="1" applyBorder="1" applyAlignment="1">
      <alignment horizontal="center" vertical="center"/>
    </xf>
    <xf numFmtId="49" fontId="16" fillId="0" borderId="26" xfId="3" applyNumberFormat="1" applyFont="1" applyBorder="1" applyAlignment="1">
      <alignment horizontal="center" vertical="center"/>
    </xf>
    <xf numFmtId="49" fontId="16" fillId="0" borderId="27" xfId="3" applyNumberFormat="1" applyFont="1" applyBorder="1" applyAlignment="1">
      <alignment horizontal="center" vertical="center"/>
    </xf>
    <xf numFmtId="0" fontId="16" fillId="0" borderId="20" xfId="3" applyFont="1" applyBorder="1" applyAlignment="1">
      <alignment horizontal="left" vertical="center"/>
    </xf>
    <xf numFmtId="0" fontId="16" fillId="0" borderId="15" xfId="3" applyFont="1" applyBorder="1" applyAlignment="1">
      <alignment horizontal="left" vertical="center"/>
    </xf>
    <xf numFmtId="0" fontId="16" fillId="0" borderId="21" xfId="3" applyFont="1" applyBorder="1" applyAlignment="1">
      <alignment horizontal="left" vertical="center"/>
    </xf>
    <xf numFmtId="0" fontId="16" fillId="0" borderId="28" xfId="3" applyFont="1" applyBorder="1" applyAlignment="1">
      <alignment vertical="center"/>
    </xf>
    <xf numFmtId="0" fontId="16" fillId="0" borderId="29" xfId="3" applyFont="1" applyBorder="1" applyAlignment="1">
      <alignment vertical="center"/>
    </xf>
    <xf numFmtId="0" fontId="16" fillId="0" borderId="30" xfId="3" applyFont="1" applyBorder="1" applyAlignment="1">
      <alignment vertical="center"/>
    </xf>
    <xf numFmtId="0" fontId="16" fillId="0" borderId="20" xfId="3" applyFont="1" applyBorder="1" applyAlignment="1">
      <alignment horizontal="center" vertical="center"/>
    </xf>
    <xf numFmtId="0" fontId="16" fillId="0" borderId="15" xfId="3" applyFont="1" applyBorder="1" applyAlignment="1">
      <alignment horizontal="center" vertical="center"/>
    </xf>
    <xf numFmtId="0" fontId="16" fillId="0" borderId="21" xfId="3" applyFont="1" applyBorder="1" applyAlignment="1">
      <alignment horizontal="center" vertical="center"/>
    </xf>
    <xf numFmtId="14" fontId="16" fillId="0" borderId="20" xfId="3" applyNumberFormat="1" applyFont="1" applyBorder="1" applyAlignment="1">
      <alignment horizontal="center" vertical="center"/>
    </xf>
    <xf numFmtId="14" fontId="16" fillId="0" borderId="15" xfId="3" applyNumberFormat="1" applyFont="1" applyBorder="1" applyAlignment="1">
      <alignment horizontal="center" vertical="center"/>
    </xf>
    <xf numFmtId="14" fontId="16" fillId="0" borderId="21" xfId="3" applyNumberFormat="1" applyFont="1" applyBorder="1" applyAlignment="1">
      <alignment horizontal="center" vertical="center"/>
    </xf>
    <xf numFmtId="0" fontId="13" fillId="2" borderId="20" xfId="3" applyFont="1" applyFill="1" applyBorder="1" applyAlignment="1">
      <alignment vertical="center"/>
    </xf>
    <xf numFmtId="0" fontId="13" fillId="2" borderId="15" xfId="3" applyFont="1" applyFill="1" applyBorder="1" applyAlignment="1">
      <alignment vertical="center"/>
    </xf>
    <xf numFmtId="0" fontId="13" fillId="2" borderId="21" xfId="3" applyFont="1" applyFill="1" applyBorder="1" applyAlignment="1">
      <alignment vertical="center"/>
    </xf>
    <xf numFmtId="0" fontId="13" fillId="2" borderId="22" xfId="3" applyFont="1" applyFill="1" applyBorder="1" applyAlignment="1">
      <alignment vertical="center"/>
    </xf>
    <xf numFmtId="0" fontId="13" fillId="2" borderId="0" xfId="3" applyFont="1" applyFill="1" applyAlignment="1">
      <alignment vertical="center"/>
    </xf>
    <xf numFmtId="0" fontId="13" fillId="2" borderId="5" xfId="3" applyFont="1" applyFill="1" applyBorder="1" applyAlignment="1">
      <alignment vertical="center"/>
    </xf>
    <xf numFmtId="0" fontId="13" fillId="2" borderId="23" xfId="3" applyFont="1" applyFill="1" applyBorder="1" applyAlignment="1">
      <alignment vertical="center"/>
    </xf>
    <xf numFmtId="49" fontId="14" fillId="2" borderId="20" xfId="3" applyNumberFormat="1" applyFont="1" applyFill="1" applyBorder="1" applyAlignment="1">
      <alignment horizontal="left" vertical="center" wrapText="1"/>
    </xf>
    <xf numFmtId="0" fontId="14" fillId="2" borderId="15" xfId="3" applyFont="1" applyFill="1" applyBorder="1" applyAlignment="1">
      <alignment horizontal="left" vertical="center"/>
    </xf>
    <xf numFmtId="0" fontId="14" fillId="2" borderId="21" xfId="3" applyFont="1" applyFill="1" applyBorder="1" applyAlignment="1">
      <alignment horizontal="left" vertical="center"/>
    </xf>
    <xf numFmtId="0" fontId="14" fillId="2" borderId="24" xfId="3" applyFont="1" applyFill="1" applyBorder="1" applyAlignment="1">
      <alignment horizontal="left" vertical="center"/>
    </xf>
    <xf numFmtId="0" fontId="14" fillId="2" borderId="5" xfId="3" applyFont="1" applyFill="1" applyBorder="1" applyAlignment="1">
      <alignment horizontal="left" vertical="center"/>
    </xf>
    <xf numFmtId="0" fontId="14" fillId="2" borderId="23" xfId="3" applyFont="1" applyFill="1" applyBorder="1" applyAlignment="1">
      <alignment horizontal="left" vertical="center"/>
    </xf>
    <xf numFmtId="49" fontId="15" fillId="0" borderId="20" xfId="3" applyNumberFormat="1" applyFont="1" applyBorder="1" applyAlignment="1">
      <alignment horizontal="center" vertical="center" wrapText="1"/>
    </xf>
    <xf numFmtId="0" fontId="15" fillId="0" borderId="15" xfId="3" applyFont="1" applyBorder="1" applyAlignment="1">
      <alignment horizontal="center" vertical="center"/>
    </xf>
    <xf numFmtId="0" fontId="15" fillId="0" borderId="21" xfId="3" applyFont="1" applyBorder="1" applyAlignment="1">
      <alignment horizontal="center" vertical="center"/>
    </xf>
    <xf numFmtId="0" fontId="15" fillId="0" borderId="24" xfId="3" applyFont="1" applyBorder="1" applyAlignment="1">
      <alignment horizontal="center" vertical="center"/>
    </xf>
    <xf numFmtId="0" fontId="15" fillId="0" borderId="5" xfId="3" applyFont="1" applyBorder="1" applyAlignment="1">
      <alignment horizontal="center" vertical="center"/>
    </xf>
    <xf numFmtId="0" fontId="15" fillId="0" borderId="23" xfId="3" applyFont="1" applyBorder="1" applyAlignment="1">
      <alignment horizontal="center" vertical="center"/>
    </xf>
    <xf numFmtId="49" fontId="17" fillId="0" borderId="10" xfId="3" applyNumberFormat="1" applyFont="1" applyBorder="1" applyAlignment="1">
      <alignment horizontal="left" vertical="center"/>
    </xf>
    <xf numFmtId="49" fontId="17" fillId="0" borderId="8" xfId="3" applyNumberFormat="1" applyFont="1" applyBorder="1" applyAlignment="1">
      <alignment horizontal="left" vertical="center"/>
    </xf>
    <xf numFmtId="49" fontId="17" fillId="0" borderId="9" xfId="3" applyNumberFormat="1" applyFont="1" applyBorder="1" applyAlignment="1">
      <alignment horizontal="left" vertical="center"/>
    </xf>
    <xf numFmtId="0" fontId="16" fillId="2" borderId="10" xfId="3" applyFont="1" applyFill="1" applyBorder="1" applyAlignment="1">
      <alignment horizontal="left" vertical="center"/>
    </xf>
    <xf numFmtId="0" fontId="16" fillId="2" borderId="8" xfId="3" applyFont="1" applyFill="1" applyBorder="1" applyAlignment="1">
      <alignment horizontal="left" vertical="center"/>
    </xf>
    <xf numFmtId="0" fontId="16" fillId="2" borderId="9" xfId="3" applyFont="1" applyFill="1" applyBorder="1" applyAlignment="1">
      <alignment horizontal="left" vertical="center"/>
    </xf>
    <xf numFmtId="0" fontId="3" fillId="2" borderId="7" xfId="2" applyFont="1" applyFill="1" applyBorder="1" applyAlignment="1">
      <alignment horizontal="left" vertical="center"/>
    </xf>
    <xf numFmtId="0" fontId="3" fillId="2" borderId="8" xfId="2" applyFont="1" applyFill="1" applyBorder="1" applyAlignment="1">
      <alignment horizontal="left" vertical="center"/>
    </xf>
    <xf numFmtId="0" fontId="3" fillId="2" borderId="9" xfId="2" applyFont="1" applyFill="1" applyBorder="1" applyAlignment="1">
      <alignment horizontal="left" vertical="center"/>
    </xf>
    <xf numFmtId="49" fontId="3" fillId="0" borderId="10" xfId="0" applyNumberFormat="1" applyFont="1" applyBorder="1" applyAlignment="1">
      <alignment horizontal="left" vertical="center"/>
    </xf>
    <xf numFmtId="49" fontId="3" fillId="0" borderId="8"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2" fillId="2" borderId="4" xfId="0" applyFont="1" applyFill="1" applyBorder="1" applyAlignment="1">
      <alignment vertical="center"/>
    </xf>
    <xf numFmtId="0" fontId="2" fillId="2" borderId="5"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horizontal="left" vertical="center"/>
    </xf>
    <xf numFmtId="0" fontId="3" fillId="2" borderId="8" xfId="0" applyFont="1" applyFill="1" applyBorder="1" applyAlignment="1">
      <alignment horizontal="left" vertical="center"/>
    </xf>
    <xf numFmtId="0" fontId="3" fillId="2" borderId="9" xfId="0" applyFont="1" applyFill="1" applyBorder="1" applyAlignment="1">
      <alignment horizontal="left" vertical="center"/>
    </xf>
    <xf numFmtId="49" fontId="3" fillId="2" borderId="7" xfId="2" applyNumberFormat="1" applyFont="1" applyFill="1" applyBorder="1" applyAlignment="1">
      <alignment vertical="top"/>
    </xf>
    <xf numFmtId="0" fontId="3" fillId="2" borderId="8" xfId="2" applyFont="1" applyFill="1" applyBorder="1" applyAlignment="1">
      <alignment vertical="top"/>
    </xf>
    <xf numFmtId="0" fontId="3" fillId="2" borderId="17" xfId="2" applyFont="1" applyFill="1" applyBorder="1" applyAlignment="1">
      <alignment vertical="top"/>
    </xf>
    <xf numFmtId="0" fontId="3" fillId="2" borderId="11" xfId="2" applyFont="1" applyFill="1" applyBorder="1" applyAlignment="1">
      <alignment vertical="top"/>
    </xf>
    <xf numFmtId="0" fontId="52" fillId="0" borderId="43" xfId="0" applyFont="1" applyBorder="1" applyAlignment="1">
      <alignment horizontal="center" vertical="center" wrapText="1"/>
    </xf>
    <xf numFmtId="0" fontId="50" fillId="0" borderId="43" xfId="0" applyFont="1" applyBorder="1" applyAlignment="1">
      <alignment horizontal="center" vertical="center"/>
    </xf>
    <xf numFmtId="0" fontId="52" fillId="0" borderId="43" xfId="0" applyFont="1" applyBorder="1" applyAlignment="1">
      <alignment horizontal="center" vertical="center"/>
    </xf>
    <xf numFmtId="0" fontId="52" fillId="0" borderId="48" xfId="0" applyFont="1" applyBorder="1" applyAlignment="1">
      <alignment horizontal="center" vertical="center" wrapText="1"/>
    </xf>
    <xf numFmtId="0" fontId="52" fillId="0" borderId="44" xfId="0" applyFont="1" applyBorder="1" applyAlignment="1">
      <alignment horizontal="center" vertical="center" wrapText="1"/>
    </xf>
    <xf numFmtId="0" fontId="52" fillId="0" borderId="45" xfId="0" applyFont="1" applyBorder="1" applyAlignment="1">
      <alignment horizontal="center" vertical="center" wrapText="1"/>
    </xf>
    <xf numFmtId="0" fontId="52" fillId="0" borderId="10" xfId="0" applyFont="1" applyBorder="1" applyAlignment="1">
      <alignment horizontal="center" vertical="center" wrapText="1"/>
    </xf>
    <xf numFmtId="0" fontId="52" fillId="0" borderId="8" xfId="0" applyFont="1" applyBorder="1" applyAlignment="1">
      <alignment horizontal="center" vertical="center" wrapText="1"/>
    </xf>
    <xf numFmtId="0" fontId="52" fillId="0" borderId="9" xfId="0" applyFont="1" applyBorder="1" applyAlignment="1">
      <alignment horizontal="center" vertical="center" wrapText="1"/>
    </xf>
    <xf numFmtId="0" fontId="50" fillId="0" borderId="10" xfId="0" applyFont="1" applyBorder="1" applyAlignment="1">
      <alignment horizontal="center" vertical="center"/>
    </xf>
    <xf numFmtId="0" fontId="50" fillId="0" borderId="8" xfId="0" applyFont="1" applyBorder="1" applyAlignment="1">
      <alignment horizontal="center" vertical="center"/>
    </xf>
    <xf numFmtId="0" fontId="50" fillId="0" borderId="9" xfId="0" applyFont="1" applyBorder="1" applyAlignment="1">
      <alignment horizontal="center" vertical="center"/>
    </xf>
    <xf numFmtId="0" fontId="18" fillId="4" borderId="0" xfId="0" applyFont="1" applyFill="1" applyBorder="1" applyAlignment="1">
      <alignment horizontal="center" vertical="center" wrapText="1"/>
    </xf>
    <xf numFmtId="164" fontId="18" fillId="12" borderId="0" xfId="0" applyNumberFormat="1" applyFont="1" applyFill="1" applyBorder="1" applyAlignment="1">
      <alignment horizontal="center" vertical="center"/>
    </xf>
    <xf numFmtId="0" fontId="18" fillId="12" borderId="0" xfId="0" applyFont="1" applyFill="1" applyBorder="1" applyAlignment="1">
      <alignment horizontal="center" vertical="center"/>
    </xf>
    <xf numFmtId="0" fontId="49" fillId="4" borderId="4" xfId="0" applyFont="1" applyFill="1" applyBorder="1" applyAlignment="1">
      <alignment horizontal="left" vertical="center" wrapText="1"/>
    </xf>
    <xf numFmtId="0" fontId="49" fillId="4" borderId="5" xfId="0" applyFont="1" applyFill="1" applyBorder="1" applyAlignment="1">
      <alignment horizontal="left" vertical="center"/>
    </xf>
    <xf numFmtId="0" fontId="52" fillId="0" borderId="49" xfId="0" applyFont="1" applyBorder="1" applyAlignment="1">
      <alignment horizontal="center" vertical="center"/>
    </xf>
    <xf numFmtId="0" fontId="52" fillId="0" borderId="50" xfId="0" applyFont="1" applyBorder="1" applyAlignment="1">
      <alignment horizontal="center" vertical="center"/>
    </xf>
    <xf numFmtId="0" fontId="19" fillId="7" borderId="43" xfId="0" applyFont="1" applyFill="1" applyBorder="1" applyAlignment="1">
      <alignment horizontal="center" vertical="center" wrapText="1"/>
    </xf>
    <xf numFmtId="0" fontId="19" fillId="7" borderId="44" xfId="0" applyFont="1" applyFill="1" applyBorder="1" applyAlignment="1">
      <alignment horizontal="center" vertical="center" wrapText="1"/>
    </xf>
    <xf numFmtId="0" fontId="19" fillId="7" borderId="45" xfId="0" applyFont="1" applyFill="1" applyBorder="1" applyAlignment="1">
      <alignment horizontal="center" vertical="center" wrapText="1"/>
    </xf>
    <xf numFmtId="0" fontId="19" fillId="0" borderId="43" xfId="0" applyFont="1" applyBorder="1" applyAlignment="1">
      <alignment horizontal="center" vertical="center" wrapText="1"/>
    </xf>
    <xf numFmtId="0" fontId="58" fillId="11" borderId="43" xfId="0" applyFont="1" applyFill="1" applyBorder="1" applyAlignment="1">
      <alignment horizontal="center" vertical="center"/>
    </xf>
    <xf numFmtId="0" fontId="57" fillId="0" borderId="43" xfId="0" applyFont="1" applyBorder="1" applyAlignment="1">
      <alignment horizontal="center" vertical="center" wrapText="1"/>
    </xf>
    <xf numFmtId="0" fontId="57" fillId="7" borderId="44" xfId="0" applyFont="1" applyFill="1" applyBorder="1" applyAlignment="1">
      <alignment horizontal="center" vertical="center" wrapText="1"/>
    </xf>
    <xf numFmtId="0" fontId="57" fillId="7" borderId="45" xfId="0" applyFont="1" applyFill="1" applyBorder="1" applyAlignment="1">
      <alignment horizontal="center" vertical="center" wrapText="1"/>
    </xf>
    <xf numFmtId="0" fontId="57" fillId="7" borderId="43" xfId="0" applyFont="1" applyFill="1" applyBorder="1" applyAlignment="1">
      <alignment horizontal="center" vertical="center" wrapText="1"/>
    </xf>
    <xf numFmtId="0" fontId="57" fillId="11" borderId="43" xfId="0" applyFont="1" applyFill="1" applyBorder="1" applyAlignment="1">
      <alignment horizontal="center" vertical="center" wrapText="1"/>
    </xf>
    <xf numFmtId="0" fontId="60" fillId="0" borderId="43" xfId="0" applyFont="1" applyBorder="1" applyAlignment="1">
      <alignment horizontal="center" vertical="center" wrapText="1"/>
    </xf>
    <xf numFmtId="0" fontId="58" fillId="0" borderId="43" xfId="0" applyFont="1" applyBorder="1" applyAlignment="1">
      <alignment horizontal="center" vertical="center"/>
    </xf>
    <xf numFmtId="0" fontId="60" fillId="0" borderId="44" xfId="0" applyFont="1" applyBorder="1" applyAlignment="1">
      <alignment horizontal="center" vertical="center" wrapText="1"/>
    </xf>
    <xf numFmtId="0" fontId="60" fillId="0" borderId="45" xfId="0" applyFont="1" applyBorder="1" applyAlignment="1">
      <alignment horizontal="center" vertical="center" wrapText="1"/>
    </xf>
    <xf numFmtId="0" fontId="19" fillId="0" borderId="44" xfId="0" applyFont="1" applyBorder="1" applyAlignment="1">
      <alignment horizontal="center" vertical="center" wrapText="1"/>
    </xf>
    <xf numFmtId="0" fontId="19" fillId="0" borderId="45"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54" xfId="0" applyFont="1" applyBorder="1" applyAlignment="1">
      <alignment horizontal="center" vertical="center"/>
    </xf>
    <xf numFmtId="0" fontId="19" fillId="0" borderId="23" xfId="0" applyFont="1" applyBorder="1" applyAlignment="1">
      <alignment horizontal="center" vertical="center"/>
    </xf>
    <xf numFmtId="0" fontId="19" fillId="15" borderId="43" xfId="0" applyFont="1" applyFill="1" applyBorder="1" applyAlignment="1">
      <alignment horizontal="center" vertical="center" wrapText="1"/>
    </xf>
    <xf numFmtId="0" fontId="19" fillId="3" borderId="43"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0" borderId="44" xfId="0" applyFont="1" applyBorder="1" applyAlignment="1">
      <alignment horizontal="center" vertical="center"/>
    </xf>
    <xf numFmtId="0" fontId="19" fillId="0" borderId="45" xfId="0" applyFont="1" applyBorder="1" applyAlignment="1">
      <alignment horizontal="center" vertical="center"/>
    </xf>
    <xf numFmtId="0" fontId="19" fillId="15" borderId="44" xfId="0" applyFont="1" applyFill="1" applyBorder="1" applyAlignment="1">
      <alignment horizontal="center" vertical="center" wrapText="1"/>
    </xf>
    <xf numFmtId="0" fontId="19" fillId="15" borderId="45" xfId="0" applyFont="1" applyFill="1" applyBorder="1" applyAlignment="1">
      <alignment horizontal="center" vertical="center" wrapText="1"/>
    </xf>
    <xf numFmtId="0" fontId="30" fillId="0" borderId="43" xfId="0" applyFont="1" applyBorder="1" applyAlignment="1">
      <alignment horizontal="center" vertical="center" wrapText="1"/>
    </xf>
    <xf numFmtId="0" fontId="19" fillId="8" borderId="43" xfId="0" applyFont="1" applyFill="1" applyBorder="1" applyAlignment="1">
      <alignment horizontal="center" vertical="center" wrapText="1"/>
    </xf>
    <xf numFmtId="0" fontId="19" fillId="8" borderId="44" xfId="0" applyFont="1" applyFill="1" applyBorder="1" applyAlignment="1">
      <alignment horizontal="center" vertical="center" wrapText="1"/>
    </xf>
    <xf numFmtId="0" fontId="19" fillId="8" borderId="45" xfId="0" applyFont="1" applyFill="1" applyBorder="1" applyAlignment="1">
      <alignment horizontal="center" vertical="center" wrapText="1"/>
    </xf>
    <xf numFmtId="0" fontId="41" fillId="0" borderId="21" xfId="0" applyFont="1" applyFill="1" applyBorder="1" applyAlignment="1">
      <alignment horizontal="center" vertical="center"/>
    </xf>
    <xf numFmtId="0" fontId="41" fillId="0" borderId="54" xfId="0" applyFont="1" applyFill="1" applyBorder="1" applyAlignment="1">
      <alignment horizontal="center" vertical="center"/>
    </xf>
    <xf numFmtId="0" fontId="36" fillId="0" borderId="44" xfId="0" applyFont="1" applyFill="1" applyBorder="1" applyAlignment="1">
      <alignment horizontal="center" vertical="center"/>
    </xf>
    <xf numFmtId="0" fontId="36" fillId="0" borderId="46" xfId="0" applyFont="1" applyFill="1" applyBorder="1" applyAlignment="1">
      <alignment horizontal="center" vertical="center"/>
    </xf>
    <xf numFmtId="0" fontId="36" fillId="0" borderId="45" xfId="0" applyFont="1" applyFill="1" applyBorder="1" applyAlignment="1">
      <alignment horizontal="center" vertical="center"/>
    </xf>
    <xf numFmtId="0" fontId="41" fillId="0" borderId="44" xfId="0" applyFont="1" applyFill="1" applyBorder="1" applyAlignment="1">
      <alignment horizontal="left" vertical="center"/>
    </xf>
    <xf numFmtId="0" fontId="41" fillId="0" borderId="46" xfId="0" applyFont="1" applyFill="1" applyBorder="1" applyAlignment="1">
      <alignment horizontal="left" vertical="center"/>
    </xf>
    <xf numFmtId="0" fontId="41" fillId="0" borderId="45" xfId="0" applyFont="1" applyFill="1" applyBorder="1" applyAlignment="1">
      <alignment horizontal="left" vertical="center"/>
    </xf>
    <xf numFmtId="0" fontId="36" fillId="0" borderId="22" xfId="0" applyFont="1" applyFill="1" applyBorder="1" applyAlignment="1">
      <alignment horizontal="center" vertical="center"/>
    </xf>
    <xf numFmtId="0" fontId="41" fillId="0" borderId="0" xfId="0" applyFont="1" applyFill="1" applyAlignment="1">
      <alignment horizontal="center" vertical="center"/>
    </xf>
    <xf numFmtId="0" fontId="36" fillId="0" borderId="43" xfId="0" applyFont="1" applyFill="1" applyBorder="1" applyAlignment="1">
      <alignment horizontal="center" vertical="center"/>
    </xf>
    <xf numFmtId="0" fontId="41" fillId="11" borderId="43" xfId="0" applyFont="1" applyFill="1" applyBorder="1" applyAlignment="1">
      <alignment horizontal="left" vertical="center"/>
    </xf>
    <xf numFmtId="0" fontId="41" fillId="10" borderId="15" xfId="0" applyFont="1" applyFill="1" applyBorder="1" applyAlignment="1">
      <alignment horizontal="center" vertical="center"/>
    </xf>
    <xf numFmtId="0" fontId="41" fillId="10" borderId="0" xfId="0" applyFont="1" applyFill="1" applyBorder="1" applyAlignment="1">
      <alignment horizontal="center" vertical="center"/>
    </xf>
    <xf numFmtId="0" fontId="47" fillId="0" borderId="43" xfId="0" applyFont="1" applyFill="1" applyBorder="1" applyAlignment="1">
      <alignment horizontal="center" vertical="center"/>
    </xf>
    <xf numFmtId="0" fontId="41" fillId="5" borderId="43" xfId="0" applyFont="1" applyFill="1" applyBorder="1" applyAlignment="1">
      <alignment horizontal="left" vertical="center"/>
    </xf>
    <xf numFmtId="0" fontId="31" fillId="0" borderId="43" xfId="0" applyFont="1" applyFill="1" applyBorder="1" applyAlignment="1">
      <alignment vertical="center" wrapText="1"/>
    </xf>
    <xf numFmtId="0" fontId="31" fillId="0" borderId="43" xfId="0" applyFont="1" applyFill="1" applyBorder="1" applyAlignment="1">
      <alignment horizontal="center" vertical="center"/>
    </xf>
    <xf numFmtId="164" fontId="31" fillId="0" borderId="43" xfId="0" applyNumberFormat="1" applyFont="1" applyFill="1" applyBorder="1" applyAlignment="1">
      <alignment vertical="center"/>
    </xf>
    <xf numFmtId="0" fontId="64" fillId="0" borderId="43" xfId="0" applyFont="1" applyBorder="1" applyAlignment="1">
      <alignment horizontal="center" vertical="center" wrapText="1"/>
    </xf>
    <xf numFmtId="0" fontId="31" fillId="0" borderId="0" xfId="0" applyFont="1" applyAlignment="1">
      <alignment horizontal="right" vertical="center"/>
    </xf>
    <xf numFmtId="0" fontId="53" fillId="0" borderId="43" xfId="0" applyFont="1" applyBorder="1" applyAlignment="1">
      <alignment horizontal="center" vertical="center"/>
    </xf>
    <xf numFmtId="0" fontId="53" fillId="0" borderId="0" xfId="0" applyFont="1" applyAlignment="1">
      <alignment vertical="center"/>
    </xf>
    <xf numFmtId="0" fontId="65" fillId="0" borderId="0" xfId="0" applyFont="1" applyAlignment="1">
      <alignment horizontal="center" vertical="center"/>
    </xf>
    <xf numFmtId="0" fontId="52" fillId="5" borderId="10" xfId="0" applyFont="1" applyFill="1" applyBorder="1" applyAlignment="1">
      <alignment horizontal="center" vertical="center"/>
    </xf>
    <xf numFmtId="0" fontId="52" fillId="5" borderId="8" xfId="0" applyFont="1" applyFill="1" applyBorder="1" applyAlignment="1">
      <alignment horizontal="center" vertical="center"/>
    </xf>
    <xf numFmtId="0" fontId="52" fillId="5" borderId="9" xfId="0" applyFont="1" applyFill="1" applyBorder="1" applyAlignment="1">
      <alignment horizontal="center" vertical="center"/>
    </xf>
    <xf numFmtId="0" fontId="52" fillId="5" borderId="43" xfId="0" applyFont="1" applyFill="1" applyBorder="1" applyAlignment="1">
      <alignment horizontal="center" vertical="center" wrapText="1"/>
    </xf>
    <xf numFmtId="0" fontId="52" fillId="5" borderId="44" xfId="0" applyFont="1" applyFill="1" applyBorder="1" applyAlignment="1">
      <alignment horizontal="center" vertical="center" wrapText="1"/>
    </xf>
    <xf numFmtId="0" fontId="31" fillId="5" borderId="0" xfId="0" applyFont="1" applyFill="1" applyAlignment="1">
      <alignment vertical="center"/>
    </xf>
    <xf numFmtId="166" fontId="31" fillId="5" borderId="0" xfId="0" applyNumberFormat="1" applyFont="1" applyFill="1" applyAlignment="1">
      <alignment vertical="center"/>
    </xf>
    <xf numFmtId="0" fontId="35" fillId="0" borderId="0" xfId="0" applyFont="1" applyAlignment="1">
      <alignment horizontal="left" vertical="center" wrapText="1"/>
    </xf>
  </cellXfs>
  <cellStyles count="4">
    <cellStyle name="Hyperlink" xfId="1" builtinId="8"/>
    <cellStyle name="Normal" xfId="0" builtinId="0"/>
    <cellStyle name="標準 2" xfId="3" xr:uid="{F69BCE6A-36D2-4B62-B968-F4F0209215D4}"/>
    <cellStyle name="標準_機能ID_機能名称（画面）" xfId="2" xr:uid="{A6085C54-6F92-4889-8BCB-B75536EC289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colorful4">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419A828-EC6F-4E4D-93A0-04EB3426E198}" type="doc">
      <dgm:prSet loTypeId="urn:microsoft.com/office/officeart/2005/8/layout/StepDownProcess" loCatId="process" qsTypeId="urn:microsoft.com/office/officeart/2005/8/quickstyle/simple1" qsCatId="simple" csTypeId="urn:microsoft.com/office/officeart/2005/8/colors/colorful4" csCatId="colorful" phldr="1"/>
      <dgm:spPr/>
      <dgm:t>
        <a:bodyPr/>
        <a:lstStyle/>
        <a:p>
          <a:endParaRPr lang="en-US"/>
        </a:p>
      </dgm:t>
    </dgm:pt>
    <dgm:pt modelId="{6047FD8F-286F-41A7-A293-8EF2C2641AE2}">
      <dgm:prSet phldrT="[Text]"/>
      <dgm:spPr>
        <a:solidFill>
          <a:schemeClr val="accent4">
            <a:lumMod val="60000"/>
            <a:lumOff val="40000"/>
          </a:schemeClr>
        </a:solidFill>
      </dgm:spPr>
      <dgm:t>
        <a:bodyPr/>
        <a:lstStyle/>
        <a:p>
          <a:r>
            <a:rPr lang="vi-VN">
              <a:solidFill>
                <a:sysClr val="windowText" lastClr="000000"/>
              </a:solidFill>
            </a:rPr>
            <a:t>1. Nguồn dữ liệu</a:t>
          </a:r>
        </a:p>
        <a:p>
          <a:r>
            <a:rPr lang="ja-JP" altLang="en-US">
              <a:solidFill>
                <a:sysClr val="windowText" lastClr="000000"/>
              </a:solidFill>
            </a:rPr>
            <a:t>マスタ作成</a:t>
          </a:r>
          <a:endParaRPr lang="en-US">
            <a:solidFill>
              <a:sysClr val="windowText" lastClr="000000"/>
            </a:solidFill>
          </a:endParaRPr>
        </a:p>
      </dgm:t>
    </dgm:pt>
    <dgm:pt modelId="{AAD1D2CE-FF4C-4078-8FD4-1878159EE821}" type="parTrans" cxnId="{191660AC-7335-4282-BD7A-AAA45C193837}">
      <dgm:prSet/>
      <dgm:spPr/>
      <dgm:t>
        <a:bodyPr/>
        <a:lstStyle/>
        <a:p>
          <a:endParaRPr lang="en-US">
            <a:solidFill>
              <a:sysClr val="windowText" lastClr="000000"/>
            </a:solidFill>
          </a:endParaRPr>
        </a:p>
      </dgm:t>
    </dgm:pt>
    <dgm:pt modelId="{CF180FF8-DC72-4AF7-8700-BF1607AC421F}" type="sibTrans" cxnId="{191660AC-7335-4282-BD7A-AAA45C193837}">
      <dgm:prSet/>
      <dgm:spPr/>
      <dgm:t>
        <a:bodyPr/>
        <a:lstStyle/>
        <a:p>
          <a:endParaRPr lang="en-US">
            <a:solidFill>
              <a:sysClr val="windowText" lastClr="000000"/>
            </a:solidFill>
          </a:endParaRPr>
        </a:p>
      </dgm:t>
    </dgm:pt>
    <dgm:pt modelId="{6A25681B-64AC-4ACD-BD68-3815DD7DA8AF}">
      <dgm:prSet phldrT="[Text]"/>
      <dgm:spPr>
        <a:solidFill>
          <a:schemeClr val="accent4">
            <a:lumMod val="60000"/>
            <a:lumOff val="40000"/>
          </a:schemeClr>
        </a:solidFill>
      </dgm:spPr>
      <dgm:t>
        <a:bodyPr/>
        <a:lstStyle/>
        <a:p>
          <a:r>
            <a:rPr lang="vi-VN">
              <a:solidFill>
                <a:sysClr val="windowText" lastClr="000000"/>
              </a:solidFill>
            </a:rPr>
            <a:t>2.Tạo mã/Xác nhận tên</a:t>
          </a:r>
          <a:endParaRPr lang="en-US">
            <a:solidFill>
              <a:sysClr val="windowText" lastClr="000000"/>
            </a:solidFill>
          </a:endParaRPr>
        </a:p>
        <a:p>
          <a:r>
            <a:rPr lang="en-US" altLang="ja-JP">
              <a:solidFill>
                <a:sysClr val="windowText" lastClr="000000"/>
              </a:solidFill>
            </a:rPr>
            <a:t>BIVN</a:t>
          </a:r>
          <a:r>
            <a:rPr lang="ja-JP" altLang="en-US">
              <a:solidFill>
                <a:sysClr val="windowText" lastClr="000000"/>
              </a:solidFill>
            </a:rPr>
            <a:t>内コード</a:t>
          </a:r>
          <a:r>
            <a:rPr lang="en-US" altLang="ja-JP">
              <a:solidFill>
                <a:sysClr val="windowText" lastClr="000000"/>
              </a:solidFill>
            </a:rPr>
            <a:t>/</a:t>
          </a:r>
          <a:r>
            <a:rPr lang="ja-JP" altLang="en-US">
              <a:solidFill>
                <a:sysClr val="windowText" lastClr="000000"/>
              </a:solidFill>
            </a:rPr>
            <a:t>品名作成</a:t>
          </a:r>
          <a:endParaRPr lang="en-US">
            <a:solidFill>
              <a:sysClr val="windowText" lastClr="000000"/>
            </a:solidFill>
          </a:endParaRPr>
        </a:p>
      </dgm:t>
    </dgm:pt>
    <dgm:pt modelId="{9A561D11-BADE-4BAC-9B5E-B376E315360D}" type="parTrans" cxnId="{032611D3-3174-433A-BEB1-0DD08A3B4C4A}">
      <dgm:prSet/>
      <dgm:spPr/>
      <dgm:t>
        <a:bodyPr/>
        <a:lstStyle/>
        <a:p>
          <a:endParaRPr lang="en-US">
            <a:solidFill>
              <a:sysClr val="windowText" lastClr="000000"/>
            </a:solidFill>
          </a:endParaRPr>
        </a:p>
      </dgm:t>
    </dgm:pt>
    <dgm:pt modelId="{CFCD49B4-D5B9-42A4-B415-B0E53780E3E1}" type="sibTrans" cxnId="{032611D3-3174-433A-BEB1-0DD08A3B4C4A}">
      <dgm:prSet/>
      <dgm:spPr/>
      <dgm:t>
        <a:bodyPr/>
        <a:lstStyle/>
        <a:p>
          <a:endParaRPr lang="en-US">
            <a:solidFill>
              <a:sysClr val="windowText" lastClr="000000"/>
            </a:solidFill>
          </a:endParaRPr>
        </a:p>
      </dgm:t>
    </dgm:pt>
    <dgm:pt modelId="{A3912955-5AC5-4BA2-B2B3-A0A8A719E863}">
      <dgm:prSet phldrT="[Text]"/>
      <dgm:spPr>
        <a:solidFill>
          <a:srgbClr val="00B0F0"/>
        </a:solidFill>
      </dgm:spPr>
      <dgm:t>
        <a:bodyPr/>
        <a:lstStyle/>
        <a:p>
          <a:r>
            <a:rPr lang="vi-VN">
              <a:solidFill>
                <a:sysClr val="windowText" lastClr="000000"/>
              </a:solidFill>
            </a:rPr>
            <a:t>3.Tính toán số lượng</a:t>
          </a:r>
          <a:endParaRPr lang="en-US">
            <a:solidFill>
              <a:sysClr val="windowText" lastClr="000000"/>
            </a:solidFill>
          </a:endParaRPr>
        </a:p>
        <a:p>
          <a:r>
            <a:rPr lang="ja-JP" altLang="en-US">
              <a:solidFill>
                <a:sysClr val="windowText" lastClr="000000"/>
              </a:solidFill>
            </a:rPr>
            <a:t>使用数量計算</a:t>
          </a:r>
          <a:endParaRPr lang="en-US">
            <a:solidFill>
              <a:sysClr val="windowText" lastClr="000000"/>
            </a:solidFill>
          </a:endParaRPr>
        </a:p>
      </dgm:t>
    </dgm:pt>
    <dgm:pt modelId="{B1171D67-3BFE-4995-84BC-DEDD787096C8}" type="parTrans" cxnId="{80683871-CAE3-494A-A55A-D012E55A23B7}">
      <dgm:prSet/>
      <dgm:spPr/>
      <dgm:t>
        <a:bodyPr/>
        <a:lstStyle/>
        <a:p>
          <a:endParaRPr lang="en-US">
            <a:solidFill>
              <a:sysClr val="windowText" lastClr="000000"/>
            </a:solidFill>
          </a:endParaRPr>
        </a:p>
      </dgm:t>
    </dgm:pt>
    <dgm:pt modelId="{12A5919E-8757-49C1-A2F3-9E090BDF9093}" type="sibTrans" cxnId="{80683871-CAE3-494A-A55A-D012E55A23B7}">
      <dgm:prSet/>
      <dgm:spPr/>
      <dgm:t>
        <a:bodyPr/>
        <a:lstStyle/>
        <a:p>
          <a:endParaRPr lang="en-US">
            <a:solidFill>
              <a:sysClr val="windowText" lastClr="000000"/>
            </a:solidFill>
          </a:endParaRPr>
        </a:p>
      </dgm:t>
    </dgm:pt>
    <dgm:pt modelId="{20AF755B-2081-4AAA-A85C-A4941FE46821}">
      <dgm:prSet phldrT="[Text]"/>
      <dgm:spPr>
        <a:solidFill>
          <a:schemeClr val="accent4">
            <a:lumMod val="60000"/>
            <a:lumOff val="40000"/>
          </a:schemeClr>
        </a:solidFill>
      </dgm:spPr>
      <dgm:t>
        <a:bodyPr/>
        <a:lstStyle/>
        <a:p>
          <a:r>
            <a:rPr lang="vi-VN">
              <a:solidFill>
                <a:sysClr val="windowText" lastClr="000000"/>
              </a:solidFill>
            </a:rPr>
            <a:t>4.Yêu cầu báo giá</a:t>
          </a:r>
          <a:endParaRPr lang="en-US">
            <a:solidFill>
              <a:sysClr val="windowText" lastClr="000000"/>
            </a:solidFill>
          </a:endParaRPr>
        </a:p>
        <a:p>
          <a:r>
            <a:rPr lang="ja-JP" altLang="en-US">
              <a:solidFill>
                <a:sysClr val="windowText" lastClr="000000"/>
              </a:solidFill>
            </a:rPr>
            <a:t>見積依頼書発行</a:t>
          </a:r>
          <a:endParaRPr lang="en-US">
            <a:solidFill>
              <a:sysClr val="windowText" lastClr="000000"/>
            </a:solidFill>
          </a:endParaRPr>
        </a:p>
      </dgm:t>
    </dgm:pt>
    <dgm:pt modelId="{0366A11D-F0B9-47E9-89DB-CC7FAE679B89}" type="parTrans" cxnId="{0B83CA73-3F6D-460A-A3E2-D73D2F1169C4}">
      <dgm:prSet/>
      <dgm:spPr/>
      <dgm:t>
        <a:bodyPr/>
        <a:lstStyle/>
        <a:p>
          <a:endParaRPr lang="en-US">
            <a:solidFill>
              <a:sysClr val="windowText" lastClr="000000"/>
            </a:solidFill>
          </a:endParaRPr>
        </a:p>
      </dgm:t>
    </dgm:pt>
    <dgm:pt modelId="{570F9089-1004-4A97-9938-4D88A3DD5143}" type="sibTrans" cxnId="{0B83CA73-3F6D-460A-A3E2-D73D2F1169C4}">
      <dgm:prSet/>
      <dgm:spPr/>
      <dgm:t>
        <a:bodyPr/>
        <a:lstStyle/>
        <a:p>
          <a:endParaRPr lang="en-US">
            <a:solidFill>
              <a:sysClr val="windowText" lastClr="000000"/>
            </a:solidFill>
          </a:endParaRPr>
        </a:p>
      </dgm:t>
    </dgm:pt>
    <dgm:pt modelId="{37CC10A6-365E-46B4-B046-D325EF726AB4}">
      <dgm:prSet phldrT="[Text]"/>
      <dgm:spPr>
        <a:solidFill>
          <a:schemeClr val="accent4">
            <a:lumMod val="60000"/>
            <a:lumOff val="40000"/>
          </a:schemeClr>
        </a:solidFill>
      </dgm:spPr>
      <dgm:t>
        <a:bodyPr/>
        <a:lstStyle/>
        <a:p>
          <a:r>
            <a:rPr lang="vi-VN">
              <a:solidFill>
                <a:sysClr val="windowText" lastClr="000000"/>
              </a:solidFill>
            </a:rPr>
            <a:t>5.Lựa chọn NCC</a:t>
          </a:r>
          <a:endParaRPr lang="en-US">
            <a:solidFill>
              <a:sysClr val="windowText" lastClr="000000"/>
            </a:solidFill>
          </a:endParaRPr>
        </a:p>
        <a:p>
          <a:r>
            <a:rPr lang="ja-JP" altLang="en-US">
              <a:solidFill>
                <a:sysClr val="windowText" lastClr="000000"/>
              </a:solidFill>
            </a:rPr>
            <a:t>取引先選定</a:t>
          </a:r>
          <a:endParaRPr lang="en-US">
            <a:solidFill>
              <a:sysClr val="windowText" lastClr="000000"/>
            </a:solidFill>
          </a:endParaRPr>
        </a:p>
      </dgm:t>
    </dgm:pt>
    <dgm:pt modelId="{82A7E2A7-0F3A-4CF1-BF8D-E751785F6467}" type="parTrans" cxnId="{41432BA0-1FAB-4AB3-8192-22D8F6B26980}">
      <dgm:prSet/>
      <dgm:spPr/>
      <dgm:t>
        <a:bodyPr/>
        <a:lstStyle/>
        <a:p>
          <a:endParaRPr lang="en-US">
            <a:solidFill>
              <a:sysClr val="windowText" lastClr="000000"/>
            </a:solidFill>
          </a:endParaRPr>
        </a:p>
      </dgm:t>
    </dgm:pt>
    <dgm:pt modelId="{F0B02EE8-CEFF-4619-BAE0-A849F8ED9292}" type="sibTrans" cxnId="{41432BA0-1FAB-4AB3-8192-22D8F6B26980}">
      <dgm:prSet/>
      <dgm:spPr/>
      <dgm:t>
        <a:bodyPr/>
        <a:lstStyle/>
        <a:p>
          <a:endParaRPr lang="en-US">
            <a:solidFill>
              <a:sysClr val="windowText" lastClr="000000"/>
            </a:solidFill>
          </a:endParaRPr>
        </a:p>
      </dgm:t>
    </dgm:pt>
    <dgm:pt modelId="{AF33B11A-4096-4B00-A179-8ED376AB52D0}">
      <dgm:prSet phldrT="[Text]"/>
      <dgm:spPr>
        <a:solidFill>
          <a:srgbClr val="92D050"/>
        </a:solidFill>
      </dgm:spPr>
      <dgm:t>
        <a:bodyPr/>
        <a:lstStyle/>
        <a:p>
          <a:r>
            <a:rPr lang="vi-VN">
              <a:solidFill>
                <a:sysClr val="windowText" lastClr="000000"/>
              </a:solidFill>
            </a:rPr>
            <a:t>6.Yêu cầu hàng hóa</a:t>
          </a:r>
          <a:endParaRPr lang="en-US">
            <a:solidFill>
              <a:sysClr val="windowText" lastClr="000000"/>
            </a:solidFill>
          </a:endParaRPr>
        </a:p>
        <a:p>
          <a:r>
            <a:rPr lang="ja-JP" altLang="en-US">
              <a:solidFill>
                <a:sysClr val="windowText" lastClr="000000"/>
              </a:solidFill>
            </a:rPr>
            <a:t>物品依頼書発行</a:t>
          </a:r>
          <a:endParaRPr lang="en-US">
            <a:solidFill>
              <a:sysClr val="windowText" lastClr="000000"/>
            </a:solidFill>
          </a:endParaRPr>
        </a:p>
      </dgm:t>
    </dgm:pt>
    <dgm:pt modelId="{E275FBDA-33ED-4B19-A3BB-07DC4F1AE0C3}" type="parTrans" cxnId="{064A7169-6908-4F7D-8A58-586D45211471}">
      <dgm:prSet/>
      <dgm:spPr/>
      <dgm:t>
        <a:bodyPr/>
        <a:lstStyle/>
        <a:p>
          <a:endParaRPr lang="en-US"/>
        </a:p>
      </dgm:t>
    </dgm:pt>
    <dgm:pt modelId="{05BAB150-E1FD-4430-A4C1-706F29F59922}" type="sibTrans" cxnId="{064A7169-6908-4F7D-8A58-586D45211471}">
      <dgm:prSet/>
      <dgm:spPr/>
      <dgm:t>
        <a:bodyPr/>
        <a:lstStyle/>
        <a:p>
          <a:endParaRPr lang="en-US"/>
        </a:p>
      </dgm:t>
    </dgm:pt>
    <dgm:pt modelId="{67C91D6C-7989-4A81-9159-C9E1DC9B2ACE}">
      <dgm:prSet phldrT="[Text]"/>
      <dgm:spPr>
        <a:solidFill>
          <a:srgbClr val="92D050"/>
        </a:solidFill>
      </dgm:spPr>
      <dgm:t>
        <a:bodyPr/>
        <a:lstStyle/>
        <a:p>
          <a:r>
            <a:rPr lang="vi-VN">
              <a:solidFill>
                <a:sysClr val="windowText" lastClr="000000"/>
              </a:solidFill>
            </a:rPr>
            <a:t>7.Phát hành PO</a:t>
          </a:r>
          <a:endParaRPr lang="en-US">
            <a:solidFill>
              <a:sysClr val="windowText" lastClr="000000"/>
            </a:solidFill>
          </a:endParaRPr>
        </a:p>
        <a:p>
          <a:r>
            <a:rPr lang="en-US" altLang="ja-JP">
              <a:solidFill>
                <a:sysClr val="windowText" lastClr="000000"/>
              </a:solidFill>
            </a:rPr>
            <a:t>PO</a:t>
          </a:r>
          <a:r>
            <a:rPr lang="ja-JP" altLang="en-US">
              <a:solidFill>
                <a:sysClr val="windowText" lastClr="000000"/>
              </a:solidFill>
            </a:rPr>
            <a:t>発行</a:t>
          </a:r>
          <a:endParaRPr lang="en-US">
            <a:solidFill>
              <a:sysClr val="windowText" lastClr="000000"/>
            </a:solidFill>
          </a:endParaRPr>
        </a:p>
      </dgm:t>
    </dgm:pt>
    <dgm:pt modelId="{08F26DC6-C005-4A2C-AFB7-48F02BA9A5E0}" type="parTrans" cxnId="{7D58AA14-4F99-4D66-9D11-636C404CFE21}">
      <dgm:prSet/>
      <dgm:spPr/>
      <dgm:t>
        <a:bodyPr/>
        <a:lstStyle/>
        <a:p>
          <a:endParaRPr lang="en-US"/>
        </a:p>
      </dgm:t>
    </dgm:pt>
    <dgm:pt modelId="{62124775-F26F-4F0E-A956-6D5E0CDCFC57}" type="sibTrans" cxnId="{7D58AA14-4F99-4D66-9D11-636C404CFE21}">
      <dgm:prSet/>
      <dgm:spPr/>
      <dgm:t>
        <a:bodyPr/>
        <a:lstStyle/>
        <a:p>
          <a:endParaRPr lang="en-US"/>
        </a:p>
      </dgm:t>
    </dgm:pt>
    <dgm:pt modelId="{1C2A1511-CC72-43FD-93FE-A92A1E33C1C0}">
      <dgm:prSet phldrT="[Text]"/>
      <dgm:spPr>
        <a:solidFill>
          <a:srgbClr val="00B0F0"/>
        </a:solidFill>
      </dgm:spPr>
      <dgm:t>
        <a:bodyPr/>
        <a:lstStyle/>
        <a:p>
          <a:r>
            <a:rPr lang="vi-VN">
              <a:solidFill>
                <a:sysClr val="windowText" lastClr="000000"/>
              </a:solidFill>
            </a:rPr>
            <a:t>8.Quản lý giao hàng</a:t>
          </a:r>
          <a:endParaRPr lang="en-US">
            <a:solidFill>
              <a:sysClr val="windowText" lastClr="000000"/>
            </a:solidFill>
          </a:endParaRPr>
        </a:p>
        <a:p>
          <a:r>
            <a:rPr lang="ja-JP" altLang="en-US">
              <a:solidFill>
                <a:sysClr val="windowText" lastClr="000000"/>
              </a:solidFill>
            </a:rPr>
            <a:t>納期管理</a:t>
          </a:r>
          <a:endParaRPr lang="en-US">
            <a:solidFill>
              <a:sysClr val="windowText" lastClr="000000"/>
            </a:solidFill>
          </a:endParaRPr>
        </a:p>
      </dgm:t>
    </dgm:pt>
    <dgm:pt modelId="{3A3AD58B-80F4-4078-8CBE-50B4C9951624}" type="parTrans" cxnId="{D62BD1BA-5FA3-4181-AD62-A31E6155A508}">
      <dgm:prSet/>
      <dgm:spPr/>
      <dgm:t>
        <a:bodyPr/>
        <a:lstStyle/>
        <a:p>
          <a:endParaRPr lang="en-US"/>
        </a:p>
      </dgm:t>
    </dgm:pt>
    <dgm:pt modelId="{A45D497B-BA06-483C-A60E-8CCD84CC6CCF}" type="sibTrans" cxnId="{D62BD1BA-5FA3-4181-AD62-A31E6155A508}">
      <dgm:prSet/>
      <dgm:spPr/>
      <dgm:t>
        <a:bodyPr/>
        <a:lstStyle/>
        <a:p>
          <a:endParaRPr lang="en-US"/>
        </a:p>
      </dgm:t>
    </dgm:pt>
    <dgm:pt modelId="{8E5B3C73-31A1-4BCB-A27F-AF3CEABD36E2}">
      <dgm:prSet phldrT="[Text]"/>
      <dgm:spPr>
        <a:solidFill>
          <a:schemeClr val="accent4">
            <a:lumMod val="60000"/>
            <a:lumOff val="40000"/>
          </a:schemeClr>
        </a:solidFill>
      </dgm:spPr>
      <dgm:t>
        <a:bodyPr/>
        <a:lstStyle/>
        <a:p>
          <a:r>
            <a:rPr lang="vi-VN">
              <a:solidFill>
                <a:sysClr val="windowText" lastClr="000000"/>
              </a:solidFill>
            </a:rPr>
            <a:t>10.Quản lý kho</a:t>
          </a:r>
          <a:endParaRPr lang="en-US">
            <a:solidFill>
              <a:sysClr val="windowText" lastClr="000000"/>
            </a:solidFill>
          </a:endParaRPr>
        </a:p>
        <a:p>
          <a:r>
            <a:rPr lang="ja-JP" altLang="en-US">
              <a:solidFill>
                <a:sysClr val="windowText" lastClr="000000"/>
              </a:solidFill>
            </a:rPr>
            <a:t>在庫管理</a:t>
          </a:r>
          <a:endParaRPr lang="en-US">
            <a:solidFill>
              <a:sysClr val="windowText" lastClr="000000"/>
            </a:solidFill>
          </a:endParaRPr>
        </a:p>
      </dgm:t>
    </dgm:pt>
    <dgm:pt modelId="{DCAF8B5B-EA29-4657-A88A-0F0968E49636}" type="parTrans" cxnId="{5711A6DD-E5A9-49F2-BB60-5692A9765D5D}">
      <dgm:prSet/>
      <dgm:spPr/>
      <dgm:t>
        <a:bodyPr/>
        <a:lstStyle/>
        <a:p>
          <a:endParaRPr lang="en-US"/>
        </a:p>
      </dgm:t>
    </dgm:pt>
    <dgm:pt modelId="{38DD4D07-D657-49FD-85B1-9346E4128113}" type="sibTrans" cxnId="{5711A6DD-E5A9-49F2-BB60-5692A9765D5D}">
      <dgm:prSet/>
      <dgm:spPr/>
      <dgm:t>
        <a:bodyPr/>
        <a:lstStyle/>
        <a:p>
          <a:endParaRPr lang="en-US"/>
        </a:p>
      </dgm:t>
    </dgm:pt>
    <dgm:pt modelId="{826049C8-8E80-4FB9-9906-7D472E41C370}" type="pres">
      <dgm:prSet presAssocID="{7419A828-EC6F-4E4D-93A0-04EB3426E198}" presName="rootnode" presStyleCnt="0">
        <dgm:presLayoutVars>
          <dgm:chMax/>
          <dgm:chPref/>
          <dgm:dir/>
          <dgm:animLvl val="lvl"/>
        </dgm:presLayoutVars>
      </dgm:prSet>
      <dgm:spPr/>
    </dgm:pt>
    <dgm:pt modelId="{9774C75D-12AD-494C-AA0A-1A860E14AFCB}" type="pres">
      <dgm:prSet presAssocID="{6047FD8F-286F-41A7-A293-8EF2C2641AE2}" presName="composite" presStyleCnt="0"/>
      <dgm:spPr/>
    </dgm:pt>
    <dgm:pt modelId="{F084EBE2-0ACE-46A1-AE96-1E6F05DE18CF}" type="pres">
      <dgm:prSet presAssocID="{6047FD8F-286F-41A7-A293-8EF2C2641AE2}" presName="bentUpArrow1" presStyleLbl="alignImgPlace1" presStyleIdx="0" presStyleCnt="8" custScaleX="44621"/>
      <dgm:spPr>
        <a:solidFill>
          <a:schemeClr val="accent4">
            <a:lumMod val="75000"/>
          </a:schemeClr>
        </a:solidFill>
      </dgm:spPr>
    </dgm:pt>
    <dgm:pt modelId="{7B1D7956-428C-4757-A95C-1CAB565FB560}" type="pres">
      <dgm:prSet presAssocID="{6047FD8F-286F-41A7-A293-8EF2C2641AE2}" presName="ParentText" presStyleLbl="node1" presStyleIdx="0" presStyleCnt="9" custScaleX="228095">
        <dgm:presLayoutVars>
          <dgm:chMax val="1"/>
          <dgm:chPref val="1"/>
          <dgm:bulletEnabled val="1"/>
        </dgm:presLayoutVars>
      </dgm:prSet>
      <dgm:spPr/>
    </dgm:pt>
    <dgm:pt modelId="{AF078F18-F734-43FD-A898-F5E7970C38AE}" type="pres">
      <dgm:prSet presAssocID="{6047FD8F-286F-41A7-A293-8EF2C2641AE2}" presName="ChildText" presStyleLbl="revTx" presStyleIdx="0" presStyleCnt="8">
        <dgm:presLayoutVars>
          <dgm:chMax val="0"/>
          <dgm:chPref val="0"/>
          <dgm:bulletEnabled val="1"/>
        </dgm:presLayoutVars>
      </dgm:prSet>
      <dgm:spPr/>
    </dgm:pt>
    <dgm:pt modelId="{16D2378A-434B-4504-BE37-F2D542ACF2D2}" type="pres">
      <dgm:prSet presAssocID="{CF180FF8-DC72-4AF7-8700-BF1607AC421F}" presName="sibTrans" presStyleCnt="0"/>
      <dgm:spPr/>
    </dgm:pt>
    <dgm:pt modelId="{EEAE824C-C9F4-4893-990E-223680BB236F}" type="pres">
      <dgm:prSet presAssocID="{6A25681B-64AC-4ACD-BD68-3815DD7DA8AF}" presName="composite" presStyleCnt="0"/>
      <dgm:spPr/>
    </dgm:pt>
    <dgm:pt modelId="{2B8DC476-0875-4264-93DE-1113FAB6F086}" type="pres">
      <dgm:prSet presAssocID="{6A25681B-64AC-4ACD-BD68-3815DD7DA8AF}" presName="bentUpArrow1" presStyleLbl="alignImgPlace1" presStyleIdx="1" presStyleCnt="8" custScaleX="44621"/>
      <dgm:spPr>
        <a:solidFill>
          <a:schemeClr val="accent4">
            <a:lumMod val="75000"/>
          </a:schemeClr>
        </a:solidFill>
      </dgm:spPr>
    </dgm:pt>
    <dgm:pt modelId="{CA3D9E30-6EB0-4F1B-8612-60A8D029D26A}" type="pres">
      <dgm:prSet presAssocID="{6A25681B-64AC-4ACD-BD68-3815DD7DA8AF}" presName="ParentText" presStyleLbl="node1" presStyleIdx="1" presStyleCnt="9" custScaleX="228095">
        <dgm:presLayoutVars>
          <dgm:chMax val="1"/>
          <dgm:chPref val="1"/>
          <dgm:bulletEnabled val="1"/>
        </dgm:presLayoutVars>
      </dgm:prSet>
      <dgm:spPr/>
    </dgm:pt>
    <dgm:pt modelId="{DB516BFF-164A-4155-8A1B-31804717184F}" type="pres">
      <dgm:prSet presAssocID="{6A25681B-64AC-4ACD-BD68-3815DD7DA8AF}" presName="ChildText" presStyleLbl="revTx" presStyleIdx="1" presStyleCnt="8">
        <dgm:presLayoutVars>
          <dgm:chMax val="0"/>
          <dgm:chPref val="0"/>
          <dgm:bulletEnabled val="1"/>
        </dgm:presLayoutVars>
      </dgm:prSet>
      <dgm:spPr/>
    </dgm:pt>
    <dgm:pt modelId="{C83A835C-1B3E-485A-A71D-8BB8BD180A49}" type="pres">
      <dgm:prSet presAssocID="{CFCD49B4-D5B9-42A4-B415-B0E53780E3E1}" presName="sibTrans" presStyleCnt="0"/>
      <dgm:spPr/>
    </dgm:pt>
    <dgm:pt modelId="{DCDA0EDB-0948-4606-80CC-D4A0C5769BE3}" type="pres">
      <dgm:prSet presAssocID="{A3912955-5AC5-4BA2-B2B3-A0A8A719E863}" presName="composite" presStyleCnt="0"/>
      <dgm:spPr/>
    </dgm:pt>
    <dgm:pt modelId="{177E33E9-AF69-4966-BF17-CE4E0F33D279}" type="pres">
      <dgm:prSet presAssocID="{A3912955-5AC5-4BA2-B2B3-A0A8A719E863}" presName="bentUpArrow1" presStyleLbl="alignImgPlace1" presStyleIdx="2" presStyleCnt="8" custScaleX="44621"/>
      <dgm:spPr>
        <a:solidFill>
          <a:schemeClr val="accent4">
            <a:lumMod val="75000"/>
          </a:schemeClr>
        </a:solidFill>
      </dgm:spPr>
    </dgm:pt>
    <dgm:pt modelId="{F256E204-9FB9-478C-AAA6-B814D6098121}" type="pres">
      <dgm:prSet presAssocID="{A3912955-5AC5-4BA2-B2B3-A0A8A719E863}" presName="ParentText" presStyleLbl="node1" presStyleIdx="2" presStyleCnt="9" custScaleX="228095">
        <dgm:presLayoutVars>
          <dgm:chMax val="1"/>
          <dgm:chPref val="1"/>
          <dgm:bulletEnabled val="1"/>
        </dgm:presLayoutVars>
      </dgm:prSet>
      <dgm:spPr/>
    </dgm:pt>
    <dgm:pt modelId="{1D34DAC2-DCF3-4B3D-9D59-3E5711506AEF}" type="pres">
      <dgm:prSet presAssocID="{A3912955-5AC5-4BA2-B2B3-A0A8A719E863}" presName="ChildText" presStyleLbl="revTx" presStyleIdx="2" presStyleCnt="8">
        <dgm:presLayoutVars>
          <dgm:chMax val="0"/>
          <dgm:chPref val="0"/>
          <dgm:bulletEnabled val="1"/>
        </dgm:presLayoutVars>
      </dgm:prSet>
      <dgm:spPr/>
    </dgm:pt>
    <dgm:pt modelId="{FDF93C5D-1319-4EDA-8EFF-06BBE8E5D97E}" type="pres">
      <dgm:prSet presAssocID="{12A5919E-8757-49C1-A2F3-9E090BDF9093}" presName="sibTrans" presStyleCnt="0"/>
      <dgm:spPr/>
    </dgm:pt>
    <dgm:pt modelId="{B19056DB-8974-4326-858C-79516DDD936A}" type="pres">
      <dgm:prSet presAssocID="{20AF755B-2081-4AAA-A85C-A4941FE46821}" presName="composite" presStyleCnt="0"/>
      <dgm:spPr/>
    </dgm:pt>
    <dgm:pt modelId="{7B290980-2672-430D-A18B-F96479F2ADAC}" type="pres">
      <dgm:prSet presAssocID="{20AF755B-2081-4AAA-A85C-A4941FE46821}" presName="bentUpArrow1" presStyleLbl="alignImgPlace1" presStyleIdx="3" presStyleCnt="8" custScaleX="44621"/>
      <dgm:spPr>
        <a:solidFill>
          <a:schemeClr val="accent4">
            <a:lumMod val="75000"/>
          </a:schemeClr>
        </a:solidFill>
      </dgm:spPr>
    </dgm:pt>
    <dgm:pt modelId="{DC337469-E9E0-4DAD-80E1-D3FE13916E75}" type="pres">
      <dgm:prSet presAssocID="{20AF755B-2081-4AAA-A85C-A4941FE46821}" presName="ParentText" presStyleLbl="node1" presStyleIdx="3" presStyleCnt="9" custScaleX="228095">
        <dgm:presLayoutVars>
          <dgm:chMax val="1"/>
          <dgm:chPref val="1"/>
          <dgm:bulletEnabled val="1"/>
        </dgm:presLayoutVars>
      </dgm:prSet>
      <dgm:spPr/>
    </dgm:pt>
    <dgm:pt modelId="{6B12BD0E-55AF-4DC2-83C5-8C06DB4632A7}" type="pres">
      <dgm:prSet presAssocID="{20AF755B-2081-4AAA-A85C-A4941FE46821}" presName="ChildText" presStyleLbl="revTx" presStyleIdx="3" presStyleCnt="8">
        <dgm:presLayoutVars>
          <dgm:chMax val="0"/>
          <dgm:chPref val="0"/>
          <dgm:bulletEnabled val="1"/>
        </dgm:presLayoutVars>
      </dgm:prSet>
      <dgm:spPr/>
    </dgm:pt>
    <dgm:pt modelId="{B5BDF44A-BBCE-4EC5-8F48-9A95BF1F1887}" type="pres">
      <dgm:prSet presAssocID="{570F9089-1004-4A97-9938-4D88A3DD5143}" presName="sibTrans" presStyleCnt="0"/>
      <dgm:spPr/>
    </dgm:pt>
    <dgm:pt modelId="{27650BC8-F0D6-4F4E-A2AB-311C5933DB45}" type="pres">
      <dgm:prSet presAssocID="{37CC10A6-365E-46B4-B046-D325EF726AB4}" presName="composite" presStyleCnt="0"/>
      <dgm:spPr/>
    </dgm:pt>
    <dgm:pt modelId="{281D5383-287E-40FF-B4CA-6B4731785687}" type="pres">
      <dgm:prSet presAssocID="{37CC10A6-365E-46B4-B046-D325EF726AB4}" presName="bentUpArrow1" presStyleLbl="alignImgPlace1" presStyleIdx="4" presStyleCnt="8" custScaleX="44621"/>
      <dgm:spPr>
        <a:solidFill>
          <a:schemeClr val="accent4">
            <a:lumMod val="75000"/>
          </a:schemeClr>
        </a:solidFill>
      </dgm:spPr>
    </dgm:pt>
    <dgm:pt modelId="{3E341FB0-7A80-4910-9F8E-55CDB6F53C6A}" type="pres">
      <dgm:prSet presAssocID="{37CC10A6-365E-46B4-B046-D325EF726AB4}" presName="ParentText" presStyleLbl="node1" presStyleIdx="4" presStyleCnt="9" custScaleX="228095">
        <dgm:presLayoutVars>
          <dgm:chMax val="1"/>
          <dgm:chPref val="1"/>
          <dgm:bulletEnabled val="1"/>
        </dgm:presLayoutVars>
      </dgm:prSet>
      <dgm:spPr/>
    </dgm:pt>
    <dgm:pt modelId="{E3BF490B-6214-4A74-85A6-A50670C0BEE8}" type="pres">
      <dgm:prSet presAssocID="{37CC10A6-365E-46B4-B046-D325EF726AB4}" presName="ChildText" presStyleLbl="revTx" presStyleIdx="4" presStyleCnt="8">
        <dgm:presLayoutVars>
          <dgm:chMax val="0"/>
          <dgm:chPref val="0"/>
          <dgm:bulletEnabled val="1"/>
        </dgm:presLayoutVars>
      </dgm:prSet>
      <dgm:spPr/>
    </dgm:pt>
    <dgm:pt modelId="{B45F2C7D-483A-4813-8DF1-B489C93A7AC3}" type="pres">
      <dgm:prSet presAssocID="{F0B02EE8-CEFF-4619-BAE0-A849F8ED9292}" presName="sibTrans" presStyleCnt="0"/>
      <dgm:spPr/>
    </dgm:pt>
    <dgm:pt modelId="{BFE5D6F9-FBCD-42D0-9611-231F2B99C017}" type="pres">
      <dgm:prSet presAssocID="{AF33B11A-4096-4B00-A179-8ED376AB52D0}" presName="composite" presStyleCnt="0"/>
      <dgm:spPr/>
    </dgm:pt>
    <dgm:pt modelId="{C218A88A-5CB1-471A-9442-0CAF2F0DCF52}" type="pres">
      <dgm:prSet presAssocID="{AF33B11A-4096-4B00-A179-8ED376AB52D0}" presName="bentUpArrow1" presStyleLbl="alignImgPlace1" presStyleIdx="5" presStyleCnt="8" custScaleX="44621"/>
      <dgm:spPr>
        <a:solidFill>
          <a:schemeClr val="accent4">
            <a:lumMod val="75000"/>
          </a:schemeClr>
        </a:solidFill>
      </dgm:spPr>
    </dgm:pt>
    <dgm:pt modelId="{D7DCE51C-A208-4D3C-946C-213844E9A968}" type="pres">
      <dgm:prSet presAssocID="{AF33B11A-4096-4B00-A179-8ED376AB52D0}" presName="ParentText" presStyleLbl="node1" presStyleIdx="5" presStyleCnt="9" custScaleX="228095">
        <dgm:presLayoutVars>
          <dgm:chMax val="1"/>
          <dgm:chPref val="1"/>
          <dgm:bulletEnabled val="1"/>
        </dgm:presLayoutVars>
      </dgm:prSet>
      <dgm:spPr/>
    </dgm:pt>
    <dgm:pt modelId="{21B1098C-42BE-481F-B5FC-14FF230D84CC}" type="pres">
      <dgm:prSet presAssocID="{AF33B11A-4096-4B00-A179-8ED376AB52D0}" presName="ChildText" presStyleLbl="revTx" presStyleIdx="5" presStyleCnt="8">
        <dgm:presLayoutVars>
          <dgm:chMax val="0"/>
          <dgm:chPref val="0"/>
          <dgm:bulletEnabled val="1"/>
        </dgm:presLayoutVars>
      </dgm:prSet>
      <dgm:spPr/>
    </dgm:pt>
    <dgm:pt modelId="{32E01259-B98C-4321-AF96-C887B29D6C1E}" type="pres">
      <dgm:prSet presAssocID="{05BAB150-E1FD-4430-A4C1-706F29F59922}" presName="sibTrans" presStyleCnt="0"/>
      <dgm:spPr/>
    </dgm:pt>
    <dgm:pt modelId="{580C0528-840C-4BA9-8C44-BF1B8E318FC9}" type="pres">
      <dgm:prSet presAssocID="{67C91D6C-7989-4A81-9159-C9E1DC9B2ACE}" presName="composite" presStyleCnt="0"/>
      <dgm:spPr/>
    </dgm:pt>
    <dgm:pt modelId="{A9BBFD7F-BB87-4719-A385-708C1DC60B70}" type="pres">
      <dgm:prSet presAssocID="{67C91D6C-7989-4A81-9159-C9E1DC9B2ACE}" presName="bentUpArrow1" presStyleLbl="alignImgPlace1" presStyleIdx="6" presStyleCnt="8" custScaleX="44621"/>
      <dgm:spPr>
        <a:solidFill>
          <a:schemeClr val="accent4">
            <a:lumMod val="75000"/>
          </a:schemeClr>
        </a:solidFill>
      </dgm:spPr>
    </dgm:pt>
    <dgm:pt modelId="{A87DC355-7BA0-4D36-8F8B-B0855558E0B3}" type="pres">
      <dgm:prSet presAssocID="{67C91D6C-7989-4A81-9159-C9E1DC9B2ACE}" presName="ParentText" presStyleLbl="node1" presStyleIdx="6" presStyleCnt="9" custScaleX="228095">
        <dgm:presLayoutVars>
          <dgm:chMax val="1"/>
          <dgm:chPref val="1"/>
          <dgm:bulletEnabled val="1"/>
        </dgm:presLayoutVars>
      </dgm:prSet>
      <dgm:spPr/>
    </dgm:pt>
    <dgm:pt modelId="{469469FE-1621-466D-B50A-8F85521E2453}" type="pres">
      <dgm:prSet presAssocID="{67C91D6C-7989-4A81-9159-C9E1DC9B2ACE}" presName="ChildText" presStyleLbl="revTx" presStyleIdx="6" presStyleCnt="8">
        <dgm:presLayoutVars>
          <dgm:chMax val="0"/>
          <dgm:chPref val="0"/>
          <dgm:bulletEnabled val="1"/>
        </dgm:presLayoutVars>
      </dgm:prSet>
      <dgm:spPr/>
    </dgm:pt>
    <dgm:pt modelId="{030DC4A1-B68C-4AAD-A625-BC0F46F0BCA0}" type="pres">
      <dgm:prSet presAssocID="{62124775-F26F-4F0E-A956-6D5E0CDCFC57}" presName="sibTrans" presStyleCnt="0"/>
      <dgm:spPr/>
    </dgm:pt>
    <dgm:pt modelId="{706150B4-3FB2-4B48-99B7-B18C10A4B88F}" type="pres">
      <dgm:prSet presAssocID="{1C2A1511-CC72-43FD-93FE-A92A1E33C1C0}" presName="composite" presStyleCnt="0"/>
      <dgm:spPr/>
    </dgm:pt>
    <dgm:pt modelId="{70102375-3BC7-49A8-8D9F-A80B249D3438}" type="pres">
      <dgm:prSet presAssocID="{1C2A1511-CC72-43FD-93FE-A92A1E33C1C0}" presName="bentUpArrow1" presStyleLbl="alignImgPlace1" presStyleIdx="7" presStyleCnt="8" custScaleX="44621"/>
      <dgm:spPr>
        <a:solidFill>
          <a:schemeClr val="accent4">
            <a:lumMod val="75000"/>
          </a:schemeClr>
        </a:solidFill>
      </dgm:spPr>
    </dgm:pt>
    <dgm:pt modelId="{55A07248-2546-4182-9280-48DDEDAA61BE}" type="pres">
      <dgm:prSet presAssocID="{1C2A1511-CC72-43FD-93FE-A92A1E33C1C0}" presName="ParentText" presStyleLbl="node1" presStyleIdx="7" presStyleCnt="9" custScaleX="228095">
        <dgm:presLayoutVars>
          <dgm:chMax val="1"/>
          <dgm:chPref val="1"/>
          <dgm:bulletEnabled val="1"/>
        </dgm:presLayoutVars>
      </dgm:prSet>
      <dgm:spPr/>
    </dgm:pt>
    <dgm:pt modelId="{01CD11ED-F6B4-443D-8AFA-B11130B13914}" type="pres">
      <dgm:prSet presAssocID="{1C2A1511-CC72-43FD-93FE-A92A1E33C1C0}" presName="ChildText" presStyleLbl="revTx" presStyleIdx="7" presStyleCnt="8">
        <dgm:presLayoutVars>
          <dgm:chMax val="0"/>
          <dgm:chPref val="0"/>
          <dgm:bulletEnabled val="1"/>
        </dgm:presLayoutVars>
      </dgm:prSet>
      <dgm:spPr/>
    </dgm:pt>
    <dgm:pt modelId="{9D5AE87A-E071-428F-95E5-CA1602314577}" type="pres">
      <dgm:prSet presAssocID="{A45D497B-BA06-483C-A60E-8CCD84CC6CCF}" presName="sibTrans" presStyleCnt="0"/>
      <dgm:spPr/>
    </dgm:pt>
    <dgm:pt modelId="{A1374754-4202-4E8F-A1C4-AE19376B8543}" type="pres">
      <dgm:prSet presAssocID="{8E5B3C73-31A1-4BCB-A27F-AF3CEABD36E2}" presName="composite" presStyleCnt="0"/>
      <dgm:spPr/>
    </dgm:pt>
    <dgm:pt modelId="{E50AB9B8-3AA1-4B33-AEFC-7963C4C62863}" type="pres">
      <dgm:prSet presAssocID="{8E5B3C73-31A1-4BCB-A27F-AF3CEABD36E2}" presName="ParentText" presStyleLbl="node1" presStyleIdx="8" presStyleCnt="9" custScaleX="228095">
        <dgm:presLayoutVars>
          <dgm:chMax val="1"/>
          <dgm:chPref val="1"/>
          <dgm:bulletEnabled val="1"/>
        </dgm:presLayoutVars>
      </dgm:prSet>
      <dgm:spPr/>
    </dgm:pt>
  </dgm:ptLst>
  <dgm:cxnLst>
    <dgm:cxn modelId="{A1067D0E-4480-4DEE-9BAB-CE0A1733B08C}" type="presOf" srcId="{6A25681B-64AC-4ACD-BD68-3815DD7DA8AF}" destId="{CA3D9E30-6EB0-4F1B-8612-60A8D029D26A}" srcOrd="0" destOrd="0" presId="urn:microsoft.com/office/officeart/2005/8/layout/StepDownProcess"/>
    <dgm:cxn modelId="{7D58AA14-4F99-4D66-9D11-636C404CFE21}" srcId="{7419A828-EC6F-4E4D-93A0-04EB3426E198}" destId="{67C91D6C-7989-4A81-9159-C9E1DC9B2ACE}" srcOrd="6" destOrd="0" parTransId="{08F26DC6-C005-4A2C-AFB7-48F02BA9A5E0}" sibTransId="{62124775-F26F-4F0E-A956-6D5E0CDCFC57}"/>
    <dgm:cxn modelId="{77221C5E-1B5B-4D0C-AE3F-6CDB1433CCB2}" type="presOf" srcId="{37CC10A6-365E-46B4-B046-D325EF726AB4}" destId="{3E341FB0-7A80-4910-9F8E-55CDB6F53C6A}" srcOrd="0" destOrd="0" presId="urn:microsoft.com/office/officeart/2005/8/layout/StepDownProcess"/>
    <dgm:cxn modelId="{1C302344-04B3-4FEF-A186-B73AF2ACB4E9}" type="presOf" srcId="{A3912955-5AC5-4BA2-B2B3-A0A8A719E863}" destId="{F256E204-9FB9-478C-AAA6-B814D6098121}" srcOrd="0" destOrd="0" presId="urn:microsoft.com/office/officeart/2005/8/layout/StepDownProcess"/>
    <dgm:cxn modelId="{DBF24364-3EEB-4A89-BBB6-5E4D156BE224}" type="presOf" srcId="{8E5B3C73-31A1-4BCB-A27F-AF3CEABD36E2}" destId="{E50AB9B8-3AA1-4B33-AEFC-7963C4C62863}" srcOrd="0" destOrd="0" presId="urn:microsoft.com/office/officeart/2005/8/layout/StepDownProcess"/>
    <dgm:cxn modelId="{064A7169-6908-4F7D-8A58-586D45211471}" srcId="{7419A828-EC6F-4E4D-93A0-04EB3426E198}" destId="{AF33B11A-4096-4B00-A179-8ED376AB52D0}" srcOrd="5" destOrd="0" parTransId="{E275FBDA-33ED-4B19-A3BB-07DC4F1AE0C3}" sibTransId="{05BAB150-E1FD-4430-A4C1-706F29F59922}"/>
    <dgm:cxn modelId="{F2326F6C-C751-48FC-8432-BAA433F96479}" type="presOf" srcId="{20AF755B-2081-4AAA-A85C-A4941FE46821}" destId="{DC337469-E9E0-4DAD-80E1-D3FE13916E75}" srcOrd="0" destOrd="0" presId="urn:microsoft.com/office/officeart/2005/8/layout/StepDownProcess"/>
    <dgm:cxn modelId="{33687370-FAB3-46D6-9049-915FFD9A29E5}" type="presOf" srcId="{1C2A1511-CC72-43FD-93FE-A92A1E33C1C0}" destId="{55A07248-2546-4182-9280-48DDEDAA61BE}" srcOrd="0" destOrd="0" presId="urn:microsoft.com/office/officeart/2005/8/layout/StepDownProcess"/>
    <dgm:cxn modelId="{80683871-CAE3-494A-A55A-D012E55A23B7}" srcId="{7419A828-EC6F-4E4D-93A0-04EB3426E198}" destId="{A3912955-5AC5-4BA2-B2B3-A0A8A719E863}" srcOrd="2" destOrd="0" parTransId="{B1171D67-3BFE-4995-84BC-DEDD787096C8}" sibTransId="{12A5919E-8757-49C1-A2F3-9E090BDF9093}"/>
    <dgm:cxn modelId="{0B83CA73-3F6D-460A-A3E2-D73D2F1169C4}" srcId="{7419A828-EC6F-4E4D-93A0-04EB3426E198}" destId="{20AF755B-2081-4AAA-A85C-A4941FE46821}" srcOrd="3" destOrd="0" parTransId="{0366A11D-F0B9-47E9-89DB-CC7FAE679B89}" sibTransId="{570F9089-1004-4A97-9938-4D88A3DD5143}"/>
    <dgm:cxn modelId="{458B3E80-C96B-4D3B-98B5-E88B4DA71073}" type="presOf" srcId="{67C91D6C-7989-4A81-9159-C9E1DC9B2ACE}" destId="{A87DC355-7BA0-4D36-8F8B-B0855558E0B3}" srcOrd="0" destOrd="0" presId="urn:microsoft.com/office/officeart/2005/8/layout/StepDownProcess"/>
    <dgm:cxn modelId="{43DEDC95-E55B-477F-B3DA-D88A9CCC81FC}" type="presOf" srcId="{AF33B11A-4096-4B00-A179-8ED376AB52D0}" destId="{D7DCE51C-A208-4D3C-946C-213844E9A968}" srcOrd="0" destOrd="0" presId="urn:microsoft.com/office/officeart/2005/8/layout/StepDownProcess"/>
    <dgm:cxn modelId="{41432BA0-1FAB-4AB3-8192-22D8F6B26980}" srcId="{7419A828-EC6F-4E4D-93A0-04EB3426E198}" destId="{37CC10A6-365E-46B4-B046-D325EF726AB4}" srcOrd="4" destOrd="0" parTransId="{82A7E2A7-0F3A-4CF1-BF8D-E751785F6467}" sibTransId="{F0B02EE8-CEFF-4619-BAE0-A849F8ED9292}"/>
    <dgm:cxn modelId="{37A1ACA3-089E-4948-8FB7-B87A5DDD63B4}" type="presOf" srcId="{7419A828-EC6F-4E4D-93A0-04EB3426E198}" destId="{826049C8-8E80-4FB9-9906-7D472E41C370}" srcOrd="0" destOrd="0" presId="urn:microsoft.com/office/officeart/2005/8/layout/StepDownProcess"/>
    <dgm:cxn modelId="{191660AC-7335-4282-BD7A-AAA45C193837}" srcId="{7419A828-EC6F-4E4D-93A0-04EB3426E198}" destId="{6047FD8F-286F-41A7-A293-8EF2C2641AE2}" srcOrd="0" destOrd="0" parTransId="{AAD1D2CE-FF4C-4078-8FD4-1878159EE821}" sibTransId="{CF180FF8-DC72-4AF7-8700-BF1607AC421F}"/>
    <dgm:cxn modelId="{D62BD1BA-5FA3-4181-AD62-A31E6155A508}" srcId="{7419A828-EC6F-4E4D-93A0-04EB3426E198}" destId="{1C2A1511-CC72-43FD-93FE-A92A1E33C1C0}" srcOrd="7" destOrd="0" parTransId="{3A3AD58B-80F4-4078-8CBE-50B4C9951624}" sibTransId="{A45D497B-BA06-483C-A60E-8CCD84CC6CCF}"/>
    <dgm:cxn modelId="{032611D3-3174-433A-BEB1-0DD08A3B4C4A}" srcId="{7419A828-EC6F-4E4D-93A0-04EB3426E198}" destId="{6A25681B-64AC-4ACD-BD68-3815DD7DA8AF}" srcOrd="1" destOrd="0" parTransId="{9A561D11-BADE-4BAC-9B5E-B376E315360D}" sibTransId="{CFCD49B4-D5B9-42A4-B415-B0E53780E3E1}"/>
    <dgm:cxn modelId="{5711A6DD-E5A9-49F2-BB60-5692A9765D5D}" srcId="{7419A828-EC6F-4E4D-93A0-04EB3426E198}" destId="{8E5B3C73-31A1-4BCB-A27F-AF3CEABD36E2}" srcOrd="8" destOrd="0" parTransId="{DCAF8B5B-EA29-4657-A88A-0F0968E49636}" sibTransId="{38DD4D07-D657-49FD-85B1-9346E4128113}"/>
    <dgm:cxn modelId="{641911E8-2910-4C9D-BD95-BDE9632FC2D1}" type="presOf" srcId="{6047FD8F-286F-41A7-A293-8EF2C2641AE2}" destId="{7B1D7956-428C-4757-A95C-1CAB565FB560}" srcOrd="0" destOrd="0" presId="urn:microsoft.com/office/officeart/2005/8/layout/StepDownProcess"/>
    <dgm:cxn modelId="{6D91C10B-A62F-4242-9758-B2C12328B48C}" type="presParOf" srcId="{826049C8-8E80-4FB9-9906-7D472E41C370}" destId="{9774C75D-12AD-494C-AA0A-1A860E14AFCB}" srcOrd="0" destOrd="0" presId="urn:microsoft.com/office/officeart/2005/8/layout/StepDownProcess"/>
    <dgm:cxn modelId="{0E48A82A-8757-45B5-963E-B6384469DE98}" type="presParOf" srcId="{9774C75D-12AD-494C-AA0A-1A860E14AFCB}" destId="{F084EBE2-0ACE-46A1-AE96-1E6F05DE18CF}" srcOrd="0" destOrd="0" presId="urn:microsoft.com/office/officeart/2005/8/layout/StepDownProcess"/>
    <dgm:cxn modelId="{63A05156-1725-4ABE-9993-A663C185C94D}" type="presParOf" srcId="{9774C75D-12AD-494C-AA0A-1A860E14AFCB}" destId="{7B1D7956-428C-4757-A95C-1CAB565FB560}" srcOrd="1" destOrd="0" presId="urn:microsoft.com/office/officeart/2005/8/layout/StepDownProcess"/>
    <dgm:cxn modelId="{3DC00573-E4C6-403E-825B-71FFC495ECC6}" type="presParOf" srcId="{9774C75D-12AD-494C-AA0A-1A860E14AFCB}" destId="{AF078F18-F734-43FD-A898-F5E7970C38AE}" srcOrd="2" destOrd="0" presId="urn:microsoft.com/office/officeart/2005/8/layout/StepDownProcess"/>
    <dgm:cxn modelId="{C3122589-BBE3-4AAC-84E1-5F11BF0E879A}" type="presParOf" srcId="{826049C8-8E80-4FB9-9906-7D472E41C370}" destId="{16D2378A-434B-4504-BE37-F2D542ACF2D2}" srcOrd="1" destOrd="0" presId="urn:microsoft.com/office/officeart/2005/8/layout/StepDownProcess"/>
    <dgm:cxn modelId="{2D4729BB-AD95-4164-84A7-A5853391A48A}" type="presParOf" srcId="{826049C8-8E80-4FB9-9906-7D472E41C370}" destId="{EEAE824C-C9F4-4893-990E-223680BB236F}" srcOrd="2" destOrd="0" presId="urn:microsoft.com/office/officeart/2005/8/layout/StepDownProcess"/>
    <dgm:cxn modelId="{B4D409B8-F429-4401-99F0-91A8B9C127ED}" type="presParOf" srcId="{EEAE824C-C9F4-4893-990E-223680BB236F}" destId="{2B8DC476-0875-4264-93DE-1113FAB6F086}" srcOrd="0" destOrd="0" presId="urn:microsoft.com/office/officeart/2005/8/layout/StepDownProcess"/>
    <dgm:cxn modelId="{3894FBE4-2E24-413E-B96A-629279BC0CCA}" type="presParOf" srcId="{EEAE824C-C9F4-4893-990E-223680BB236F}" destId="{CA3D9E30-6EB0-4F1B-8612-60A8D029D26A}" srcOrd="1" destOrd="0" presId="urn:microsoft.com/office/officeart/2005/8/layout/StepDownProcess"/>
    <dgm:cxn modelId="{0A0FCC4F-92B6-4396-93DA-58C26A5FC0D8}" type="presParOf" srcId="{EEAE824C-C9F4-4893-990E-223680BB236F}" destId="{DB516BFF-164A-4155-8A1B-31804717184F}" srcOrd="2" destOrd="0" presId="urn:microsoft.com/office/officeart/2005/8/layout/StepDownProcess"/>
    <dgm:cxn modelId="{9D8EEFE3-9263-4F61-862C-219913C81600}" type="presParOf" srcId="{826049C8-8E80-4FB9-9906-7D472E41C370}" destId="{C83A835C-1B3E-485A-A71D-8BB8BD180A49}" srcOrd="3" destOrd="0" presId="urn:microsoft.com/office/officeart/2005/8/layout/StepDownProcess"/>
    <dgm:cxn modelId="{4EEEB024-0FF8-49FD-BA41-3C4FFFB52387}" type="presParOf" srcId="{826049C8-8E80-4FB9-9906-7D472E41C370}" destId="{DCDA0EDB-0948-4606-80CC-D4A0C5769BE3}" srcOrd="4" destOrd="0" presId="urn:microsoft.com/office/officeart/2005/8/layout/StepDownProcess"/>
    <dgm:cxn modelId="{816C7DF2-0B43-41E1-916C-2FE7EF27123C}" type="presParOf" srcId="{DCDA0EDB-0948-4606-80CC-D4A0C5769BE3}" destId="{177E33E9-AF69-4966-BF17-CE4E0F33D279}" srcOrd="0" destOrd="0" presId="urn:microsoft.com/office/officeart/2005/8/layout/StepDownProcess"/>
    <dgm:cxn modelId="{5A3C33BA-603B-44D7-93AD-92D005576CD0}" type="presParOf" srcId="{DCDA0EDB-0948-4606-80CC-D4A0C5769BE3}" destId="{F256E204-9FB9-478C-AAA6-B814D6098121}" srcOrd="1" destOrd="0" presId="urn:microsoft.com/office/officeart/2005/8/layout/StepDownProcess"/>
    <dgm:cxn modelId="{032BE8D2-E594-4907-89FB-A497D6ED7B25}" type="presParOf" srcId="{DCDA0EDB-0948-4606-80CC-D4A0C5769BE3}" destId="{1D34DAC2-DCF3-4B3D-9D59-3E5711506AEF}" srcOrd="2" destOrd="0" presId="urn:microsoft.com/office/officeart/2005/8/layout/StepDownProcess"/>
    <dgm:cxn modelId="{44FABD04-5AC1-497C-9DD1-744AD53E5B67}" type="presParOf" srcId="{826049C8-8E80-4FB9-9906-7D472E41C370}" destId="{FDF93C5D-1319-4EDA-8EFF-06BBE8E5D97E}" srcOrd="5" destOrd="0" presId="urn:microsoft.com/office/officeart/2005/8/layout/StepDownProcess"/>
    <dgm:cxn modelId="{7026202E-E8E0-4133-B5E0-90E65FBA5190}" type="presParOf" srcId="{826049C8-8E80-4FB9-9906-7D472E41C370}" destId="{B19056DB-8974-4326-858C-79516DDD936A}" srcOrd="6" destOrd="0" presId="urn:microsoft.com/office/officeart/2005/8/layout/StepDownProcess"/>
    <dgm:cxn modelId="{120F9698-CA30-47F0-A5DB-B825955466DC}" type="presParOf" srcId="{B19056DB-8974-4326-858C-79516DDD936A}" destId="{7B290980-2672-430D-A18B-F96479F2ADAC}" srcOrd="0" destOrd="0" presId="urn:microsoft.com/office/officeart/2005/8/layout/StepDownProcess"/>
    <dgm:cxn modelId="{77C2CCB0-5830-43D8-9DEA-A52D1D83D1EE}" type="presParOf" srcId="{B19056DB-8974-4326-858C-79516DDD936A}" destId="{DC337469-E9E0-4DAD-80E1-D3FE13916E75}" srcOrd="1" destOrd="0" presId="urn:microsoft.com/office/officeart/2005/8/layout/StepDownProcess"/>
    <dgm:cxn modelId="{8D489E20-AEC7-473A-8D65-797C2A7EBCDE}" type="presParOf" srcId="{B19056DB-8974-4326-858C-79516DDD936A}" destId="{6B12BD0E-55AF-4DC2-83C5-8C06DB4632A7}" srcOrd="2" destOrd="0" presId="urn:microsoft.com/office/officeart/2005/8/layout/StepDownProcess"/>
    <dgm:cxn modelId="{4DC49013-196D-412A-8BB4-1E5F0BBB49AD}" type="presParOf" srcId="{826049C8-8E80-4FB9-9906-7D472E41C370}" destId="{B5BDF44A-BBCE-4EC5-8F48-9A95BF1F1887}" srcOrd="7" destOrd="0" presId="urn:microsoft.com/office/officeart/2005/8/layout/StepDownProcess"/>
    <dgm:cxn modelId="{0C4FDC3B-5CE7-4A8E-B5A2-B41C3CB6084C}" type="presParOf" srcId="{826049C8-8E80-4FB9-9906-7D472E41C370}" destId="{27650BC8-F0D6-4F4E-A2AB-311C5933DB45}" srcOrd="8" destOrd="0" presId="urn:microsoft.com/office/officeart/2005/8/layout/StepDownProcess"/>
    <dgm:cxn modelId="{E1408BA7-5902-420D-AC6F-71EA5913DB25}" type="presParOf" srcId="{27650BC8-F0D6-4F4E-A2AB-311C5933DB45}" destId="{281D5383-287E-40FF-B4CA-6B4731785687}" srcOrd="0" destOrd="0" presId="urn:microsoft.com/office/officeart/2005/8/layout/StepDownProcess"/>
    <dgm:cxn modelId="{BF61B9F6-264A-46F8-80F1-A7EF55FDEAA8}" type="presParOf" srcId="{27650BC8-F0D6-4F4E-A2AB-311C5933DB45}" destId="{3E341FB0-7A80-4910-9F8E-55CDB6F53C6A}" srcOrd="1" destOrd="0" presId="urn:microsoft.com/office/officeart/2005/8/layout/StepDownProcess"/>
    <dgm:cxn modelId="{5B37A113-4765-4B92-978E-E9D6A588C3C1}" type="presParOf" srcId="{27650BC8-F0D6-4F4E-A2AB-311C5933DB45}" destId="{E3BF490B-6214-4A74-85A6-A50670C0BEE8}" srcOrd="2" destOrd="0" presId="urn:microsoft.com/office/officeart/2005/8/layout/StepDownProcess"/>
    <dgm:cxn modelId="{2E0C83C2-64B0-413D-A78D-6AB471583515}" type="presParOf" srcId="{826049C8-8E80-4FB9-9906-7D472E41C370}" destId="{B45F2C7D-483A-4813-8DF1-B489C93A7AC3}" srcOrd="9" destOrd="0" presId="urn:microsoft.com/office/officeart/2005/8/layout/StepDownProcess"/>
    <dgm:cxn modelId="{CE098B4C-58E1-4C9B-BA60-F446A7D22E5D}" type="presParOf" srcId="{826049C8-8E80-4FB9-9906-7D472E41C370}" destId="{BFE5D6F9-FBCD-42D0-9611-231F2B99C017}" srcOrd="10" destOrd="0" presId="urn:microsoft.com/office/officeart/2005/8/layout/StepDownProcess"/>
    <dgm:cxn modelId="{174890EA-3526-4F9C-A27E-5479347993CA}" type="presParOf" srcId="{BFE5D6F9-FBCD-42D0-9611-231F2B99C017}" destId="{C218A88A-5CB1-471A-9442-0CAF2F0DCF52}" srcOrd="0" destOrd="0" presId="urn:microsoft.com/office/officeart/2005/8/layout/StepDownProcess"/>
    <dgm:cxn modelId="{8C302107-183A-489A-B863-2969B7AE4DFD}" type="presParOf" srcId="{BFE5D6F9-FBCD-42D0-9611-231F2B99C017}" destId="{D7DCE51C-A208-4D3C-946C-213844E9A968}" srcOrd="1" destOrd="0" presId="urn:microsoft.com/office/officeart/2005/8/layout/StepDownProcess"/>
    <dgm:cxn modelId="{5F604222-A81F-4549-9A67-8C64FBCB96DB}" type="presParOf" srcId="{BFE5D6F9-FBCD-42D0-9611-231F2B99C017}" destId="{21B1098C-42BE-481F-B5FC-14FF230D84CC}" srcOrd="2" destOrd="0" presId="urn:microsoft.com/office/officeart/2005/8/layout/StepDownProcess"/>
    <dgm:cxn modelId="{C85A2CB9-833A-4E7C-9DD4-9096CC6D6E3B}" type="presParOf" srcId="{826049C8-8E80-4FB9-9906-7D472E41C370}" destId="{32E01259-B98C-4321-AF96-C887B29D6C1E}" srcOrd="11" destOrd="0" presId="urn:microsoft.com/office/officeart/2005/8/layout/StepDownProcess"/>
    <dgm:cxn modelId="{038DE150-8B7C-477A-ADDA-172468269D08}" type="presParOf" srcId="{826049C8-8E80-4FB9-9906-7D472E41C370}" destId="{580C0528-840C-4BA9-8C44-BF1B8E318FC9}" srcOrd="12" destOrd="0" presId="urn:microsoft.com/office/officeart/2005/8/layout/StepDownProcess"/>
    <dgm:cxn modelId="{9CFF6B31-A73F-440D-9C0A-4F0E5855B0C1}" type="presParOf" srcId="{580C0528-840C-4BA9-8C44-BF1B8E318FC9}" destId="{A9BBFD7F-BB87-4719-A385-708C1DC60B70}" srcOrd="0" destOrd="0" presId="urn:microsoft.com/office/officeart/2005/8/layout/StepDownProcess"/>
    <dgm:cxn modelId="{785592D3-1D70-48AC-8201-5D7F8721D0FB}" type="presParOf" srcId="{580C0528-840C-4BA9-8C44-BF1B8E318FC9}" destId="{A87DC355-7BA0-4D36-8F8B-B0855558E0B3}" srcOrd="1" destOrd="0" presId="urn:microsoft.com/office/officeart/2005/8/layout/StepDownProcess"/>
    <dgm:cxn modelId="{E19E2F8A-6A02-434E-ACDE-99BBD141A383}" type="presParOf" srcId="{580C0528-840C-4BA9-8C44-BF1B8E318FC9}" destId="{469469FE-1621-466D-B50A-8F85521E2453}" srcOrd="2" destOrd="0" presId="urn:microsoft.com/office/officeart/2005/8/layout/StepDownProcess"/>
    <dgm:cxn modelId="{A5AB172A-3608-4D84-B1B2-70173526418B}" type="presParOf" srcId="{826049C8-8E80-4FB9-9906-7D472E41C370}" destId="{030DC4A1-B68C-4AAD-A625-BC0F46F0BCA0}" srcOrd="13" destOrd="0" presId="urn:microsoft.com/office/officeart/2005/8/layout/StepDownProcess"/>
    <dgm:cxn modelId="{81814494-F158-49A1-81CE-0439546C0E16}" type="presParOf" srcId="{826049C8-8E80-4FB9-9906-7D472E41C370}" destId="{706150B4-3FB2-4B48-99B7-B18C10A4B88F}" srcOrd="14" destOrd="0" presId="urn:microsoft.com/office/officeart/2005/8/layout/StepDownProcess"/>
    <dgm:cxn modelId="{AC339817-79A0-41BE-8F75-F9EF5F674FDF}" type="presParOf" srcId="{706150B4-3FB2-4B48-99B7-B18C10A4B88F}" destId="{70102375-3BC7-49A8-8D9F-A80B249D3438}" srcOrd="0" destOrd="0" presId="urn:microsoft.com/office/officeart/2005/8/layout/StepDownProcess"/>
    <dgm:cxn modelId="{D253FB8E-1330-4C5A-A0A1-CC440D2E3C12}" type="presParOf" srcId="{706150B4-3FB2-4B48-99B7-B18C10A4B88F}" destId="{55A07248-2546-4182-9280-48DDEDAA61BE}" srcOrd="1" destOrd="0" presId="urn:microsoft.com/office/officeart/2005/8/layout/StepDownProcess"/>
    <dgm:cxn modelId="{20CBE651-9073-42BB-A551-362DE5C610BC}" type="presParOf" srcId="{706150B4-3FB2-4B48-99B7-B18C10A4B88F}" destId="{01CD11ED-F6B4-443D-8AFA-B11130B13914}" srcOrd="2" destOrd="0" presId="urn:microsoft.com/office/officeart/2005/8/layout/StepDownProcess"/>
    <dgm:cxn modelId="{42336D70-F827-48EB-A8BF-98F546B1939F}" type="presParOf" srcId="{826049C8-8E80-4FB9-9906-7D472E41C370}" destId="{9D5AE87A-E071-428F-95E5-CA1602314577}" srcOrd="15" destOrd="0" presId="urn:microsoft.com/office/officeart/2005/8/layout/StepDownProcess"/>
    <dgm:cxn modelId="{3D559191-F603-43CC-9DB2-484614A7E8C1}" type="presParOf" srcId="{826049C8-8E80-4FB9-9906-7D472E41C370}" destId="{A1374754-4202-4E8F-A1C4-AE19376B8543}" srcOrd="16" destOrd="0" presId="urn:microsoft.com/office/officeart/2005/8/layout/StepDownProcess"/>
    <dgm:cxn modelId="{5C4C5A3E-E35D-4B16-8D86-3016370AA2AE}" type="presParOf" srcId="{A1374754-4202-4E8F-A1C4-AE19376B8543}" destId="{E50AB9B8-3AA1-4B33-AEFC-7963C4C62863}" srcOrd="0"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084EBE2-0ACE-46A1-AE96-1E6F05DE18CF}">
      <dsp:nvSpPr>
        <dsp:cNvPr id="0" name=""/>
        <dsp:cNvSpPr/>
      </dsp:nvSpPr>
      <dsp:spPr>
        <a:xfrm rot="5400000">
          <a:off x="488902" y="756597"/>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7B1D7956-428C-4757-A95C-1CAB565FB560}">
      <dsp:nvSpPr>
        <dsp:cNvPr id="0" name=""/>
        <dsp:cNvSpPr/>
      </dsp:nvSpPr>
      <dsp:spPr>
        <a:xfrm>
          <a:off x="1557" y="239995"/>
          <a:ext cx="1393243" cy="427552"/>
        </a:xfrm>
        <a:prstGeom prst="roundRect">
          <a:avLst>
            <a:gd name="adj" fmla="val 16670"/>
          </a:avLst>
        </a:prstGeom>
        <a:solidFill>
          <a:schemeClr val="accent4">
            <a:lumMod val="60000"/>
            <a:lumOff val="4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1. Nguồn dữ liệu</a:t>
          </a:r>
        </a:p>
        <a:p>
          <a:pPr marL="0" lvl="0" indent="0" algn="ctr" defTabSz="355600">
            <a:lnSpc>
              <a:spcPct val="90000"/>
            </a:lnSpc>
            <a:spcBef>
              <a:spcPct val="0"/>
            </a:spcBef>
            <a:spcAft>
              <a:spcPct val="35000"/>
            </a:spcAft>
            <a:buNone/>
          </a:pPr>
          <a:r>
            <a:rPr lang="ja-JP" altLang="en-US" sz="800" kern="1200">
              <a:solidFill>
                <a:sysClr val="windowText" lastClr="000000"/>
              </a:solidFill>
            </a:rPr>
            <a:t>マスタ作成</a:t>
          </a:r>
          <a:endParaRPr lang="en-US" sz="800" kern="1200">
            <a:solidFill>
              <a:sysClr val="windowText" lastClr="000000"/>
            </a:solidFill>
          </a:endParaRPr>
        </a:p>
      </dsp:txBody>
      <dsp:txXfrm>
        <a:off x="22432" y="260870"/>
        <a:ext cx="1351493" cy="385802"/>
      </dsp:txXfrm>
    </dsp:sp>
    <dsp:sp modelId="{AF078F18-F734-43FD-A898-F5E7970C38AE}">
      <dsp:nvSpPr>
        <dsp:cNvPr id="0" name=""/>
        <dsp:cNvSpPr/>
      </dsp:nvSpPr>
      <dsp:spPr>
        <a:xfrm>
          <a:off x="1003587" y="280772"/>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2B8DC476-0875-4264-93DE-1113FAB6F086}">
      <dsp:nvSpPr>
        <dsp:cNvPr id="0" name=""/>
        <dsp:cNvSpPr/>
      </dsp:nvSpPr>
      <dsp:spPr>
        <a:xfrm rot="5400000">
          <a:off x="1183117" y="1236879"/>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CA3D9E30-6EB0-4F1B-8612-60A8D029D26A}">
      <dsp:nvSpPr>
        <dsp:cNvPr id="0" name=""/>
        <dsp:cNvSpPr/>
      </dsp:nvSpPr>
      <dsp:spPr>
        <a:xfrm>
          <a:off x="695772" y="720277"/>
          <a:ext cx="1393243" cy="427552"/>
        </a:xfrm>
        <a:prstGeom prst="roundRect">
          <a:avLst>
            <a:gd name="adj" fmla="val 16670"/>
          </a:avLst>
        </a:prstGeom>
        <a:solidFill>
          <a:schemeClr val="accent4">
            <a:lumMod val="60000"/>
            <a:lumOff val="4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2.Tạo mã/Xác nhận tên</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en-US" altLang="ja-JP" sz="800" kern="1200">
              <a:solidFill>
                <a:sysClr val="windowText" lastClr="000000"/>
              </a:solidFill>
            </a:rPr>
            <a:t>BIVN</a:t>
          </a:r>
          <a:r>
            <a:rPr lang="ja-JP" altLang="en-US" sz="800" kern="1200">
              <a:solidFill>
                <a:sysClr val="windowText" lastClr="000000"/>
              </a:solidFill>
            </a:rPr>
            <a:t>内コード</a:t>
          </a:r>
          <a:r>
            <a:rPr lang="en-US" altLang="ja-JP" sz="800" kern="1200">
              <a:solidFill>
                <a:sysClr val="windowText" lastClr="000000"/>
              </a:solidFill>
            </a:rPr>
            <a:t>/</a:t>
          </a:r>
          <a:r>
            <a:rPr lang="ja-JP" altLang="en-US" sz="800" kern="1200">
              <a:solidFill>
                <a:sysClr val="windowText" lastClr="000000"/>
              </a:solidFill>
            </a:rPr>
            <a:t>品名作成</a:t>
          </a:r>
          <a:endParaRPr lang="en-US" sz="800" kern="1200">
            <a:solidFill>
              <a:sysClr val="windowText" lastClr="000000"/>
            </a:solidFill>
          </a:endParaRPr>
        </a:p>
      </dsp:txBody>
      <dsp:txXfrm>
        <a:off x="716647" y="741152"/>
        <a:ext cx="1351493" cy="385802"/>
      </dsp:txXfrm>
    </dsp:sp>
    <dsp:sp modelId="{DB516BFF-164A-4155-8A1B-31804717184F}">
      <dsp:nvSpPr>
        <dsp:cNvPr id="0" name=""/>
        <dsp:cNvSpPr/>
      </dsp:nvSpPr>
      <dsp:spPr>
        <a:xfrm>
          <a:off x="1697802" y="761054"/>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177E33E9-AF69-4966-BF17-CE4E0F33D279}">
      <dsp:nvSpPr>
        <dsp:cNvPr id="0" name=""/>
        <dsp:cNvSpPr/>
      </dsp:nvSpPr>
      <dsp:spPr>
        <a:xfrm rot="5400000">
          <a:off x="1877331" y="1717161"/>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F256E204-9FB9-478C-AAA6-B814D6098121}">
      <dsp:nvSpPr>
        <dsp:cNvPr id="0" name=""/>
        <dsp:cNvSpPr/>
      </dsp:nvSpPr>
      <dsp:spPr>
        <a:xfrm>
          <a:off x="1389986" y="1200559"/>
          <a:ext cx="1393243" cy="427552"/>
        </a:xfrm>
        <a:prstGeom prst="roundRect">
          <a:avLst>
            <a:gd name="adj" fmla="val 16670"/>
          </a:avLst>
        </a:prstGeom>
        <a:solidFill>
          <a:srgbClr val="00B0F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3.Tính toán số lượng</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使用数量計算</a:t>
          </a:r>
          <a:endParaRPr lang="en-US" sz="800" kern="1200">
            <a:solidFill>
              <a:sysClr val="windowText" lastClr="000000"/>
            </a:solidFill>
          </a:endParaRPr>
        </a:p>
      </dsp:txBody>
      <dsp:txXfrm>
        <a:off x="1410861" y="1221434"/>
        <a:ext cx="1351493" cy="385802"/>
      </dsp:txXfrm>
    </dsp:sp>
    <dsp:sp modelId="{1D34DAC2-DCF3-4B3D-9D59-3E5711506AEF}">
      <dsp:nvSpPr>
        <dsp:cNvPr id="0" name=""/>
        <dsp:cNvSpPr/>
      </dsp:nvSpPr>
      <dsp:spPr>
        <a:xfrm>
          <a:off x="2392016" y="1241336"/>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7B290980-2672-430D-A18B-F96479F2ADAC}">
      <dsp:nvSpPr>
        <dsp:cNvPr id="0" name=""/>
        <dsp:cNvSpPr/>
      </dsp:nvSpPr>
      <dsp:spPr>
        <a:xfrm rot="5400000">
          <a:off x="2571546" y="2197443"/>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DC337469-E9E0-4DAD-80E1-D3FE13916E75}">
      <dsp:nvSpPr>
        <dsp:cNvPr id="0" name=""/>
        <dsp:cNvSpPr/>
      </dsp:nvSpPr>
      <dsp:spPr>
        <a:xfrm>
          <a:off x="2084201" y="1680841"/>
          <a:ext cx="1393243" cy="427552"/>
        </a:xfrm>
        <a:prstGeom prst="roundRect">
          <a:avLst>
            <a:gd name="adj" fmla="val 16670"/>
          </a:avLst>
        </a:prstGeom>
        <a:solidFill>
          <a:schemeClr val="accent4">
            <a:lumMod val="60000"/>
            <a:lumOff val="4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4.Yêu cầu báo giá</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見積依頼書発行</a:t>
          </a:r>
          <a:endParaRPr lang="en-US" sz="800" kern="1200">
            <a:solidFill>
              <a:sysClr val="windowText" lastClr="000000"/>
            </a:solidFill>
          </a:endParaRPr>
        </a:p>
      </dsp:txBody>
      <dsp:txXfrm>
        <a:off x="2105076" y="1701716"/>
        <a:ext cx="1351493" cy="385802"/>
      </dsp:txXfrm>
    </dsp:sp>
    <dsp:sp modelId="{6B12BD0E-55AF-4DC2-83C5-8C06DB4632A7}">
      <dsp:nvSpPr>
        <dsp:cNvPr id="0" name=""/>
        <dsp:cNvSpPr/>
      </dsp:nvSpPr>
      <dsp:spPr>
        <a:xfrm>
          <a:off x="3086231" y="1721618"/>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281D5383-287E-40FF-B4CA-6B4731785687}">
      <dsp:nvSpPr>
        <dsp:cNvPr id="0" name=""/>
        <dsp:cNvSpPr/>
      </dsp:nvSpPr>
      <dsp:spPr>
        <a:xfrm rot="5400000">
          <a:off x="3265760" y="2677726"/>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3E341FB0-7A80-4910-9F8E-55CDB6F53C6A}">
      <dsp:nvSpPr>
        <dsp:cNvPr id="0" name=""/>
        <dsp:cNvSpPr/>
      </dsp:nvSpPr>
      <dsp:spPr>
        <a:xfrm>
          <a:off x="2778415" y="2161123"/>
          <a:ext cx="1393243" cy="427552"/>
        </a:xfrm>
        <a:prstGeom prst="roundRect">
          <a:avLst>
            <a:gd name="adj" fmla="val 16670"/>
          </a:avLst>
        </a:prstGeom>
        <a:solidFill>
          <a:schemeClr val="accent4">
            <a:lumMod val="60000"/>
            <a:lumOff val="4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5.Lựa chọn NCC</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取引先選定</a:t>
          </a:r>
          <a:endParaRPr lang="en-US" sz="800" kern="1200">
            <a:solidFill>
              <a:sysClr val="windowText" lastClr="000000"/>
            </a:solidFill>
          </a:endParaRPr>
        </a:p>
      </dsp:txBody>
      <dsp:txXfrm>
        <a:off x="2799290" y="2181998"/>
        <a:ext cx="1351493" cy="385802"/>
      </dsp:txXfrm>
    </dsp:sp>
    <dsp:sp modelId="{E3BF490B-6214-4A74-85A6-A50670C0BEE8}">
      <dsp:nvSpPr>
        <dsp:cNvPr id="0" name=""/>
        <dsp:cNvSpPr/>
      </dsp:nvSpPr>
      <dsp:spPr>
        <a:xfrm>
          <a:off x="3780446" y="2201900"/>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C218A88A-5CB1-471A-9442-0CAF2F0DCF52}">
      <dsp:nvSpPr>
        <dsp:cNvPr id="0" name=""/>
        <dsp:cNvSpPr/>
      </dsp:nvSpPr>
      <dsp:spPr>
        <a:xfrm rot="5400000">
          <a:off x="3959975" y="3158008"/>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D7DCE51C-A208-4D3C-946C-213844E9A968}">
      <dsp:nvSpPr>
        <dsp:cNvPr id="0" name=""/>
        <dsp:cNvSpPr/>
      </dsp:nvSpPr>
      <dsp:spPr>
        <a:xfrm>
          <a:off x="3472630" y="2641406"/>
          <a:ext cx="1393243" cy="427552"/>
        </a:xfrm>
        <a:prstGeom prst="roundRect">
          <a:avLst>
            <a:gd name="adj" fmla="val 16670"/>
          </a:avLst>
        </a:prstGeom>
        <a:solidFill>
          <a:srgbClr val="92D05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6.Yêu cầu hàng hóa</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物品依頼書発行</a:t>
          </a:r>
          <a:endParaRPr lang="en-US" sz="800" kern="1200">
            <a:solidFill>
              <a:sysClr val="windowText" lastClr="000000"/>
            </a:solidFill>
          </a:endParaRPr>
        </a:p>
      </dsp:txBody>
      <dsp:txXfrm>
        <a:off x="3493505" y="2662281"/>
        <a:ext cx="1351493" cy="385802"/>
      </dsp:txXfrm>
    </dsp:sp>
    <dsp:sp modelId="{21B1098C-42BE-481F-B5FC-14FF230D84CC}">
      <dsp:nvSpPr>
        <dsp:cNvPr id="0" name=""/>
        <dsp:cNvSpPr/>
      </dsp:nvSpPr>
      <dsp:spPr>
        <a:xfrm>
          <a:off x="4474660" y="2682182"/>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A9BBFD7F-BB87-4719-A385-708C1DC60B70}">
      <dsp:nvSpPr>
        <dsp:cNvPr id="0" name=""/>
        <dsp:cNvSpPr/>
      </dsp:nvSpPr>
      <dsp:spPr>
        <a:xfrm rot="5400000">
          <a:off x="4654189" y="3638290"/>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A87DC355-7BA0-4D36-8F8B-B0855558E0B3}">
      <dsp:nvSpPr>
        <dsp:cNvPr id="0" name=""/>
        <dsp:cNvSpPr/>
      </dsp:nvSpPr>
      <dsp:spPr>
        <a:xfrm>
          <a:off x="4166844" y="3121688"/>
          <a:ext cx="1393243" cy="427552"/>
        </a:xfrm>
        <a:prstGeom prst="roundRect">
          <a:avLst>
            <a:gd name="adj" fmla="val 16670"/>
          </a:avLst>
        </a:prstGeom>
        <a:solidFill>
          <a:srgbClr val="92D05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7.Phát hành PO</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en-US" altLang="ja-JP" sz="800" kern="1200">
              <a:solidFill>
                <a:sysClr val="windowText" lastClr="000000"/>
              </a:solidFill>
            </a:rPr>
            <a:t>PO</a:t>
          </a:r>
          <a:r>
            <a:rPr lang="ja-JP" altLang="en-US" sz="800" kern="1200">
              <a:solidFill>
                <a:sysClr val="windowText" lastClr="000000"/>
              </a:solidFill>
            </a:rPr>
            <a:t>発行</a:t>
          </a:r>
          <a:endParaRPr lang="en-US" sz="800" kern="1200">
            <a:solidFill>
              <a:sysClr val="windowText" lastClr="000000"/>
            </a:solidFill>
          </a:endParaRPr>
        </a:p>
      </dsp:txBody>
      <dsp:txXfrm>
        <a:off x="4187719" y="3142563"/>
        <a:ext cx="1351493" cy="385802"/>
      </dsp:txXfrm>
    </dsp:sp>
    <dsp:sp modelId="{469469FE-1621-466D-B50A-8F85521E2453}">
      <dsp:nvSpPr>
        <dsp:cNvPr id="0" name=""/>
        <dsp:cNvSpPr/>
      </dsp:nvSpPr>
      <dsp:spPr>
        <a:xfrm>
          <a:off x="5168875" y="3162465"/>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70102375-3BC7-49A8-8D9F-A80B249D3438}">
      <dsp:nvSpPr>
        <dsp:cNvPr id="0" name=""/>
        <dsp:cNvSpPr/>
      </dsp:nvSpPr>
      <dsp:spPr>
        <a:xfrm rot="5400000">
          <a:off x="5348404" y="4118572"/>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55A07248-2546-4182-9280-48DDEDAA61BE}">
      <dsp:nvSpPr>
        <dsp:cNvPr id="0" name=""/>
        <dsp:cNvSpPr/>
      </dsp:nvSpPr>
      <dsp:spPr>
        <a:xfrm>
          <a:off x="4861059" y="3601970"/>
          <a:ext cx="1393243" cy="427552"/>
        </a:xfrm>
        <a:prstGeom prst="roundRect">
          <a:avLst>
            <a:gd name="adj" fmla="val 16670"/>
          </a:avLst>
        </a:prstGeom>
        <a:solidFill>
          <a:srgbClr val="00B0F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8.Quản lý giao hàng</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納期管理</a:t>
          </a:r>
          <a:endParaRPr lang="en-US" sz="800" kern="1200">
            <a:solidFill>
              <a:sysClr val="windowText" lastClr="000000"/>
            </a:solidFill>
          </a:endParaRPr>
        </a:p>
      </dsp:txBody>
      <dsp:txXfrm>
        <a:off x="4881934" y="3622845"/>
        <a:ext cx="1351493" cy="385802"/>
      </dsp:txXfrm>
    </dsp:sp>
    <dsp:sp modelId="{01CD11ED-F6B4-443D-8AFA-B11130B13914}">
      <dsp:nvSpPr>
        <dsp:cNvPr id="0" name=""/>
        <dsp:cNvSpPr/>
      </dsp:nvSpPr>
      <dsp:spPr>
        <a:xfrm>
          <a:off x="5863089" y="3642747"/>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E50AB9B8-3AA1-4B33-AEFC-7963C4C62863}">
      <dsp:nvSpPr>
        <dsp:cNvPr id="0" name=""/>
        <dsp:cNvSpPr/>
      </dsp:nvSpPr>
      <dsp:spPr>
        <a:xfrm>
          <a:off x="5555274" y="4082252"/>
          <a:ext cx="1393243" cy="427552"/>
        </a:xfrm>
        <a:prstGeom prst="roundRect">
          <a:avLst>
            <a:gd name="adj" fmla="val 16670"/>
          </a:avLst>
        </a:prstGeom>
        <a:solidFill>
          <a:schemeClr val="accent4">
            <a:lumMod val="60000"/>
            <a:lumOff val="4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10.Quản lý kho</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在庫管理</a:t>
          </a:r>
          <a:endParaRPr lang="en-US" sz="800" kern="1200">
            <a:solidFill>
              <a:sysClr val="windowText" lastClr="000000"/>
            </a:solidFill>
          </a:endParaRPr>
        </a:p>
      </dsp:txBody>
      <dsp:txXfrm>
        <a:off x="5576149" y="4103127"/>
        <a:ext cx="1351493" cy="385802"/>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596900</xdr:colOff>
      <xdr:row>1</xdr:row>
      <xdr:rowOff>127000</xdr:rowOff>
    </xdr:from>
    <xdr:to>
      <xdr:col>14</xdr:col>
      <xdr:colOff>231775</xdr:colOff>
      <xdr:row>27</xdr:row>
      <xdr:rowOff>88900</xdr:rowOff>
    </xdr:to>
    <xdr:graphicFrame macro="">
      <xdr:nvGraphicFramePr>
        <xdr:cNvPr id="2" name="Diagram 1">
          <a:extLst>
            <a:ext uri="{FF2B5EF4-FFF2-40B4-BE49-F238E27FC236}">
              <a16:creationId xmlns:a16="http://schemas.microsoft.com/office/drawing/2014/main" id="{C8E2E3DD-3FC7-0E2D-7723-CCDC938397B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7</xdr:col>
      <xdr:colOff>374650</xdr:colOff>
      <xdr:row>3</xdr:row>
      <xdr:rowOff>25400</xdr:rowOff>
    </xdr:from>
    <xdr:to>
      <xdr:col>9</xdr:col>
      <xdr:colOff>101600</xdr:colOff>
      <xdr:row>5</xdr:row>
      <xdr:rowOff>6350</xdr:rowOff>
    </xdr:to>
    <xdr:sp macro="" textlink="">
      <xdr:nvSpPr>
        <xdr:cNvPr id="3" name="Rectangle: Rounded Corners 2">
          <a:extLst>
            <a:ext uri="{FF2B5EF4-FFF2-40B4-BE49-F238E27FC236}">
              <a16:creationId xmlns:a16="http://schemas.microsoft.com/office/drawing/2014/main" id="{AFF97715-6C89-FB47-083D-5A1CEB56730F}"/>
            </a:ext>
          </a:extLst>
        </xdr:cNvPr>
        <xdr:cNvSpPr/>
      </xdr:nvSpPr>
      <xdr:spPr>
        <a:xfrm>
          <a:off x="4641850" y="577850"/>
          <a:ext cx="946150" cy="34925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2025</a:t>
          </a:r>
          <a:r>
            <a:rPr lang="ja-JP" altLang="en-US" sz="1100">
              <a:solidFill>
                <a:sysClr val="windowText" lastClr="000000"/>
              </a:solidFill>
            </a:rPr>
            <a:t>年度</a:t>
          </a:r>
          <a:endParaRPr lang="en-US" sz="1100">
            <a:solidFill>
              <a:sysClr val="windowText" lastClr="000000"/>
            </a:solidFill>
          </a:endParaRPr>
        </a:p>
      </xdr:txBody>
    </xdr:sp>
    <xdr:clientData/>
  </xdr:twoCellAnchor>
  <xdr:twoCellAnchor>
    <xdr:from>
      <xdr:col>9</xdr:col>
      <xdr:colOff>254000</xdr:colOff>
      <xdr:row>3</xdr:row>
      <xdr:rowOff>6350</xdr:rowOff>
    </xdr:from>
    <xdr:to>
      <xdr:col>10</xdr:col>
      <xdr:colOff>590550</xdr:colOff>
      <xdr:row>4</xdr:row>
      <xdr:rowOff>171450</xdr:rowOff>
    </xdr:to>
    <xdr:sp macro="" textlink="">
      <xdr:nvSpPr>
        <xdr:cNvPr id="4" name="Rectangle: Rounded Corners 3">
          <a:extLst>
            <a:ext uri="{FF2B5EF4-FFF2-40B4-BE49-F238E27FC236}">
              <a16:creationId xmlns:a16="http://schemas.microsoft.com/office/drawing/2014/main" id="{643CC2F4-84CE-47E4-8E6C-3EE4F93D2B6B}"/>
            </a:ext>
          </a:extLst>
        </xdr:cNvPr>
        <xdr:cNvSpPr/>
      </xdr:nvSpPr>
      <xdr:spPr>
        <a:xfrm>
          <a:off x="5740400" y="558800"/>
          <a:ext cx="946150" cy="34925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ja-JP" sz="1100">
              <a:solidFill>
                <a:sysClr val="windowText" lastClr="000000"/>
              </a:solidFill>
            </a:rPr>
            <a:t>2026</a:t>
          </a:r>
          <a:r>
            <a:rPr lang="ja-JP" altLang="en-US" sz="1100">
              <a:solidFill>
                <a:sysClr val="windowText" lastClr="000000"/>
              </a:solidFill>
            </a:rPr>
            <a:t>年度</a:t>
          </a:r>
          <a:endParaRPr lang="en-US" sz="1100">
            <a:solidFill>
              <a:sysClr val="windowText" lastClr="000000"/>
            </a:solidFill>
          </a:endParaRPr>
        </a:p>
      </xdr:txBody>
    </xdr:sp>
    <xdr:clientData/>
  </xdr:twoCellAnchor>
  <xdr:twoCellAnchor>
    <xdr:from>
      <xdr:col>11</xdr:col>
      <xdr:colOff>114300</xdr:colOff>
      <xdr:row>3</xdr:row>
      <xdr:rowOff>6350</xdr:rowOff>
    </xdr:from>
    <xdr:to>
      <xdr:col>12</xdr:col>
      <xdr:colOff>450850</xdr:colOff>
      <xdr:row>4</xdr:row>
      <xdr:rowOff>171450</xdr:rowOff>
    </xdr:to>
    <xdr:sp macro="" textlink="">
      <xdr:nvSpPr>
        <xdr:cNvPr id="5" name="Rectangle: Rounded Corners 4">
          <a:extLst>
            <a:ext uri="{FF2B5EF4-FFF2-40B4-BE49-F238E27FC236}">
              <a16:creationId xmlns:a16="http://schemas.microsoft.com/office/drawing/2014/main" id="{A19374E1-C0FD-49B5-A378-34C1FB64DDF3}"/>
            </a:ext>
          </a:extLst>
        </xdr:cNvPr>
        <xdr:cNvSpPr/>
      </xdr:nvSpPr>
      <xdr:spPr>
        <a:xfrm>
          <a:off x="6819900" y="558800"/>
          <a:ext cx="946150" cy="34925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ja-JP" sz="1100">
              <a:solidFill>
                <a:sysClr val="windowText" lastClr="000000"/>
              </a:solidFill>
            </a:rPr>
            <a:t>2027</a:t>
          </a:r>
          <a:r>
            <a:rPr lang="ja-JP" altLang="en-US" sz="1100">
              <a:solidFill>
                <a:sysClr val="windowText" lastClr="000000"/>
              </a:solidFill>
            </a:rPr>
            <a:t>年度</a:t>
          </a:r>
          <a:endParaRPr lang="en-US"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197820</xdr:colOff>
      <xdr:row>14</xdr:row>
      <xdr:rowOff>85489</xdr:rowOff>
    </xdr:from>
    <xdr:to>
      <xdr:col>33</xdr:col>
      <xdr:colOff>200726</xdr:colOff>
      <xdr:row>29</xdr:row>
      <xdr:rowOff>89972</xdr:rowOff>
    </xdr:to>
    <xdr:grpSp>
      <xdr:nvGrpSpPr>
        <xdr:cNvPr id="12" name="Group 11">
          <a:extLst>
            <a:ext uri="{FF2B5EF4-FFF2-40B4-BE49-F238E27FC236}">
              <a16:creationId xmlns:a16="http://schemas.microsoft.com/office/drawing/2014/main" id="{83443440-75CE-C5A8-AABD-A0630BA13C23}"/>
            </a:ext>
          </a:extLst>
        </xdr:cNvPr>
        <xdr:cNvGrpSpPr/>
      </xdr:nvGrpSpPr>
      <xdr:grpSpPr>
        <a:xfrm>
          <a:off x="197820" y="2670313"/>
          <a:ext cx="8631435" cy="2918012"/>
          <a:chOff x="97961" y="1352929"/>
          <a:chExt cx="8114519" cy="3000249"/>
        </a:xfrm>
      </xdr:grpSpPr>
      <xdr:pic>
        <xdr:nvPicPr>
          <xdr:cNvPr id="2" name="Picture 1">
            <a:extLst>
              <a:ext uri="{FF2B5EF4-FFF2-40B4-BE49-F238E27FC236}">
                <a16:creationId xmlns:a16="http://schemas.microsoft.com/office/drawing/2014/main" id="{256F62E3-3768-35F0-2137-630EFDCE2814}"/>
              </a:ext>
            </a:extLst>
          </xdr:cNvPr>
          <xdr:cNvPicPr>
            <a:picLocks noChangeAspect="1"/>
          </xdr:cNvPicPr>
        </xdr:nvPicPr>
        <xdr:blipFill>
          <a:blip xmlns:r="http://schemas.openxmlformats.org/officeDocument/2006/relationships" r:embed="rId1"/>
          <a:stretch>
            <a:fillRect/>
          </a:stretch>
        </xdr:blipFill>
        <xdr:spPr>
          <a:xfrm>
            <a:off x="100853" y="1352929"/>
            <a:ext cx="8111627" cy="508458"/>
          </a:xfrm>
          <a:prstGeom prst="rect">
            <a:avLst/>
          </a:prstGeom>
        </xdr:spPr>
      </xdr:pic>
      <xdr:pic>
        <xdr:nvPicPr>
          <xdr:cNvPr id="3" name="Picture 2">
            <a:extLst>
              <a:ext uri="{FF2B5EF4-FFF2-40B4-BE49-F238E27FC236}">
                <a16:creationId xmlns:a16="http://schemas.microsoft.com/office/drawing/2014/main" id="{D1A138C2-B204-6A79-AE73-D808016A4D4B}"/>
              </a:ext>
            </a:extLst>
          </xdr:cNvPr>
          <xdr:cNvPicPr>
            <a:picLocks noChangeAspect="1"/>
          </xdr:cNvPicPr>
        </xdr:nvPicPr>
        <xdr:blipFill>
          <a:blip xmlns:r="http://schemas.openxmlformats.org/officeDocument/2006/relationships" r:embed="rId2"/>
          <a:stretch>
            <a:fillRect/>
          </a:stretch>
        </xdr:blipFill>
        <xdr:spPr>
          <a:xfrm>
            <a:off x="6773349" y="1474206"/>
            <a:ext cx="1192866" cy="300571"/>
          </a:xfrm>
          <a:prstGeom prst="rect">
            <a:avLst/>
          </a:prstGeom>
        </xdr:spPr>
      </xdr:pic>
      <xdr:sp macro="" textlink="">
        <xdr:nvSpPr>
          <xdr:cNvPr id="4" name="Rectangle 3">
            <a:extLst>
              <a:ext uri="{FF2B5EF4-FFF2-40B4-BE49-F238E27FC236}">
                <a16:creationId xmlns:a16="http://schemas.microsoft.com/office/drawing/2014/main" id="{6D23300F-3108-B6E7-0492-DCFEF32C189C}"/>
              </a:ext>
            </a:extLst>
          </xdr:cNvPr>
          <xdr:cNvSpPr/>
        </xdr:nvSpPr>
        <xdr:spPr>
          <a:xfrm>
            <a:off x="97961" y="2561810"/>
            <a:ext cx="2201052" cy="3546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NGUỒN DỮ LIỆU</a:t>
            </a:r>
            <a:endParaRPr lang="en-US" sz="1100"/>
          </a:p>
        </xdr:txBody>
      </xdr:sp>
      <xdr:sp macro="" textlink="">
        <xdr:nvSpPr>
          <xdr:cNvPr id="5" name="Rectangle 4">
            <a:extLst>
              <a:ext uri="{FF2B5EF4-FFF2-40B4-BE49-F238E27FC236}">
                <a16:creationId xmlns:a16="http://schemas.microsoft.com/office/drawing/2014/main" id="{5FD0C4FB-64F2-408D-90AE-FEE78698F216}"/>
              </a:ext>
            </a:extLst>
          </xdr:cNvPr>
          <xdr:cNvSpPr/>
        </xdr:nvSpPr>
        <xdr:spPr>
          <a:xfrm>
            <a:off x="109167" y="3026492"/>
            <a:ext cx="2201052" cy="3566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TẠO MÃ/XÁC NHẬN TÊN</a:t>
            </a:r>
            <a:endParaRPr lang="en-US" sz="1100"/>
          </a:p>
        </xdr:txBody>
      </xdr:sp>
      <xdr:sp macro="" textlink="">
        <xdr:nvSpPr>
          <xdr:cNvPr id="6" name="Rectangle 5">
            <a:extLst>
              <a:ext uri="{FF2B5EF4-FFF2-40B4-BE49-F238E27FC236}">
                <a16:creationId xmlns:a16="http://schemas.microsoft.com/office/drawing/2014/main" id="{4D8A00A1-FA82-4AC3-9B2D-071A150A6848}"/>
              </a:ext>
            </a:extLst>
          </xdr:cNvPr>
          <xdr:cNvSpPr/>
        </xdr:nvSpPr>
        <xdr:spPr>
          <a:xfrm>
            <a:off x="5443294" y="2048092"/>
            <a:ext cx="2201052" cy="3546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YÊU CẦU BÁO GIÁ</a:t>
            </a:r>
            <a:endParaRPr lang="en-US" sz="1100"/>
          </a:p>
        </xdr:txBody>
      </xdr:sp>
      <xdr:sp macro="" textlink="">
        <xdr:nvSpPr>
          <xdr:cNvPr id="7" name="Rectangle 6">
            <a:extLst>
              <a:ext uri="{FF2B5EF4-FFF2-40B4-BE49-F238E27FC236}">
                <a16:creationId xmlns:a16="http://schemas.microsoft.com/office/drawing/2014/main" id="{A553CE27-A2E6-4D19-BC8F-54747CFC2F75}"/>
              </a:ext>
            </a:extLst>
          </xdr:cNvPr>
          <xdr:cNvSpPr/>
        </xdr:nvSpPr>
        <xdr:spPr>
          <a:xfrm>
            <a:off x="5450017" y="2532691"/>
            <a:ext cx="2201052" cy="35461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LỰA CHỌN NHÀ CUNG CẤP</a:t>
            </a:r>
            <a:endParaRPr lang="en-US" sz="1100"/>
          </a:p>
        </xdr:txBody>
      </xdr:sp>
      <xdr:sp macro="" textlink="">
        <xdr:nvSpPr>
          <xdr:cNvPr id="8" name="Rectangle 7">
            <a:extLst>
              <a:ext uri="{FF2B5EF4-FFF2-40B4-BE49-F238E27FC236}">
                <a16:creationId xmlns:a16="http://schemas.microsoft.com/office/drawing/2014/main" id="{5C40CA85-613C-4431-B8CF-08DD642CFDC9}"/>
              </a:ext>
            </a:extLst>
          </xdr:cNvPr>
          <xdr:cNvSpPr/>
        </xdr:nvSpPr>
        <xdr:spPr>
          <a:xfrm>
            <a:off x="5445535" y="2992892"/>
            <a:ext cx="2201052" cy="3566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YÊU CẦU HÀNG HÓA</a:t>
            </a:r>
            <a:endParaRPr lang="en-US" sz="1100"/>
          </a:p>
        </xdr:txBody>
      </xdr:sp>
      <xdr:sp macro="" textlink="">
        <xdr:nvSpPr>
          <xdr:cNvPr id="9" name="Rectangle 8">
            <a:extLst>
              <a:ext uri="{FF2B5EF4-FFF2-40B4-BE49-F238E27FC236}">
                <a16:creationId xmlns:a16="http://schemas.microsoft.com/office/drawing/2014/main" id="{5B6DAA4C-C977-40ED-AA7A-6A2ACE0D451E}"/>
              </a:ext>
            </a:extLst>
          </xdr:cNvPr>
          <xdr:cNvSpPr/>
        </xdr:nvSpPr>
        <xdr:spPr>
          <a:xfrm>
            <a:off x="5464098" y="3998565"/>
            <a:ext cx="2201052" cy="35461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QUẢN LÝ KHO</a:t>
            </a:r>
            <a:endParaRPr lang="en-US" sz="1100"/>
          </a:p>
        </xdr:txBody>
      </xdr:sp>
      <xdr:sp macro="" textlink="">
        <xdr:nvSpPr>
          <xdr:cNvPr id="10" name="Rectangle 9">
            <a:extLst>
              <a:ext uri="{FF2B5EF4-FFF2-40B4-BE49-F238E27FC236}">
                <a16:creationId xmlns:a16="http://schemas.microsoft.com/office/drawing/2014/main" id="{CB16C24A-DD7D-4AD2-A63D-8E59F537F27B}"/>
              </a:ext>
            </a:extLst>
          </xdr:cNvPr>
          <xdr:cNvSpPr/>
        </xdr:nvSpPr>
        <xdr:spPr>
          <a:xfrm>
            <a:off x="5447776" y="3450599"/>
            <a:ext cx="2201052" cy="3546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PHÁT HÀNH</a:t>
            </a:r>
            <a:r>
              <a:rPr lang="vi-VN" sz="1100" baseline="0"/>
              <a:t> - QUẢN LÝ PO</a:t>
            </a:r>
            <a:endParaRPr lang="en-US" sz="1100"/>
          </a:p>
        </xdr:txBody>
      </xdr:sp>
    </xdr:grpSp>
    <xdr:clientData/>
  </xdr:twoCellAnchor>
  <xdr:twoCellAnchor editAs="oneCell">
    <xdr:from>
      <xdr:col>8</xdr:col>
      <xdr:colOff>138266</xdr:colOff>
      <xdr:row>7</xdr:row>
      <xdr:rowOff>168993</xdr:rowOff>
    </xdr:from>
    <xdr:to>
      <xdr:col>19</xdr:col>
      <xdr:colOff>153629</xdr:colOff>
      <xdr:row>13</xdr:row>
      <xdr:rowOff>7249</xdr:rowOff>
    </xdr:to>
    <xdr:pic>
      <xdr:nvPicPr>
        <xdr:cNvPr id="13" name="Picture 12">
          <a:extLst>
            <a:ext uri="{FF2B5EF4-FFF2-40B4-BE49-F238E27FC236}">
              <a16:creationId xmlns:a16="http://schemas.microsoft.com/office/drawing/2014/main" id="{300CF800-CC4F-39FA-55C6-3D2A1D522FA9}"/>
            </a:ext>
          </a:extLst>
        </xdr:cNvPr>
        <xdr:cNvPicPr>
          <a:picLocks noChangeAspect="1"/>
        </xdr:cNvPicPr>
      </xdr:nvPicPr>
      <xdr:blipFill>
        <a:blip xmlns:r="http://schemas.openxmlformats.org/officeDocument/2006/relationships" r:embed="rId3"/>
        <a:stretch>
          <a:fillRect/>
        </a:stretch>
      </xdr:blipFill>
      <xdr:spPr>
        <a:xfrm>
          <a:off x="2104718" y="1421070"/>
          <a:ext cx="2719234" cy="1036562"/>
        </a:xfrm>
        <a:prstGeom prst="rect">
          <a:avLst/>
        </a:prstGeom>
        <a:ln>
          <a:solidFill>
            <a:schemeClr val="tx1"/>
          </a:solidFill>
        </a:ln>
      </xdr:spPr>
    </xdr:pic>
    <xdr:clientData/>
  </xdr:twoCellAnchor>
  <xdr:twoCellAnchor>
    <xdr:from>
      <xdr:col>0</xdr:col>
      <xdr:colOff>0</xdr:colOff>
      <xdr:row>34</xdr:row>
      <xdr:rowOff>0</xdr:rowOff>
    </xdr:from>
    <xdr:to>
      <xdr:col>33</xdr:col>
      <xdr:colOff>14</xdr:colOff>
      <xdr:row>36</xdr:row>
      <xdr:rowOff>109023</xdr:rowOff>
    </xdr:to>
    <xdr:pic>
      <xdr:nvPicPr>
        <xdr:cNvPr id="15" name="Picture 14">
          <a:extLst>
            <a:ext uri="{FF2B5EF4-FFF2-40B4-BE49-F238E27FC236}">
              <a16:creationId xmlns:a16="http://schemas.microsoft.com/office/drawing/2014/main" id="{6E3590B7-B6FC-4C99-A464-1C03A9A04B59}"/>
            </a:ext>
          </a:extLst>
        </xdr:cNvPr>
        <xdr:cNvPicPr>
          <a:picLocks noChangeAspect="1"/>
        </xdr:cNvPicPr>
      </xdr:nvPicPr>
      <xdr:blipFill>
        <a:blip xmlns:r="http://schemas.openxmlformats.org/officeDocument/2006/relationships" r:embed="rId1"/>
        <a:stretch>
          <a:fillRect/>
        </a:stretch>
      </xdr:blipFill>
      <xdr:spPr>
        <a:xfrm>
          <a:off x="0" y="7850444"/>
          <a:ext cx="8111627" cy="508458"/>
        </a:xfrm>
        <a:prstGeom prst="rect">
          <a:avLst/>
        </a:prstGeom>
      </xdr:spPr>
    </xdr:pic>
    <xdr:clientData/>
  </xdr:twoCellAnchor>
  <xdr:twoCellAnchor>
    <xdr:from>
      <xdr:col>0</xdr:col>
      <xdr:colOff>0</xdr:colOff>
      <xdr:row>67</xdr:row>
      <xdr:rowOff>0</xdr:rowOff>
    </xdr:from>
    <xdr:to>
      <xdr:col>33</xdr:col>
      <xdr:colOff>14</xdr:colOff>
      <xdr:row>69</xdr:row>
      <xdr:rowOff>109023</xdr:rowOff>
    </xdr:to>
    <xdr:pic>
      <xdr:nvPicPr>
        <xdr:cNvPr id="27" name="Picture 26">
          <a:extLst>
            <a:ext uri="{FF2B5EF4-FFF2-40B4-BE49-F238E27FC236}">
              <a16:creationId xmlns:a16="http://schemas.microsoft.com/office/drawing/2014/main" id="{7012A188-A6BE-420B-B5A3-32B830056028}"/>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86</xdr:row>
      <xdr:rowOff>0</xdr:rowOff>
    </xdr:from>
    <xdr:to>
      <xdr:col>33</xdr:col>
      <xdr:colOff>14</xdr:colOff>
      <xdr:row>88</xdr:row>
      <xdr:rowOff>109023</xdr:rowOff>
    </xdr:to>
    <xdr:pic>
      <xdr:nvPicPr>
        <xdr:cNvPr id="28" name="Picture 27">
          <a:extLst>
            <a:ext uri="{FF2B5EF4-FFF2-40B4-BE49-F238E27FC236}">
              <a16:creationId xmlns:a16="http://schemas.microsoft.com/office/drawing/2014/main" id="{15EA74A1-C8D7-432A-8D25-0C1FC50FD2C3}"/>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151</xdr:row>
      <xdr:rowOff>0</xdr:rowOff>
    </xdr:from>
    <xdr:to>
      <xdr:col>33</xdr:col>
      <xdr:colOff>14</xdr:colOff>
      <xdr:row>153</xdr:row>
      <xdr:rowOff>109023</xdr:rowOff>
    </xdr:to>
    <xdr:pic>
      <xdr:nvPicPr>
        <xdr:cNvPr id="29" name="Picture 28">
          <a:extLst>
            <a:ext uri="{FF2B5EF4-FFF2-40B4-BE49-F238E27FC236}">
              <a16:creationId xmlns:a16="http://schemas.microsoft.com/office/drawing/2014/main" id="{F2FA4BF1-9E16-433F-B97B-B6D0F8AD09DC}"/>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203</xdr:row>
      <xdr:rowOff>0</xdr:rowOff>
    </xdr:from>
    <xdr:to>
      <xdr:col>33</xdr:col>
      <xdr:colOff>14</xdr:colOff>
      <xdr:row>205</xdr:row>
      <xdr:rowOff>109023</xdr:rowOff>
    </xdr:to>
    <xdr:pic>
      <xdr:nvPicPr>
        <xdr:cNvPr id="30" name="Picture 29">
          <a:extLst>
            <a:ext uri="{FF2B5EF4-FFF2-40B4-BE49-F238E27FC236}">
              <a16:creationId xmlns:a16="http://schemas.microsoft.com/office/drawing/2014/main" id="{B6319CE9-C053-4C1E-A8F4-082E4D0B30F7}"/>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238</xdr:row>
      <xdr:rowOff>0</xdr:rowOff>
    </xdr:from>
    <xdr:to>
      <xdr:col>33</xdr:col>
      <xdr:colOff>14</xdr:colOff>
      <xdr:row>240</xdr:row>
      <xdr:rowOff>109023</xdr:rowOff>
    </xdr:to>
    <xdr:pic>
      <xdr:nvPicPr>
        <xdr:cNvPr id="31" name="Picture 30">
          <a:extLst>
            <a:ext uri="{FF2B5EF4-FFF2-40B4-BE49-F238E27FC236}">
              <a16:creationId xmlns:a16="http://schemas.microsoft.com/office/drawing/2014/main" id="{DAF1751D-B0B8-4CC9-A49F-85BA90993AFD}"/>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269</xdr:row>
      <xdr:rowOff>0</xdr:rowOff>
    </xdr:from>
    <xdr:to>
      <xdr:col>33</xdr:col>
      <xdr:colOff>14</xdr:colOff>
      <xdr:row>271</xdr:row>
      <xdr:rowOff>109023</xdr:rowOff>
    </xdr:to>
    <xdr:pic>
      <xdr:nvPicPr>
        <xdr:cNvPr id="32" name="Picture 31">
          <a:extLst>
            <a:ext uri="{FF2B5EF4-FFF2-40B4-BE49-F238E27FC236}">
              <a16:creationId xmlns:a16="http://schemas.microsoft.com/office/drawing/2014/main" id="{CD75F79B-D8B1-4DCD-B3FA-9BB65A09526C}"/>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288</xdr:row>
      <xdr:rowOff>0</xdr:rowOff>
    </xdr:from>
    <xdr:to>
      <xdr:col>33</xdr:col>
      <xdr:colOff>14</xdr:colOff>
      <xdr:row>290</xdr:row>
      <xdr:rowOff>109023</xdr:rowOff>
    </xdr:to>
    <xdr:pic>
      <xdr:nvPicPr>
        <xdr:cNvPr id="33" name="Picture 32">
          <a:extLst>
            <a:ext uri="{FF2B5EF4-FFF2-40B4-BE49-F238E27FC236}">
              <a16:creationId xmlns:a16="http://schemas.microsoft.com/office/drawing/2014/main" id="{A7AE12DF-5D6D-4AEE-9AC8-16EC53C54050}"/>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307</xdr:row>
      <xdr:rowOff>0</xdr:rowOff>
    </xdr:from>
    <xdr:to>
      <xdr:col>33</xdr:col>
      <xdr:colOff>14</xdr:colOff>
      <xdr:row>309</xdr:row>
      <xdr:rowOff>109023</xdr:rowOff>
    </xdr:to>
    <xdr:pic>
      <xdr:nvPicPr>
        <xdr:cNvPr id="34" name="Picture 33">
          <a:extLst>
            <a:ext uri="{FF2B5EF4-FFF2-40B4-BE49-F238E27FC236}">
              <a16:creationId xmlns:a16="http://schemas.microsoft.com/office/drawing/2014/main" id="{9815FAC8-2D37-4A0F-936E-9182362F9A4F}"/>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326</xdr:row>
      <xdr:rowOff>0</xdr:rowOff>
    </xdr:from>
    <xdr:to>
      <xdr:col>33</xdr:col>
      <xdr:colOff>14</xdr:colOff>
      <xdr:row>328</xdr:row>
      <xdr:rowOff>109023</xdr:rowOff>
    </xdr:to>
    <xdr:pic>
      <xdr:nvPicPr>
        <xdr:cNvPr id="35" name="Picture 34">
          <a:extLst>
            <a:ext uri="{FF2B5EF4-FFF2-40B4-BE49-F238E27FC236}">
              <a16:creationId xmlns:a16="http://schemas.microsoft.com/office/drawing/2014/main" id="{4427C1D7-BF0F-4369-826F-6A5FE67F4149}"/>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207399</xdr:colOff>
      <xdr:row>25</xdr:row>
      <xdr:rowOff>92177</xdr:rowOff>
    </xdr:from>
    <xdr:to>
      <xdr:col>9</xdr:col>
      <xdr:colOff>196193</xdr:colOff>
      <xdr:row>27</xdr:row>
      <xdr:rowOff>49342</xdr:rowOff>
    </xdr:to>
    <xdr:sp macro="" textlink="">
      <xdr:nvSpPr>
        <xdr:cNvPr id="43" name="Rectangle 42">
          <a:extLst>
            <a:ext uri="{FF2B5EF4-FFF2-40B4-BE49-F238E27FC236}">
              <a16:creationId xmlns:a16="http://schemas.microsoft.com/office/drawing/2014/main" id="{A412EC43-3578-4545-9100-1354811BD9D3}"/>
            </a:ext>
          </a:extLst>
        </xdr:cNvPr>
        <xdr:cNvSpPr/>
      </xdr:nvSpPr>
      <xdr:spPr>
        <a:xfrm>
          <a:off x="207399" y="4939173"/>
          <a:ext cx="2201052" cy="3566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TÍNH TOÁN SỐ LƯỢNG</a:t>
          </a:r>
          <a:endParaRPr lang="en-US" sz="1100"/>
        </a:p>
      </xdr:txBody>
    </xdr:sp>
    <xdr:clientData/>
  </xdr:twoCellAnchor>
  <xdr:twoCellAnchor>
    <xdr:from>
      <xdr:col>0</xdr:col>
      <xdr:colOff>0</xdr:colOff>
      <xdr:row>48</xdr:row>
      <xdr:rowOff>0</xdr:rowOff>
    </xdr:from>
    <xdr:to>
      <xdr:col>33</xdr:col>
      <xdr:colOff>14</xdr:colOff>
      <xdr:row>50</xdr:row>
      <xdr:rowOff>109023</xdr:rowOff>
    </xdr:to>
    <xdr:pic>
      <xdr:nvPicPr>
        <xdr:cNvPr id="44" name="Picture 43">
          <a:extLst>
            <a:ext uri="{FF2B5EF4-FFF2-40B4-BE49-F238E27FC236}">
              <a16:creationId xmlns:a16="http://schemas.microsoft.com/office/drawing/2014/main" id="{706F361E-1A0A-4CCA-9BF3-4BF153F26960}"/>
            </a:ext>
          </a:extLst>
        </xdr:cNvPr>
        <xdr:cNvPicPr>
          <a:picLocks noChangeAspect="1"/>
        </xdr:cNvPicPr>
      </xdr:nvPicPr>
      <xdr:blipFill>
        <a:blip xmlns:r="http://schemas.openxmlformats.org/officeDocument/2006/relationships" r:embed="rId1"/>
        <a:stretch>
          <a:fillRect/>
        </a:stretch>
      </xdr:blipFill>
      <xdr:spPr>
        <a:xfrm>
          <a:off x="0" y="7850444"/>
          <a:ext cx="8111627" cy="508458"/>
        </a:xfrm>
        <a:prstGeom prst="rect">
          <a:avLst/>
        </a:prstGeom>
      </xdr:spPr>
    </xdr:pic>
    <xdr:clientData/>
  </xdr:twoCellAnchor>
  <xdr:twoCellAnchor>
    <xdr:from>
      <xdr:col>6</xdr:col>
      <xdr:colOff>53769</xdr:colOff>
      <xdr:row>67</xdr:row>
      <xdr:rowOff>92178</xdr:rowOff>
    </xdr:from>
    <xdr:to>
      <xdr:col>15</xdr:col>
      <xdr:colOff>42563</xdr:colOff>
      <xdr:row>69</xdr:row>
      <xdr:rowOff>49342</xdr:rowOff>
    </xdr:to>
    <xdr:sp macro="" textlink="">
      <xdr:nvSpPr>
        <xdr:cNvPr id="48" name="Rectangle 47">
          <a:extLst>
            <a:ext uri="{FF2B5EF4-FFF2-40B4-BE49-F238E27FC236}">
              <a16:creationId xmlns:a16="http://schemas.microsoft.com/office/drawing/2014/main" id="{06DECD67-A1BF-4117-B54C-F30DA67BDEC3}"/>
            </a:ext>
          </a:extLst>
        </xdr:cNvPr>
        <xdr:cNvSpPr/>
      </xdr:nvSpPr>
      <xdr:spPr>
        <a:xfrm>
          <a:off x="1528608" y="19349577"/>
          <a:ext cx="2201052" cy="3566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TÍNH TOÁN SỐ LƯỢNG</a:t>
          </a:r>
          <a:endParaRPr lang="en-US" sz="1100"/>
        </a:p>
      </xdr:txBody>
    </xdr:sp>
    <xdr:clientData/>
  </xdr:twoCellAnchor>
  <xdr:twoCellAnchor>
    <xdr:from>
      <xdr:col>6</xdr:col>
      <xdr:colOff>122904</xdr:colOff>
      <xdr:row>86</xdr:row>
      <xdr:rowOff>92177</xdr:rowOff>
    </xdr:from>
    <xdr:to>
      <xdr:col>15</xdr:col>
      <xdr:colOff>111698</xdr:colOff>
      <xdr:row>88</xdr:row>
      <xdr:rowOff>47353</xdr:rowOff>
    </xdr:to>
    <xdr:sp macro="" textlink="">
      <xdr:nvSpPr>
        <xdr:cNvPr id="49" name="Rectangle 48">
          <a:extLst>
            <a:ext uri="{FF2B5EF4-FFF2-40B4-BE49-F238E27FC236}">
              <a16:creationId xmlns:a16="http://schemas.microsoft.com/office/drawing/2014/main" id="{0EFD6111-2069-464F-8504-7398A116798D}"/>
            </a:ext>
          </a:extLst>
        </xdr:cNvPr>
        <xdr:cNvSpPr/>
      </xdr:nvSpPr>
      <xdr:spPr>
        <a:xfrm>
          <a:off x="1597743" y="23151895"/>
          <a:ext cx="2201052" cy="3546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YÊU CẦU BÁO GIÁ</a:t>
          </a:r>
          <a:endParaRPr lang="en-US" sz="1100"/>
        </a:p>
      </xdr:txBody>
    </xdr:sp>
    <xdr:clientData/>
  </xdr:twoCellAnchor>
  <xdr:twoCellAnchor>
    <xdr:from>
      <xdr:col>0</xdr:col>
      <xdr:colOff>168992</xdr:colOff>
      <xdr:row>89</xdr:row>
      <xdr:rowOff>61451</xdr:rowOff>
    </xdr:from>
    <xdr:to>
      <xdr:col>7</xdr:col>
      <xdr:colOff>127000</xdr:colOff>
      <xdr:row>91</xdr:row>
      <xdr:rowOff>18616</xdr:rowOff>
    </xdr:to>
    <xdr:sp macro="" textlink="">
      <xdr:nvSpPr>
        <xdr:cNvPr id="51" name="Rectangle 50">
          <a:extLst>
            <a:ext uri="{FF2B5EF4-FFF2-40B4-BE49-F238E27FC236}">
              <a16:creationId xmlns:a16="http://schemas.microsoft.com/office/drawing/2014/main" id="{464CD509-333A-42E8-BA09-4679E3B642E8}"/>
            </a:ext>
          </a:extLst>
        </xdr:cNvPr>
        <xdr:cNvSpPr/>
      </xdr:nvSpPr>
      <xdr:spPr>
        <a:xfrm>
          <a:off x="168992" y="22229301"/>
          <a:ext cx="1780458" cy="350865"/>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vi-VN" sz="1100">
              <a:solidFill>
                <a:sysClr val="windowText" lastClr="000000"/>
              </a:solidFill>
            </a:rPr>
            <a:t>TẠO YÊU CẦU BÁO GIÁ</a:t>
          </a:r>
          <a:endParaRPr lang="en-US" sz="1100">
            <a:solidFill>
              <a:sysClr val="windowText" lastClr="000000"/>
            </a:solidFill>
          </a:endParaRPr>
        </a:p>
      </xdr:txBody>
    </xdr:sp>
    <xdr:clientData/>
  </xdr:twoCellAnchor>
  <xdr:twoCellAnchor>
    <xdr:from>
      <xdr:col>8</xdr:col>
      <xdr:colOff>13211</xdr:colOff>
      <xdr:row>89</xdr:row>
      <xdr:rowOff>55101</xdr:rowOff>
    </xdr:from>
    <xdr:to>
      <xdr:col>16</xdr:col>
      <xdr:colOff>63500</xdr:colOff>
      <xdr:row>91</xdr:row>
      <xdr:rowOff>12266</xdr:rowOff>
    </xdr:to>
    <xdr:sp macro="" textlink="">
      <xdr:nvSpPr>
        <xdr:cNvPr id="52" name="Rectangle 51">
          <a:extLst>
            <a:ext uri="{FF2B5EF4-FFF2-40B4-BE49-F238E27FC236}">
              <a16:creationId xmlns:a16="http://schemas.microsoft.com/office/drawing/2014/main" id="{22940E0C-9480-4C59-BD53-C5FA18B96B10}"/>
            </a:ext>
          </a:extLst>
        </xdr:cNvPr>
        <xdr:cNvSpPr/>
      </xdr:nvSpPr>
      <xdr:spPr>
        <a:xfrm>
          <a:off x="2096011" y="22222951"/>
          <a:ext cx="2133089" cy="35086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vi-VN" sz="1100">
              <a:solidFill>
                <a:sysClr val="windowText" lastClr="000000"/>
              </a:solidFill>
            </a:rPr>
            <a:t>DOWNLOAD EXCEL FORMAT</a:t>
          </a:r>
          <a:endParaRPr lang="en-US" sz="1100">
            <a:solidFill>
              <a:sysClr val="windowText" lastClr="000000"/>
            </a:solidFill>
          </a:endParaRPr>
        </a:p>
      </xdr:txBody>
    </xdr:sp>
    <xdr:clientData/>
  </xdr:twoCellAnchor>
  <xdr:twoCellAnchor>
    <xdr:from>
      <xdr:col>16</xdr:col>
      <xdr:colOff>153936</xdr:colOff>
      <xdr:row>89</xdr:row>
      <xdr:rowOff>67802</xdr:rowOff>
    </xdr:from>
    <xdr:to>
      <xdr:col>19</xdr:col>
      <xdr:colOff>237613</xdr:colOff>
      <xdr:row>91</xdr:row>
      <xdr:rowOff>24967</xdr:rowOff>
    </xdr:to>
    <xdr:sp macro="" textlink="">
      <xdr:nvSpPr>
        <xdr:cNvPr id="53" name="Rectangle 52">
          <a:extLst>
            <a:ext uri="{FF2B5EF4-FFF2-40B4-BE49-F238E27FC236}">
              <a16:creationId xmlns:a16="http://schemas.microsoft.com/office/drawing/2014/main" id="{075BF675-EC94-427B-86E5-6D08F0DC362B}"/>
            </a:ext>
          </a:extLst>
        </xdr:cNvPr>
        <xdr:cNvSpPr/>
      </xdr:nvSpPr>
      <xdr:spPr>
        <a:xfrm>
          <a:off x="4319536" y="22235652"/>
          <a:ext cx="864727" cy="35086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vi-VN" sz="1100" b="0" cap="none" spc="0">
              <a:ln w="0"/>
              <a:solidFill>
                <a:schemeClr val="tx1"/>
              </a:solidFill>
              <a:effectLst>
                <a:outerShdw blurRad="38100" dist="19050" dir="2700000" algn="tl" rotWithShape="0">
                  <a:schemeClr val="dk1">
                    <a:alpha val="40000"/>
                  </a:schemeClr>
                </a:outerShdw>
              </a:effectLst>
            </a:rPr>
            <a:t>UPLOAD </a:t>
          </a:r>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20</xdr:col>
      <xdr:colOff>49775</xdr:colOff>
      <xdr:row>89</xdr:row>
      <xdr:rowOff>77838</xdr:rowOff>
    </xdr:from>
    <xdr:to>
      <xdr:col>23</xdr:col>
      <xdr:colOff>118908</xdr:colOff>
      <xdr:row>91</xdr:row>
      <xdr:rowOff>35003</xdr:rowOff>
    </xdr:to>
    <xdr:sp macro="" textlink="">
      <xdr:nvSpPr>
        <xdr:cNvPr id="54" name="Rectangle 53">
          <a:extLst>
            <a:ext uri="{FF2B5EF4-FFF2-40B4-BE49-F238E27FC236}">
              <a16:creationId xmlns:a16="http://schemas.microsoft.com/office/drawing/2014/main" id="{A0F17E68-07D3-4C0F-83FD-879FE730E16C}"/>
            </a:ext>
          </a:extLst>
        </xdr:cNvPr>
        <xdr:cNvSpPr/>
      </xdr:nvSpPr>
      <xdr:spPr>
        <a:xfrm>
          <a:off x="5256775" y="22245688"/>
          <a:ext cx="850183" cy="35086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vi-VN" sz="1100">
              <a:solidFill>
                <a:sysClr val="windowText" lastClr="000000"/>
              </a:solidFill>
            </a:rPr>
            <a:t>SUBMIT</a:t>
          </a:r>
          <a:endParaRPr lang="en-US" sz="1100">
            <a:solidFill>
              <a:sysClr val="windowText" lastClr="000000"/>
            </a:solidFill>
          </a:endParaRPr>
        </a:p>
      </xdr:txBody>
    </xdr:sp>
    <xdr:clientData/>
  </xdr:twoCellAnchor>
  <xdr:twoCellAnchor>
    <xdr:from>
      <xdr:col>18</xdr:col>
      <xdr:colOff>47166</xdr:colOff>
      <xdr:row>115</xdr:row>
      <xdr:rowOff>54720</xdr:rowOff>
    </xdr:from>
    <xdr:to>
      <xdr:col>22</xdr:col>
      <xdr:colOff>69849</xdr:colOff>
      <xdr:row>117</xdr:row>
      <xdr:rowOff>107540</xdr:rowOff>
    </xdr:to>
    <xdr:sp macro="" textlink="">
      <xdr:nvSpPr>
        <xdr:cNvPr id="56" name="Rectangle 55">
          <a:extLst>
            <a:ext uri="{FF2B5EF4-FFF2-40B4-BE49-F238E27FC236}">
              <a16:creationId xmlns:a16="http://schemas.microsoft.com/office/drawing/2014/main" id="{F8ED5DCE-90A4-40B6-8639-438599C7AE02}"/>
            </a:ext>
          </a:extLst>
        </xdr:cNvPr>
        <xdr:cNvSpPr/>
      </xdr:nvSpPr>
      <xdr:spPr>
        <a:xfrm>
          <a:off x="4733466" y="27410520"/>
          <a:ext cx="1064083" cy="4465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800" b="1">
              <a:solidFill>
                <a:sysClr val="windowText" lastClr="000000"/>
              </a:solidFill>
            </a:rPr>
            <a:t>Mã hàng</a:t>
          </a:r>
        </a:p>
        <a:p>
          <a:pPr algn="ctr"/>
          <a:r>
            <a:rPr lang="ja-JP" altLang="en-US" sz="800" b="1">
              <a:solidFill>
                <a:sysClr val="windowText" lastClr="000000"/>
              </a:solidFill>
            </a:rPr>
            <a:t>部品コード</a:t>
          </a:r>
          <a:r>
            <a:rPr lang="vi-VN" altLang="ja-JP" sz="800" b="1">
              <a:solidFill>
                <a:sysClr val="windowText" lastClr="000000"/>
              </a:solidFill>
            </a:rPr>
            <a:t>(text)</a:t>
          </a:r>
          <a:endParaRPr lang="en-US" sz="800" b="1">
            <a:solidFill>
              <a:sysClr val="windowText" lastClr="000000"/>
            </a:solidFill>
          </a:endParaRPr>
        </a:p>
      </xdr:txBody>
    </xdr:sp>
    <xdr:clientData/>
  </xdr:twoCellAnchor>
  <xdr:twoCellAnchor>
    <xdr:from>
      <xdr:col>12</xdr:col>
      <xdr:colOff>173004</xdr:colOff>
      <xdr:row>115</xdr:row>
      <xdr:rowOff>39357</xdr:rowOff>
    </xdr:from>
    <xdr:to>
      <xdr:col>17</xdr:col>
      <xdr:colOff>177705</xdr:colOff>
      <xdr:row>117</xdr:row>
      <xdr:rowOff>104979</xdr:rowOff>
    </xdr:to>
    <xdr:sp macro="" textlink="">
      <xdr:nvSpPr>
        <xdr:cNvPr id="57" name="Rectangle 56">
          <a:extLst>
            <a:ext uri="{FF2B5EF4-FFF2-40B4-BE49-F238E27FC236}">
              <a16:creationId xmlns:a16="http://schemas.microsoft.com/office/drawing/2014/main" id="{FBE281FD-06FB-486F-AA72-7320DCCCC145}"/>
            </a:ext>
          </a:extLst>
        </xdr:cNvPr>
        <xdr:cNvSpPr/>
      </xdr:nvSpPr>
      <xdr:spPr>
        <a:xfrm>
          <a:off x="3122681" y="27892301"/>
          <a:ext cx="1233734" cy="46505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vi-VN" sz="800" b="1">
              <a:solidFill>
                <a:sysClr val="windowText" lastClr="000000"/>
              </a:solidFill>
            </a:rPr>
            <a:t>Mã đơn yêu cầu báo giá (text)</a:t>
          </a:r>
          <a:endParaRPr lang="en-US" sz="800" b="1">
            <a:solidFill>
              <a:sysClr val="windowText" lastClr="000000"/>
            </a:solidFill>
          </a:endParaRPr>
        </a:p>
      </xdr:txBody>
    </xdr:sp>
    <xdr:clientData/>
  </xdr:twoCellAnchor>
  <xdr:twoCellAnchor editAs="oneCell">
    <xdr:from>
      <xdr:col>0</xdr:col>
      <xdr:colOff>0</xdr:colOff>
      <xdr:row>122</xdr:row>
      <xdr:rowOff>38406</xdr:rowOff>
    </xdr:from>
    <xdr:to>
      <xdr:col>37</xdr:col>
      <xdr:colOff>99859</xdr:colOff>
      <xdr:row>130</xdr:row>
      <xdr:rowOff>126824</xdr:rowOff>
    </xdr:to>
    <xdr:pic>
      <xdr:nvPicPr>
        <xdr:cNvPr id="63" name="Picture 62">
          <a:extLst>
            <a:ext uri="{FF2B5EF4-FFF2-40B4-BE49-F238E27FC236}">
              <a16:creationId xmlns:a16="http://schemas.microsoft.com/office/drawing/2014/main" id="{E3C23F6A-EAF3-F026-BC83-A6E688C8BC92}"/>
            </a:ext>
          </a:extLst>
        </xdr:cNvPr>
        <xdr:cNvPicPr>
          <a:picLocks noChangeAspect="1"/>
        </xdr:cNvPicPr>
      </xdr:nvPicPr>
      <xdr:blipFill>
        <a:blip xmlns:r="http://schemas.openxmlformats.org/officeDocument/2006/relationships" r:embed="rId4"/>
        <a:stretch>
          <a:fillRect/>
        </a:stretch>
      </xdr:blipFill>
      <xdr:spPr>
        <a:xfrm>
          <a:off x="0" y="29289374"/>
          <a:ext cx="8964254" cy="1686160"/>
        </a:xfrm>
        <a:prstGeom prst="rect">
          <a:avLst/>
        </a:prstGeom>
      </xdr:spPr>
    </xdr:pic>
    <xdr:clientData/>
  </xdr:twoCellAnchor>
  <xdr:twoCellAnchor>
    <xdr:from>
      <xdr:col>22</xdr:col>
      <xdr:colOff>159366</xdr:colOff>
      <xdr:row>115</xdr:row>
      <xdr:rowOff>61452</xdr:rowOff>
    </xdr:from>
    <xdr:to>
      <xdr:col>25</xdr:col>
      <xdr:colOff>258146</xdr:colOff>
      <xdr:row>117</xdr:row>
      <xdr:rowOff>114272</xdr:rowOff>
    </xdr:to>
    <xdr:sp macro="" textlink="">
      <xdr:nvSpPr>
        <xdr:cNvPr id="65" name="Rectangle 64">
          <a:extLst>
            <a:ext uri="{FF2B5EF4-FFF2-40B4-BE49-F238E27FC236}">
              <a16:creationId xmlns:a16="http://schemas.microsoft.com/office/drawing/2014/main" id="{74580E79-ABEE-4A99-AC16-E6105ED4186C}"/>
            </a:ext>
          </a:extLst>
        </xdr:cNvPr>
        <xdr:cNvSpPr/>
      </xdr:nvSpPr>
      <xdr:spPr>
        <a:xfrm>
          <a:off x="5887066" y="27417252"/>
          <a:ext cx="879830" cy="44652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vi-VN" sz="800" b="1">
              <a:solidFill>
                <a:sysClr val="windowText" lastClr="000000"/>
              </a:solidFill>
            </a:rPr>
            <a:t>Phê duyệt</a:t>
          </a:r>
          <a:endParaRPr lang="en-US" sz="800" b="1">
            <a:solidFill>
              <a:sysClr val="windowText" lastClr="000000"/>
            </a:solidFill>
          </a:endParaRPr>
        </a:p>
      </xdr:txBody>
    </xdr:sp>
    <xdr:clientData/>
  </xdr:twoCellAnchor>
  <xdr:twoCellAnchor>
    <xdr:from>
      <xdr:col>26</xdr:col>
      <xdr:colOff>99859</xdr:colOff>
      <xdr:row>115</xdr:row>
      <xdr:rowOff>69133</xdr:rowOff>
    </xdr:from>
    <xdr:to>
      <xdr:col>29</xdr:col>
      <xdr:colOff>198639</xdr:colOff>
      <xdr:row>117</xdr:row>
      <xdr:rowOff>121953</xdr:rowOff>
    </xdr:to>
    <xdr:sp macro="" textlink="">
      <xdr:nvSpPr>
        <xdr:cNvPr id="66" name="Rectangle 65">
          <a:extLst>
            <a:ext uri="{FF2B5EF4-FFF2-40B4-BE49-F238E27FC236}">
              <a16:creationId xmlns:a16="http://schemas.microsoft.com/office/drawing/2014/main" id="{7176708B-129F-4892-9169-80CBD36FCD39}"/>
            </a:ext>
          </a:extLst>
        </xdr:cNvPr>
        <xdr:cNvSpPr/>
      </xdr:nvSpPr>
      <xdr:spPr>
        <a:xfrm>
          <a:off x="6490827" y="27922077"/>
          <a:ext cx="836199" cy="452255"/>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vi-VN" sz="800" b="1">
              <a:solidFill>
                <a:sysClr val="windowText" lastClr="000000"/>
              </a:solidFill>
            </a:rPr>
            <a:t>TRẢ LẠI</a:t>
          </a:r>
          <a:endParaRPr lang="en-US" sz="800" b="1">
            <a:solidFill>
              <a:sysClr val="windowText" lastClr="000000"/>
            </a:solidFill>
          </a:endParaRPr>
        </a:p>
      </xdr:txBody>
    </xdr:sp>
    <xdr:clientData/>
  </xdr:twoCellAnchor>
  <xdr:twoCellAnchor>
    <xdr:from>
      <xdr:col>24</xdr:col>
      <xdr:colOff>77393</xdr:colOff>
      <xdr:row>154</xdr:row>
      <xdr:rowOff>20047</xdr:rowOff>
    </xdr:from>
    <xdr:to>
      <xdr:col>27</xdr:col>
      <xdr:colOff>199465</xdr:colOff>
      <xdr:row>156</xdr:row>
      <xdr:rowOff>50284</xdr:rowOff>
    </xdr:to>
    <xdr:sp macro="" textlink="">
      <xdr:nvSpPr>
        <xdr:cNvPr id="55" name="Rectangle 54">
          <a:extLst>
            <a:ext uri="{FF2B5EF4-FFF2-40B4-BE49-F238E27FC236}">
              <a16:creationId xmlns:a16="http://schemas.microsoft.com/office/drawing/2014/main" id="{95799C85-33F9-4009-9A56-76E3C98AE738}"/>
            </a:ext>
          </a:extLst>
        </xdr:cNvPr>
        <xdr:cNvSpPr/>
      </xdr:nvSpPr>
      <xdr:spPr>
        <a:xfrm>
          <a:off x="6352687" y="34847929"/>
          <a:ext cx="906484" cy="41870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vi-VN" sz="900"/>
            <a:t>Gửi mail xin báo giá</a:t>
          </a:r>
          <a:endParaRPr lang="en-US" sz="900"/>
        </a:p>
      </xdr:txBody>
    </xdr:sp>
    <xdr:clientData/>
  </xdr:twoCellAnchor>
  <xdr:twoCellAnchor>
    <xdr:from>
      <xdr:col>28</xdr:col>
      <xdr:colOff>6032</xdr:colOff>
      <xdr:row>154</xdr:row>
      <xdr:rowOff>27606</xdr:rowOff>
    </xdr:from>
    <xdr:to>
      <xdr:col>30</xdr:col>
      <xdr:colOff>67235</xdr:colOff>
      <xdr:row>156</xdr:row>
      <xdr:rowOff>57843</xdr:rowOff>
    </xdr:to>
    <xdr:sp macro="" textlink="">
      <xdr:nvSpPr>
        <xdr:cNvPr id="61" name="Rectangle 60">
          <a:extLst>
            <a:ext uri="{FF2B5EF4-FFF2-40B4-BE49-F238E27FC236}">
              <a16:creationId xmlns:a16="http://schemas.microsoft.com/office/drawing/2014/main" id="{32128563-0709-4A45-B994-F63F73B854CF}"/>
            </a:ext>
          </a:extLst>
        </xdr:cNvPr>
        <xdr:cNvSpPr/>
      </xdr:nvSpPr>
      <xdr:spPr>
        <a:xfrm>
          <a:off x="7327208" y="34855488"/>
          <a:ext cx="584145" cy="41870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vi-VN" sz="900"/>
            <a:t>Input báo giá</a:t>
          </a:r>
          <a:endParaRPr lang="en-US" sz="900"/>
        </a:p>
      </xdr:txBody>
    </xdr:sp>
    <xdr:clientData/>
  </xdr:twoCellAnchor>
  <xdr:twoCellAnchor>
    <xdr:from>
      <xdr:col>30</xdr:col>
      <xdr:colOff>130932</xdr:colOff>
      <xdr:row>154</xdr:row>
      <xdr:rowOff>20136</xdr:rowOff>
    </xdr:from>
    <xdr:to>
      <xdr:col>32</xdr:col>
      <xdr:colOff>224119</xdr:colOff>
      <xdr:row>156</xdr:row>
      <xdr:rowOff>50373</xdr:rowOff>
    </xdr:to>
    <xdr:sp macro="" textlink="">
      <xdr:nvSpPr>
        <xdr:cNvPr id="67" name="Rectangle 66">
          <a:extLst>
            <a:ext uri="{FF2B5EF4-FFF2-40B4-BE49-F238E27FC236}">
              <a16:creationId xmlns:a16="http://schemas.microsoft.com/office/drawing/2014/main" id="{2FF334C5-69A6-4545-A490-F48BFFE17543}"/>
            </a:ext>
          </a:extLst>
        </xdr:cNvPr>
        <xdr:cNvSpPr/>
      </xdr:nvSpPr>
      <xdr:spPr>
        <a:xfrm>
          <a:off x="7975050" y="34848018"/>
          <a:ext cx="616128" cy="41870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900"/>
            <a:t>Upload </a:t>
          </a:r>
          <a:r>
            <a:rPr lang="vi-VN" sz="900"/>
            <a:t>báo giá</a:t>
          </a:r>
          <a:endParaRPr lang="en-US" sz="900"/>
        </a:p>
      </xdr:txBody>
    </xdr:sp>
    <xdr:clientData/>
  </xdr:twoCellAnchor>
  <xdr:twoCellAnchor>
    <xdr:from>
      <xdr:col>33</xdr:col>
      <xdr:colOff>10156</xdr:colOff>
      <xdr:row>154</xdr:row>
      <xdr:rowOff>27695</xdr:rowOff>
    </xdr:from>
    <xdr:to>
      <xdr:col>37</xdr:col>
      <xdr:colOff>98629</xdr:colOff>
      <xdr:row>156</xdr:row>
      <xdr:rowOff>57932</xdr:rowOff>
    </xdr:to>
    <xdr:sp macro="" textlink="">
      <xdr:nvSpPr>
        <xdr:cNvPr id="68" name="Rectangle 67">
          <a:extLst>
            <a:ext uri="{FF2B5EF4-FFF2-40B4-BE49-F238E27FC236}">
              <a16:creationId xmlns:a16="http://schemas.microsoft.com/office/drawing/2014/main" id="{F3E294F4-D03E-4854-AC85-96AADA720557}"/>
            </a:ext>
          </a:extLst>
        </xdr:cNvPr>
        <xdr:cNvSpPr/>
      </xdr:nvSpPr>
      <xdr:spPr>
        <a:xfrm>
          <a:off x="8638685" y="34855577"/>
          <a:ext cx="887826" cy="41870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vi-VN" sz="900"/>
            <a:t>Download format upload giá</a:t>
          </a:r>
          <a:endParaRPr lang="en-US" sz="900"/>
        </a:p>
      </xdr:txBody>
    </xdr:sp>
    <xdr:clientData/>
  </xdr:twoCellAnchor>
  <xdr:twoCellAnchor>
    <xdr:from>
      <xdr:col>6</xdr:col>
      <xdr:colOff>203200</xdr:colOff>
      <xdr:row>207</xdr:row>
      <xdr:rowOff>176766</xdr:rowOff>
    </xdr:from>
    <xdr:to>
      <xdr:col>11</xdr:col>
      <xdr:colOff>205775</xdr:colOff>
      <xdr:row>210</xdr:row>
      <xdr:rowOff>2245</xdr:rowOff>
    </xdr:to>
    <xdr:grpSp>
      <xdr:nvGrpSpPr>
        <xdr:cNvPr id="20" name="Group 19">
          <a:extLst>
            <a:ext uri="{FF2B5EF4-FFF2-40B4-BE49-F238E27FC236}">
              <a16:creationId xmlns:a16="http://schemas.microsoft.com/office/drawing/2014/main" id="{11F12735-A37E-4EFC-B853-912EF53CDB9D}"/>
            </a:ext>
          </a:extLst>
        </xdr:cNvPr>
        <xdr:cNvGrpSpPr/>
      </xdr:nvGrpSpPr>
      <xdr:grpSpPr>
        <a:xfrm>
          <a:off x="1772024" y="40637472"/>
          <a:ext cx="1309927" cy="408185"/>
          <a:chOff x="3230217" y="8595507"/>
          <a:chExt cx="2002565" cy="610991"/>
        </a:xfrm>
      </xdr:grpSpPr>
      <xdr:sp macro="" textlink="">
        <xdr:nvSpPr>
          <xdr:cNvPr id="22" name="Rectangle 21">
            <a:extLst>
              <a:ext uri="{FF2B5EF4-FFF2-40B4-BE49-F238E27FC236}">
                <a16:creationId xmlns:a16="http://schemas.microsoft.com/office/drawing/2014/main" id="{01C7A024-9A53-1609-9D0F-A1AF9171C557}"/>
              </a:ext>
            </a:extLst>
          </xdr:cNvPr>
          <xdr:cNvSpPr/>
        </xdr:nvSpPr>
        <xdr:spPr>
          <a:xfrm>
            <a:off x="3230217" y="8595507"/>
            <a:ext cx="1997029" cy="60739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Tình trạng </a:t>
            </a:r>
            <a:r>
              <a:rPr lang="vi-VN" sz="800" b="1">
                <a:solidFill>
                  <a:sysClr val="windowText" lastClr="000000"/>
                </a:solidFill>
              </a:rPr>
              <a:t>đơn</a:t>
            </a:r>
            <a:endParaRPr lang="en-US" sz="800" b="1">
              <a:solidFill>
                <a:sysClr val="windowText" lastClr="000000"/>
              </a:solidFill>
            </a:endParaRPr>
          </a:p>
        </xdr:txBody>
      </xdr:sp>
      <xdr:pic>
        <xdr:nvPicPr>
          <xdr:cNvPr id="23" name="Picture 22">
            <a:extLst>
              <a:ext uri="{FF2B5EF4-FFF2-40B4-BE49-F238E27FC236}">
                <a16:creationId xmlns:a16="http://schemas.microsoft.com/office/drawing/2014/main" id="{138DAF42-0517-B93D-62D5-0EA5D41C6201}"/>
              </a:ext>
            </a:extLst>
          </xdr:cNvPr>
          <xdr:cNvPicPr>
            <a:picLocks noChangeAspect="1"/>
          </xdr:cNvPicPr>
        </xdr:nvPicPr>
        <xdr:blipFill>
          <a:blip xmlns:r="http://schemas.openxmlformats.org/officeDocument/2006/relationships" r:embed="rId5"/>
          <a:stretch>
            <a:fillRect/>
          </a:stretch>
        </xdr:blipFill>
        <xdr:spPr>
          <a:xfrm>
            <a:off x="4978769" y="9009638"/>
            <a:ext cx="254013" cy="196860"/>
          </a:xfrm>
          <a:prstGeom prst="rect">
            <a:avLst/>
          </a:prstGeom>
        </xdr:spPr>
        <xdr:style>
          <a:lnRef idx="1">
            <a:schemeClr val="accent4"/>
          </a:lnRef>
          <a:fillRef idx="2">
            <a:schemeClr val="accent4"/>
          </a:fillRef>
          <a:effectRef idx="1">
            <a:schemeClr val="accent4"/>
          </a:effectRef>
          <a:fontRef idx="minor">
            <a:schemeClr val="dk1"/>
          </a:fontRef>
        </xdr:style>
      </xdr:pic>
    </xdr:grpSp>
    <xdr:clientData/>
  </xdr:twoCellAnchor>
  <xdr:twoCellAnchor>
    <xdr:from>
      <xdr:col>12</xdr:col>
      <xdr:colOff>132080</xdr:colOff>
      <xdr:row>207</xdr:row>
      <xdr:rowOff>152400</xdr:rowOff>
    </xdr:from>
    <xdr:to>
      <xdr:col>18</xdr:col>
      <xdr:colOff>87980</xdr:colOff>
      <xdr:row>210</xdr:row>
      <xdr:rowOff>14773</xdr:rowOff>
    </xdr:to>
    <xdr:sp macro="" textlink="">
      <xdr:nvSpPr>
        <xdr:cNvPr id="24" name="Rectangle 23">
          <a:extLst>
            <a:ext uri="{FF2B5EF4-FFF2-40B4-BE49-F238E27FC236}">
              <a16:creationId xmlns:a16="http://schemas.microsoft.com/office/drawing/2014/main" id="{A0F9EDE8-D513-4226-9E53-0157077AA274}"/>
            </a:ext>
          </a:extLst>
        </xdr:cNvPr>
        <xdr:cNvSpPr/>
      </xdr:nvSpPr>
      <xdr:spPr>
        <a:xfrm>
          <a:off x="3256280" y="43097450"/>
          <a:ext cx="1518000" cy="45292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 Mã phòng ban yêu cầu</a:t>
          </a:r>
        </a:p>
        <a:p>
          <a:pPr algn="ctr"/>
          <a:r>
            <a:rPr lang="ja-JP" altLang="en-US" sz="800" b="1">
              <a:solidFill>
                <a:sysClr val="windowText" lastClr="000000"/>
              </a:solidFill>
            </a:rPr>
            <a:t>依頼部門コストセンター</a:t>
          </a:r>
          <a:endParaRPr lang="en-US" sz="800" b="1">
            <a:solidFill>
              <a:sysClr val="windowText" lastClr="000000"/>
            </a:solidFill>
          </a:endParaRPr>
        </a:p>
      </xdr:txBody>
    </xdr:sp>
    <xdr:clientData/>
  </xdr:twoCellAnchor>
  <xdr:twoCellAnchor>
    <xdr:from>
      <xdr:col>1</xdr:col>
      <xdr:colOff>12700</xdr:colOff>
      <xdr:row>207</xdr:row>
      <xdr:rowOff>190500</xdr:rowOff>
    </xdr:from>
    <xdr:to>
      <xdr:col>6</xdr:col>
      <xdr:colOff>15275</xdr:colOff>
      <xdr:row>210</xdr:row>
      <xdr:rowOff>15979</xdr:rowOff>
    </xdr:to>
    <xdr:grpSp>
      <xdr:nvGrpSpPr>
        <xdr:cNvPr id="72" name="Group 71">
          <a:extLst>
            <a:ext uri="{FF2B5EF4-FFF2-40B4-BE49-F238E27FC236}">
              <a16:creationId xmlns:a16="http://schemas.microsoft.com/office/drawing/2014/main" id="{44AA1FF9-33FB-405B-A503-1378F2171D8C}"/>
            </a:ext>
          </a:extLst>
        </xdr:cNvPr>
        <xdr:cNvGrpSpPr/>
      </xdr:nvGrpSpPr>
      <xdr:grpSpPr>
        <a:xfrm>
          <a:off x="274171" y="40651206"/>
          <a:ext cx="1309928" cy="408185"/>
          <a:chOff x="3230217" y="8595507"/>
          <a:chExt cx="2002565" cy="610991"/>
        </a:xfrm>
      </xdr:grpSpPr>
      <xdr:sp macro="" textlink="">
        <xdr:nvSpPr>
          <xdr:cNvPr id="73" name="Rectangle 72">
            <a:extLst>
              <a:ext uri="{FF2B5EF4-FFF2-40B4-BE49-F238E27FC236}">
                <a16:creationId xmlns:a16="http://schemas.microsoft.com/office/drawing/2014/main" id="{BA8E57DB-6E0E-1CF6-BE45-EFB82DE0205A}"/>
              </a:ext>
            </a:extLst>
          </xdr:cNvPr>
          <xdr:cNvSpPr/>
        </xdr:nvSpPr>
        <xdr:spPr>
          <a:xfrm>
            <a:off x="3230217" y="8595507"/>
            <a:ext cx="1997029" cy="60739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Tình trạng </a:t>
            </a:r>
            <a:r>
              <a:rPr lang="vi-VN" sz="800" b="1">
                <a:solidFill>
                  <a:sysClr val="windowText" lastClr="000000"/>
                </a:solidFill>
              </a:rPr>
              <a:t>mã hàng</a:t>
            </a:r>
            <a:endParaRPr lang="en-US" sz="800" b="1">
              <a:solidFill>
                <a:sysClr val="windowText" lastClr="000000"/>
              </a:solidFill>
            </a:endParaRPr>
          </a:p>
        </xdr:txBody>
      </xdr:sp>
      <xdr:pic>
        <xdr:nvPicPr>
          <xdr:cNvPr id="74" name="Picture 73">
            <a:extLst>
              <a:ext uri="{FF2B5EF4-FFF2-40B4-BE49-F238E27FC236}">
                <a16:creationId xmlns:a16="http://schemas.microsoft.com/office/drawing/2014/main" id="{14D02239-7B41-713F-6355-C06032C945AF}"/>
              </a:ext>
            </a:extLst>
          </xdr:cNvPr>
          <xdr:cNvPicPr>
            <a:picLocks noChangeAspect="1"/>
          </xdr:cNvPicPr>
        </xdr:nvPicPr>
        <xdr:blipFill>
          <a:blip xmlns:r="http://schemas.openxmlformats.org/officeDocument/2006/relationships" r:embed="rId5"/>
          <a:stretch>
            <a:fillRect/>
          </a:stretch>
        </xdr:blipFill>
        <xdr:spPr>
          <a:xfrm>
            <a:off x="4978769" y="9009638"/>
            <a:ext cx="254013" cy="196860"/>
          </a:xfrm>
          <a:prstGeom prst="rect">
            <a:avLst/>
          </a:prstGeom>
        </xdr:spPr>
        <xdr:style>
          <a:lnRef idx="1">
            <a:schemeClr val="accent4"/>
          </a:lnRef>
          <a:fillRef idx="2">
            <a:schemeClr val="accent4"/>
          </a:fillRef>
          <a:effectRef idx="1">
            <a:schemeClr val="accent4"/>
          </a:effectRef>
          <a:fontRef idx="minor">
            <a:schemeClr val="dk1"/>
          </a:fontRef>
        </xdr:style>
      </xdr:pic>
    </xdr:grpSp>
    <xdr:clientData/>
  </xdr:twoCellAnchor>
  <xdr:twoCellAnchor>
    <xdr:from>
      <xdr:col>24</xdr:col>
      <xdr:colOff>152400</xdr:colOff>
      <xdr:row>207</xdr:row>
      <xdr:rowOff>171450</xdr:rowOff>
    </xdr:from>
    <xdr:to>
      <xdr:col>27</xdr:col>
      <xdr:colOff>251180</xdr:colOff>
      <xdr:row>210</xdr:row>
      <xdr:rowOff>27420</xdr:rowOff>
    </xdr:to>
    <xdr:sp macro="" textlink="">
      <xdr:nvSpPr>
        <xdr:cNvPr id="77" name="Rectangle 76">
          <a:extLst>
            <a:ext uri="{FF2B5EF4-FFF2-40B4-BE49-F238E27FC236}">
              <a16:creationId xmlns:a16="http://schemas.microsoft.com/office/drawing/2014/main" id="{ECE5E7F9-B9E5-4858-9C5E-92CA708C20BE}"/>
            </a:ext>
          </a:extLst>
        </xdr:cNvPr>
        <xdr:cNvSpPr/>
      </xdr:nvSpPr>
      <xdr:spPr>
        <a:xfrm>
          <a:off x="6400800" y="43313350"/>
          <a:ext cx="879830" cy="44652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vi-VN" sz="800" b="1">
              <a:solidFill>
                <a:sysClr val="windowText" lastClr="000000"/>
              </a:solidFill>
            </a:rPr>
            <a:t>Submit</a:t>
          </a:r>
          <a:endParaRPr lang="en-US" sz="800" b="1">
            <a:solidFill>
              <a:sysClr val="windowText" lastClr="000000"/>
            </a:solidFill>
          </a:endParaRPr>
        </a:p>
      </xdr:txBody>
    </xdr:sp>
    <xdr:clientData/>
  </xdr:twoCellAnchor>
  <xdr:twoCellAnchor>
    <xdr:from>
      <xdr:col>24</xdr:col>
      <xdr:colOff>177800</xdr:colOff>
      <xdr:row>241</xdr:row>
      <xdr:rowOff>44450</xdr:rowOff>
    </xdr:from>
    <xdr:to>
      <xdr:col>29</xdr:col>
      <xdr:colOff>48934</xdr:colOff>
      <xdr:row>243</xdr:row>
      <xdr:rowOff>39964</xdr:rowOff>
    </xdr:to>
    <xdr:sp macro="" textlink="">
      <xdr:nvSpPr>
        <xdr:cNvPr id="93" name="Rectangle 92">
          <a:extLst>
            <a:ext uri="{FF2B5EF4-FFF2-40B4-BE49-F238E27FC236}">
              <a16:creationId xmlns:a16="http://schemas.microsoft.com/office/drawing/2014/main" id="{003E3C59-C4E9-426D-83F6-F6A615FE5476}"/>
            </a:ext>
          </a:extLst>
        </xdr:cNvPr>
        <xdr:cNvSpPr/>
      </xdr:nvSpPr>
      <xdr:spPr>
        <a:xfrm>
          <a:off x="6426200" y="48907700"/>
          <a:ext cx="1172884" cy="389214"/>
        </a:xfrm>
        <a:prstGeom prst="rect">
          <a:avLst/>
        </a:prstGeom>
        <a:solidFill>
          <a:srgbClr val="00B050"/>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vi-VN" sz="800" b="1">
              <a:solidFill>
                <a:sysClr val="windowText" lastClr="000000"/>
              </a:solidFill>
            </a:rPr>
            <a:t>Down load ra excel</a:t>
          </a:r>
          <a:endParaRPr lang="en-US" sz="800" b="1">
            <a:solidFill>
              <a:sysClr val="windowText" lastClr="000000"/>
            </a:solidFill>
          </a:endParaRPr>
        </a:p>
      </xdr:txBody>
    </xdr:sp>
    <xdr:clientData/>
  </xdr:twoCellAnchor>
  <xdr:twoCellAnchor>
    <xdr:from>
      <xdr:col>37</xdr:col>
      <xdr:colOff>200212</xdr:colOff>
      <xdr:row>154</xdr:row>
      <xdr:rowOff>24279</xdr:rowOff>
    </xdr:from>
    <xdr:to>
      <xdr:col>37</xdr:col>
      <xdr:colOff>1426883</xdr:colOff>
      <xdr:row>156</xdr:row>
      <xdr:rowOff>52294</xdr:rowOff>
    </xdr:to>
    <xdr:sp macro="" textlink="">
      <xdr:nvSpPr>
        <xdr:cNvPr id="95" name="Rectangle 94">
          <a:extLst>
            <a:ext uri="{FF2B5EF4-FFF2-40B4-BE49-F238E27FC236}">
              <a16:creationId xmlns:a16="http://schemas.microsoft.com/office/drawing/2014/main" id="{8F0CBC7D-1EA0-48E8-86FC-5C97E1F12F8D}"/>
            </a:ext>
          </a:extLst>
        </xdr:cNvPr>
        <xdr:cNvSpPr/>
      </xdr:nvSpPr>
      <xdr:spPr>
        <a:xfrm>
          <a:off x="9628094" y="34852161"/>
          <a:ext cx="1226671" cy="41648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vi-VN" sz="900">
              <a:solidFill>
                <a:srgbClr val="FF0000"/>
              </a:solidFill>
            </a:rPr>
            <a:t>Yêu cầu phòng ban xem xét lại điều kiện</a:t>
          </a:r>
          <a:endParaRPr lang="en-US" sz="900">
            <a:solidFill>
              <a:srgbClr val="FF0000"/>
            </a:solidFill>
          </a:endParaRPr>
        </a:p>
      </xdr:txBody>
    </xdr:sp>
    <xdr:clientData/>
  </xdr:twoCellAnchor>
  <xdr:twoCellAnchor>
    <xdr:from>
      <xdr:col>30</xdr:col>
      <xdr:colOff>101600</xdr:colOff>
      <xdr:row>115</xdr:row>
      <xdr:rowOff>44450</xdr:rowOff>
    </xdr:from>
    <xdr:to>
      <xdr:col>33</xdr:col>
      <xdr:colOff>200380</xdr:colOff>
      <xdr:row>117</xdr:row>
      <xdr:rowOff>97270</xdr:rowOff>
    </xdr:to>
    <xdr:sp macro="" textlink="">
      <xdr:nvSpPr>
        <xdr:cNvPr id="17" name="Rectangle 16">
          <a:extLst>
            <a:ext uri="{FF2B5EF4-FFF2-40B4-BE49-F238E27FC236}">
              <a16:creationId xmlns:a16="http://schemas.microsoft.com/office/drawing/2014/main" id="{B50847F6-4DE5-46E6-BD5B-E24F09FAFD89}"/>
            </a:ext>
          </a:extLst>
        </xdr:cNvPr>
        <xdr:cNvSpPr/>
      </xdr:nvSpPr>
      <xdr:spPr>
        <a:xfrm>
          <a:off x="7912100" y="27400250"/>
          <a:ext cx="879830" cy="44652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vi-VN" sz="800" b="1">
              <a:solidFill>
                <a:sysClr val="windowText" lastClr="000000"/>
              </a:solidFill>
            </a:rPr>
            <a:t>Sửa đơn</a:t>
          </a:r>
          <a:endParaRPr lang="en-US" sz="800" b="1">
            <a:solidFill>
              <a:sysClr val="windowText" lastClr="000000"/>
            </a:solidFill>
          </a:endParaRPr>
        </a:p>
      </xdr:txBody>
    </xdr:sp>
    <xdr:clientData/>
  </xdr:twoCellAnchor>
  <xdr:twoCellAnchor>
    <xdr:from>
      <xdr:col>0</xdr:col>
      <xdr:colOff>168991</xdr:colOff>
      <xdr:row>115</xdr:row>
      <xdr:rowOff>51275</xdr:rowOff>
    </xdr:from>
    <xdr:to>
      <xdr:col>5</xdr:col>
      <xdr:colOff>167960</xdr:colOff>
      <xdr:row>117</xdr:row>
      <xdr:rowOff>71153</xdr:rowOff>
    </xdr:to>
    <xdr:grpSp>
      <xdr:nvGrpSpPr>
        <xdr:cNvPr id="70" name="Group 69">
          <a:extLst>
            <a:ext uri="{FF2B5EF4-FFF2-40B4-BE49-F238E27FC236}">
              <a16:creationId xmlns:a16="http://schemas.microsoft.com/office/drawing/2014/main" id="{10BD7E3C-4812-0777-7E43-0AC6ED79BEF7}"/>
            </a:ext>
          </a:extLst>
        </xdr:cNvPr>
        <xdr:cNvGrpSpPr/>
      </xdr:nvGrpSpPr>
      <xdr:grpSpPr>
        <a:xfrm>
          <a:off x="168991" y="22388334"/>
          <a:ext cx="1306322" cy="408348"/>
          <a:chOff x="168991" y="27407075"/>
          <a:chExt cx="1300719" cy="413578"/>
        </a:xfrm>
      </xdr:grpSpPr>
      <xdr:sp macro="" textlink="">
        <xdr:nvSpPr>
          <xdr:cNvPr id="59" name="Rectangle 58">
            <a:extLst>
              <a:ext uri="{FF2B5EF4-FFF2-40B4-BE49-F238E27FC236}">
                <a16:creationId xmlns:a16="http://schemas.microsoft.com/office/drawing/2014/main" id="{23EE0CC6-75AC-CBCF-878A-C47CF9D31EB7}"/>
              </a:ext>
            </a:extLst>
          </xdr:cNvPr>
          <xdr:cNvSpPr/>
        </xdr:nvSpPr>
        <xdr:spPr>
          <a:xfrm>
            <a:off x="168991" y="27407075"/>
            <a:ext cx="1300719" cy="41357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Tình trạng phê duyệt</a:t>
            </a:r>
            <a:r>
              <a:rPr lang="vi-VN" sz="800" b="1">
                <a:solidFill>
                  <a:sysClr val="windowText" lastClr="000000"/>
                </a:solidFill>
              </a:rPr>
              <a:t> đơn</a:t>
            </a:r>
            <a:endParaRPr lang="en-US" sz="800" b="1">
              <a:solidFill>
                <a:sysClr val="windowText" lastClr="000000"/>
              </a:solidFill>
            </a:endParaRPr>
          </a:p>
        </xdr:txBody>
      </xdr:sp>
      <xdr:sp macro="" textlink="">
        <xdr:nvSpPr>
          <xdr:cNvPr id="69" name="Isosceles Triangle 68">
            <a:extLst>
              <a:ext uri="{FF2B5EF4-FFF2-40B4-BE49-F238E27FC236}">
                <a16:creationId xmlns:a16="http://schemas.microsoft.com/office/drawing/2014/main" id="{95CAD2A4-A934-1E6A-F943-AE4F86B0E07B}"/>
              </a:ext>
            </a:extLst>
          </xdr:cNvPr>
          <xdr:cNvSpPr/>
        </xdr:nvSpPr>
        <xdr:spPr>
          <a:xfrm rot="10800000">
            <a:off x="1333500" y="27686000"/>
            <a:ext cx="95250" cy="101600"/>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97871</xdr:colOff>
      <xdr:row>115</xdr:row>
      <xdr:rowOff>26909</xdr:rowOff>
    </xdr:from>
    <xdr:to>
      <xdr:col>12</xdr:col>
      <xdr:colOff>53771</xdr:colOff>
      <xdr:row>117</xdr:row>
      <xdr:rowOff>86132</xdr:rowOff>
    </xdr:to>
    <xdr:grpSp>
      <xdr:nvGrpSpPr>
        <xdr:cNvPr id="90" name="Group 89">
          <a:extLst>
            <a:ext uri="{FF2B5EF4-FFF2-40B4-BE49-F238E27FC236}">
              <a16:creationId xmlns:a16="http://schemas.microsoft.com/office/drawing/2014/main" id="{EC8E9881-5536-A35D-3918-7833FEA1F1F4}"/>
            </a:ext>
          </a:extLst>
        </xdr:cNvPr>
        <xdr:cNvGrpSpPr/>
      </xdr:nvGrpSpPr>
      <xdr:grpSpPr>
        <a:xfrm>
          <a:off x="1666695" y="22363968"/>
          <a:ext cx="1524723" cy="447693"/>
          <a:chOff x="1666695" y="27040556"/>
          <a:chExt cx="1524723" cy="447694"/>
        </a:xfrm>
      </xdr:grpSpPr>
      <xdr:sp macro="" textlink="">
        <xdr:nvSpPr>
          <xdr:cNvPr id="62" name="Rectangle 61">
            <a:extLst>
              <a:ext uri="{FF2B5EF4-FFF2-40B4-BE49-F238E27FC236}">
                <a16:creationId xmlns:a16="http://schemas.microsoft.com/office/drawing/2014/main" id="{8026F077-B476-4539-BEA4-F6215E890455}"/>
              </a:ext>
            </a:extLst>
          </xdr:cNvPr>
          <xdr:cNvSpPr/>
        </xdr:nvSpPr>
        <xdr:spPr>
          <a:xfrm>
            <a:off x="1666695" y="27040556"/>
            <a:ext cx="1524723" cy="44769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 Mã phòng ban yêu cầu</a:t>
            </a:r>
          </a:p>
          <a:p>
            <a:pPr algn="ctr"/>
            <a:r>
              <a:rPr lang="ja-JP" altLang="en-US" sz="800" b="1">
                <a:solidFill>
                  <a:sysClr val="windowText" lastClr="000000"/>
                </a:solidFill>
              </a:rPr>
              <a:t>依頼部門コストセンター</a:t>
            </a:r>
            <a:endParaRPr lang="en-US" sz="800" b="1">
              <a:solidFill>
                <a:sysClr val="windowText" lastClr="000000"/>
              </a:solidFill>
            </a:endParaRPr>
          </a:p>
        </xdr:txBody>
      </xdr:sp>
      <xdr:sp macro="" textlink="">
        <xdr:nvSpPr>
          <xdr:cNvPr id="71" name="Isosceles Triangle 70">
            <a:extLst>
              <a:ext uri="{FF2B5EF4-FFF2-40B4-BE49-F238E27FC236}">
                <a16:creationId xmlns:a16="http://schemas.microsoft.com/office/drawing/2014/main" id="{A79E1B49-1CC6-4203-88F5-41C9F96E2C92}"/>
              </a:ext>
            </a:extLst>
          </xdr:cNvPr>
          <xdr:cNvSpPr/>
        </xdr:nvSpPr>
        <xdr:spPr>
          <a:xfrm rot="10800000">
            <a:off x="3073628" y="27365452"/>
            <a:ext cx="95672" cy="100427"/>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134470</xdr:colOff>
      <xdr:row>154</xdr:row>
      <xdr:rowOff>14941</xdr:rowOff>
    </xdr:from>
    <xdr:to>
      <xdr:col>6</xdr:col>
      <xdr:colOff>90369</xdr:colOff>
      <xdr:row>156</xdr:row>
      <xdr:rowOff>74164</xdr:rowOff>
    </xdr:to>
    <xdr:grpSp>
      <xdr:nvGrpSpPr>
        <xdr:cNvPr id="92" name="Group 91">
          <a:extLst>
            <a:ext uri="{FF2B5EF4-FFF2-40B4-BE49-F238E27FC236}">
              <a16:creationId xmlns:a16="http://schemas.microsoft.com/office/drawing/2014/main" id="{B1AD20B6-BDA7-494F-A254-C5C331EFAB2B}"/>
            </a:ext>
          </a:extLst>
        </xdr:cNvPr>
        <xdr:cNvGrpSpPr/>
      </xdr:nvGrpSpPr>
      <xdr:grpSpPr>
        <a:xfrm>
          <a:off x="134470" y="30166235"/>
          <a:ext cx="1524723" cy="447694"/>
          <a:chOff x="1666695" y="27040556"/>
          <a:chExt cx="1524723" cy="447694"/>
        </a:xfrm>
      </xdr:grpSpPr>
      <xdr:sp macro="" textlink="">
        <xdr:nvSpPr>
          <xdr:cNvPr id="94" name="Rectangle 93">
            <a:extLst>
              <a:ext uri="{FF2B5EF4-FFF2-40B4-BE49-F238E27FC236}">
                <a16:creationId xmlns:a16="http://schemas.microsoft.com/office/drawing/2014/main" id="{D0289A30-1335-A56D-5F00-75A189D7CE81}"/>
              </a:ext>
            </a:extLst>
          </xdr:cNvPr>
          <xdr:cNvSpPr/>
        </xdr:nvSpPr>
        <xdr:spPr>
          <a:xfrm>
            <a:off x="1666695" y="27040556"/>
            <a:ext cx="1524723" cy="44769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 Mã phòng ban yêu cầu</a:t>
            </a:r>
          </a:p>
          <a:p>
            <a:pPr algn="ctr"/>
            <a:r>
              <a:rPr lang="ja-JP" altLang="en-US" sz="800" b="1">
                <a:solidFill>
                  <a:sysClr val="windowText" lastClr="000000"/>
                </a:solidFill>
              </a:rPr>
              <a:t>依頼部門コストセンター</a:t>
            </a:r>
            <a:endParaRPr lang="en-US" sz="800" b="1">
              <a:solidFill>
                <a:sysClr val="windowText" lastClr="000000"/>
              </a:solidFill>
            </a:endParaRPr>
          </a:p>
        </xdr:txBody>
      </xdr:sp>
      <xdr:sp macro="" textlink="">
        <xdr:nvSpPr>
          <xdr:cNvPr id="96" name="Isosceles Triangle 95">
            <a:extLst>
              <a:ext uri="{FF2B5EF4-FFF2-40B4-BE49-F238E27FC236}">
                <a16:creationId xmlns:a16="http://schemas.microsoft.com/office/drawing/2014/main" id="{ED5D3AE3-8436-0AB6-C1BA-C21A63B524E2}"/>
              </a:ext>
            </a:extLst>
          </xdr:cNvPr>
          <xdr:cNvSpPr/>
        </xdr:nvSpPr>
        <xdr:spPr>
          <a:xfrm rot="10800000">
            <a:off x="3073628" y="27365452"/>
            <a:ext cx="95672" cy="100427"/>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18</xdr:col>
      <xdr:colOff>156881</xdr:colOff>
      <xdr:row>154</xdr:row>
      <xdr:rowOff>37354</xdr:rowOff>
    </xdr:from>
    <xdr:to>
      <xdr:col>23</xdr:col>
      <xdr:colOff>161582</xdr:colOff>
      <xdr:row>156</xdr:row>
      <xdr:rowOff>102976</xdr:rowOff>
    </xdr:to>
    <xdr:sp macro="" textlink="">
      <xdr:nvSpPr>
        <xdr:cNvPr id="98" name="Rectangle 97">
          <a:extLst>
            <a:ext uri="{FF2B5EF4-FFF2-40B4-BE49-F238E27FC236}">
              <a16:creationId xmlns:a16="http://schemas.microsoft.com/office/drawing/2014/main" id="{D6A8FC25-2A2C-428D-B051-3AC793752C70}"/>
            </a:ext>
          </a:extLst>
        </xdr:cNvPr>
        <xdr:cNvSpPr/>
      </xdr:nvSpPr>
      <xdr:spPr>
        <a:xfrm>
          <a:off x="4863352" y="34865236"/>
          <a:ext cx="1312054" cy="4540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vi-VN" sz="800" b="1">
              <a:solidFill>
                <a:sysClr val="windowText" lastClr="000000"/>
              </a:solidFill>
            </a:rPr>
            <a:t>Mã đơn yêu cầu báo giá (text)</a:t>
          </a:r>
          <a:endParaRPr lang="en-US" sz="800" b="1">
            <a:solidFill>
              <a:sysClr val="windowText" lastClr="000000"/>
            </a:solidFill>
          </a:endParaRPr>
        </a:p>
      </xdr:txBody>
    </xdr:sp>
    <xdr:clientData/>
  </xdr:twoCellAnchor>
  <xdr:twoCellAnchor>
    <xdr:from>
      <xdr:col>6</xdr:col>
      <xdr:colOff>186765</xdr:colOff>
      <xdr:row>154</xdr:row>
      <xdr:rowOff>29882</xdr:rowOff>
    </xdr:from>
    <xdr:to>
      <xdr:col>11</xdr:col>
      <xdr:colOff>185735</xdr:colOff>
      <xdr:row>156</xdr:row>
      <xdr:rowOff>49760</xdr:rowOff>
    </xdr:to>
    <xdr:grpSp>
      <xdr:nvGrpSpPr>
        <xdr:cNvPr id="103" name="Group 102">
          <a:extLst>
            <a:ext uri="{FF2B5EF4-FFF2-40B4-BE49-F238E27FC236}">
              <a16:creationId xmlns:a16="http://schemas.microsoft.com/office/drawing/2014/main" id="{385E2C20-3F41-0C8B-B07E-49F159984013}"/>
            </a:ext>
          </a:extLst>
        </xdr:cNvPr>
        <xdr:cNvGrpSpPr/>
      </xdr:nvGrpSpPr>
      <xdr:grpSpPr>
        <a:xfrm>
          <a:off x="1755589" y="30181176"/>
          <a:ext cx="1306322" cy="408349"/>
          <a:chOff x="1755589" y="34857764"/>
          <a:chExt cx="1306322" cy="408349"/>
        </a:xfrm>
      </xdr:grpSpPr>
      <xdr:sp macro="" textlink="">
        <xdr:nvSpPr>
          <xdr:cNvPr id="97" name="Rectangle 96">
            <a:extLst>
              <a:ext uri="{FF2B5EF4-FFF2-40B4-BE49-F238E27FC236}">
                <a16:creationId xmlns:a16="http://schemas.microsoft.com/office/drawing/2014/main" id="{DC9F2695-F819-406C-9C78-D273E65C6FF1}"/>
              </a:ext>
            </a:extLst>
          </xdr:cNvPr>
          <xdr:cNvSpPr/>
        </xdr:nvSpPr>
        <xdr:spPr>
          <a:xfrm>
            <a:off x="1755589" y="34857764"/>
            <a:ext cx="1306322" cy="40834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Tình trạng phê duyệt</a:t>
            </a:r>
            <a:r>
              <a:rPr lang="vi-VN" sz="800" b="1">
                <a:solidFill>
                  <a:sysClr val="windowText" lastClr="000000"/>
                </a:solidFill>
              </a:rPr>
              <a:t> đơn</a:t>
            </a:r>
            <a:endParaRPr lang="en-US" sz="800" b="1">
              <a:solidFill>
                <a:sysClr val="windowText" lastClr="000000"/>
              </a:solidFill>
            </a:endParaRPr>
          </a:p>
        </xdr:txBody>
      </xdr:sp>
      <xdr:sp macro="" textlink="">
        <xdr:nvSpPr>
          <xdr:cNvPr id="99" name="Isosceles Triangle 98">
            <a:extLst>
              <a:ext uri="{FF2B5EF4-FFF2-40B4-BE49-F238E27FC236}">
                <a16:creationId xmlns:a16="http://schemas.microsoft.com/office/drawing/2014/main" id="{A2BD9537-54F6-4496-AB6D-A1179271027B}"/>
              </a:ext>
            </a:extLst>
          </xdr:cNvPr>
          <xdr:cNvSpPr/>
        </xdr:nvSpPr>
        <xdr:spPr>
          <a:xfrm rot="10800000">
            <a:off x="2943412" y="35134177"/>
            <a:ext cx="95672" cy="100427"/>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12</xdr:col>
      <xdr:colOff>141941</xdr:colOff>
      <xdr:row>154</xdr:row>
      <xdr:rowOff>22411</xdr:rowOff>
    </xdr:from>
    <xdr:to>
      <xdr:col>17</xdr:col>
      <xdr:colOff>140910</xdr:colOff>
      <xdr:row>156</xdr:row>
      <xdr:rowOff>42289</xdr:rowOff>
    </xdr:to>
    <xdr:grpSp>
      <xdr:nvGrpSpPr>
        <xdr:cNvPr id="102" name="Group 101">
          <a:extLst>
            <a:ext uri="{FF2B5EF4-FFF2-40B4-BE49-F238E27FC236}">
              <a16:creationId xmlns:a16="http://schemas.microsoft.com/office/drawing/2014/main" id="{922A7E22-ECE7-E7A1-7D0F-2F01449E3C63}"/>
            </a:ext>
          </a:extLst>
        </xdr:cNvPr>
        <xdr:cNvGrpSpPr/>
      </xdr:nvGrpSpPr>
      <xdr:grpSpPr>
        <a:xfrm>
          <a:off x="3279588" y="30173705"/>
          <a:ext cx="1306322" cy="408349"/>
          <a:chOff x="3279588" y="34850293"/>
          <a:chExt cx="1306322" cy="408349"/>
        </a:xfrm>
      </xdr:grpSpPr>
      <xdr:sp macro="" textlink="">
        <xdr:nvSpPr>
          <xdr:cNvPr id="100" name="Rectangle 99">
            <a:extLst>
              <a:ext uri="{FF2B5EF4-FFF2-40B4-BE49-F238E27FC236}">
                <a16:creationId xmlns:a16="http://schemas.microsoft.com/office/drawing/2014/main" id="{D17EE595-8E21-4A4E-ADC5-3765581E0D23}"/>
              </a:ext>
            </a:extLst>
          </xdr:cNvPr>
          <xdr:cNvSpPr/>
        </xdr:nvSpPr>
        <xdr:spPr>
          <a:xfrm>
            <a:off x="3279588" y="34850293"/>
            <a:ext cx="1306322" cy="40834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Tình trạng </a:t>
            </a:r>
            <a:r>
              <a:rPr lang="vi-VN" sz="800" b="1">
                <a:solidFill>
                  <a:sysClr val="windowText" lastClr="000000"/>
                </a:solidFill>
              </a:rPr>
              <a:t>mã hàng</a:t>
            </a:r>
            <a:endParaRPr lang="en-US" sz="800" b="1">
              <a:solidFill>
                <a:sysClr val="windowText" lastClr="000000"/>
              </a:solidFill>
            </a:endParaRPr>
          </a:p>
        </xdr:txBody>
      </xdr:sp>
      <xdr:sp macro="" textlink="">
        <xdr:nvSpPr>
          <xdr:cNvPr id="101" name="Isosceles Triangle 100">
            <a:extLst>
              <a:ext uri="{FF2B5EF4-FFF2-40B4-BE49-F238E27FC236}">
                <a16:creationId xmlns:a16="http://schemas.microsoft.com/office/drawing/2014/main" id="{31037213-28D1-4D68-8814-443DAF6BDB1D}"/>
              </a:ext>
            </a:extLst>
          </xdr:cNvPr>
          <xdr:cNvSpPr/>
        </xdr:nvSpPr>
        <xdr:spPr>
          <a:xfrm rot="10800000">
            <a:off x="4467412" y="35156588"/>
            <a:ext cx="95672" cy="100427"/>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17</xdr:col>
      <xdr:colOff>141941</xdr:colOff>
      <xdr:row>209</xdr:row>
      <xdr:rowOff>59764</xdr:rowOff>
    </xdr:from>
    <xdr:to>
      <xdr:col>18</xdr:col>
      <xdr:colOff>46626</xdr:colOff>
      <xdr:row>209</xdr:row>
      <xdr:rowOff>191280</xdr:rowOff>
    </xdr:to>
    <xdr:pic>
      <xdr:nvPicPr>
        <xdr:cNvPr id="104" name="Picture 103">
          <a:extLst>
            <a:ext uri="{FF2B5EF4-FFF2-40B4-BE49-F238E27FC236}">
              <a16:creationId xmlns:a16="http://schemas.microsoft.com/office/drawing/2014/main" id="{21FF0E55-EEFE-4F0E-8E17-343E819A3424}"/>
            </a:ext>
          </a:extLst>
        </xdr:cNvPr>
        <xdr:cNvPicPr>
          <a:picLocks noChangeAspect="1"/>
        </xdr:cNvPicPr>
      </xdr:nvPicPr>
      <xdr:blipFill>
        <a:blip xmlns:r="http://schemas.openxmlformats.org/officeDocument/2006/relationships" r:embed="rId5"/>
        <a:stretch>
          <a:fillRect/>
        </a:stretch>
      </xdr:blipFill>
      <xdr:spPr>
        <a:xfrm>
          <a:off x="4586941" y="45585529"/>
          <a:ext cx="166156" cy="131516"/>
        </a:xfrm>
        <a:prstGeom prst="rect">
          <a:avLst/>
        </a:prstGeom>
      </xdr:spPr>
      <xdr:style>
        <a:lnRef idx="1">
          <a:schemeClr val="accent4"/>
        </a:lnRef>
        <a:fillRef idx="2">
          <a:schemeClr val="accent4"/>
        </a:fillRef>
        <a:effectRef idx="1">
          <a:schemeClr val="accent4"/>
        </a:effectRef>
        <a:fontRef idx="minor">
          <a:schemeClr val="dk1"/>
        </a:fontRef>
      </xdr:style>
    </xdr:pic>
    <xdr:clientData/>
  </xdr:twoCellAnchor>
  <xdr:twoCellAnchor>
    <xdr:from>
      <xdr:col>18</xdr:col>
      <xdr:colOff>239059</xdr:colOff>
      <xdr:row>207</xdr:row>
      <xdr:rowOff>134470</xdr:rowOff>
    </xdr:from>
    <xdr:to>
      <xdr:col>23</xdr:col>
      <xdr:colOff>243760</xdr:colOff>
      <xdr:row>210</xdr:row>
      <xdr:rowOff>5857</xdr:rowOff>
    </xdr:to>
    <xdr:sp macro="" textlink="">
      <xdr:nvSpPr>
        <xdr:cNvPr id="105" name="Rectangle 104">
          <a:extLst>
            <a:ext uri="{FF2B5EF4-FFF2-40B4-BE49-F238E27FC236}">
              <a16:creationId xmlns:a16="http://schemas.microsoft.com/office/drawing/2014/main" id="{FB8F3BAA-92D8-4B7E-9EE2-CBB93AF228E9}"/>
            </a:ext>
          </a:extLst>
        </xdr:cNvPr>
        <xdr:cNvSpPr/>
      </xdr:nvSpPr>
      <xdr:spPr>
        <a:xfrm>
          <a:off x="4945530" y="45271764"/>
          <a:ext cx="1312054" cy="4540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vi-VN" sz="800" b="1">
              <a:solidFill>
                <a:sysClr val="windowText" lastClr="000000"/>
              </a:solidFill>
            </a:rPr>
            <a:t>Mã đơn yêu cầu báo giá (text)</a:t>
          </a:r>
          <a:endParaRPr lang="en-US" sz="800" b="1">
            <a:solidFill>
              <a:sysClr val="windowText" lastClr="000000"/>
            </a:solidFill>
          </a:endParaRPr>
        </a:p>
      </xdr:txBody>
    </xdr:sp>
    <xdr:clientData/>
  </xdr:twoCellAnchor>
  <xdr:twoCellAnchor>
    <xdr:from>
      <xdr:col>6</xdr:col>
      <xdr:colOff>242794</xdr:colOff>
      <xdr:row>241</xdr:row>
      <xdr:rowOff>34826</xdr:rowOff>
    </xdr:from>
    <xdr:to>
      <xdr:col>11</xdr:col>
      <xdr:colOff>245369</xdr:colOff>
      <xdr:row>243</xdr:row>
      <xdr:rowOff>54541</xdr:rowOff>
    </xdr:to>
    <xdr:grpSp>
      <xdr:nvGrpSpPr>
        <xdr:cNvPr id="11" name="Group 10">
          <a:extLst>
            <a:ext uri="{FF2B5EF4-FFF2-40B4-BE49-F238E27FC236}">
              <a16:creationId xmlns:a16="http://schemas.microsoft.com/office/drawing/2014/main" id="{E8C5BFBB-9254-4B9A-8C3A-E6182EF4918E}"/>
            </a:ext>
          </a:extLst>
        </xdr:cNvPr>
        <xdr:cNvGrpSpPr/>
      </xdr:nvGrpSpPr>
      <xdr:grpSpPr>
        <a:xfrm>
          <a:off x="1811618" y="47114473"/>
          <a:ext cx="1309927" cy="408186"/>
          <a:chOff x="3230217" y="8595507"/>
          <a:chExt cx="2002565" cy="610991"/>
        </a:xfrm>
      </xdr:grpSpPr>
      <xdr:sp macro="" textlink="">
        <xdr:nvSpPr>
          <xdr:cNvPr id="16" name="Rectangle 15">
            <a:extLst>
              <a:ext uri="{FF2B5EF4-FFF2-40B4-BE49-F238E27FC236}">
                <a16:creationId xmlns:a16="http://schemas.microsoft.com/office/drawing/2014/main" id="{AB97F177-8903-AF6A-72BC-9CAEF35506A0}"/>
              </a:ext>
            </a:extLst>
          </xdr:cNvPr>
          <xdr:cNvSpPr/>
        </xdr:nvSpPr>
        <xdr:spPr>
          <a:xfrm>
            <a:off x="3230217" y="8595507"/>
            <a:ext cx="1997029" cy="60739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Tình trạng </a:t>
            </a:r>
            <a:r>
              <a:rPr lang="vi-VN" sz="800" b="1">
                <a:solidFill>
                  <a:sysClr val="windowText" lastClr="000000"/>
                </a:solidFill>
              </a:rPr>
              <a:t>đơn</a:t>
            </a:r>
            <a:endParaRPr lang="en-US" sz="800" b="1">
              <a:solidFill>
                <a:sysClr val="windowText" lastClr="000000"/>
              </a:solidFill>
            </a:endParaRPr>
          </a:p>
        </xdr:txBody>
      </xdr:sp>
      <xdr:pic>
        <xdr:nvPicPr>
          <xdr:cNvPr id="18" name="Picture 17">
            <a:extLst>
              <a:ext uri="{FF2B5EF4-FFF2-40B4-BE49-F238E27FC236}">
                <a16:creationId xmlns:a16="http://schemas.microsoft.com/office/drawing/2014/main" id="{C613E2EE-9828-70ED-E965-1E1A53150854}"/>
              </a:ext>
            </a:extLst>
          </xdr:cNvPr>
          <xdr:cNvPicPr>
            <a:picLocks noChangeAspect="1"/>
          </xdr:cNvPicPr>
        </xdr:nvPicPr>
        <xdr:blipFill>
          <a:blip xmlns:r="http://schemas.openxmlformats.org/officeDocument/2006/relationships" r:embed="rId5"/>
          <a:stretch>
            <a:fillRect/>
          </a:stretch>
        </xdr:blipFill>
        <xdr:spPr>
          <a:xfrm>
            <a:off x="4978769" y="9009638"/>
            <a:ext cx="254013" cy="196860"/>
          </a:xfrm>
          <a:prstGeom prst="rect">
            <a:avLst/>
          </a:prstGeom>
        </xdr:spPr>
        <xdr:style>
          <a:lnRef idx="1">
            <a:schemeClr val="accent4"/>
          </a:lnRef>
          <a:fillRef idx="2">
            <a:schemeClr val="accent4"/>
          </a:fillRef>
          <a:effectRef idx="1">
            <a:schemeClr val="accent4"/>
          </a:effectRef>
          <a:fontRef idx="minor">
            <a:schemeClr val="dk1"/>
          </a:fontRef>
        </xdr:style>
      </xdr:pic>
    </xdr:grpSp>
    <xdr:clientData/>
  </xdr:twoCellAnchor>
  <xdr:twoCellAnchor>
    <xdr:from>
      <xdr:col>12</xdr:col>
      <xdr:colOff>171674</xdr:colOff>
      <xdr:row>241</xdr:row>
      <xdr:rowOff>10460</xdr:rowOff>
    </xdr:from>
    <xdr:to>
      <xdr:col>18</xdr:col>
      <xdr:colOff>127574</xdr:colOff>
      <xdr:row>243</xdr:row>
      <xdr:rowOff>67069</xdr:rowOff>
    </xdr:to>
    <xdr:sp macro="" textlink="">
      <xdr:nvSpPr>
        <xdr:cNvPr id="19" name="Rectangle 18">
          <a:extLst>
            <a:ext uri="{FF2B5EF4-FFF2-40B4-BE49-F238E27FC236}">
              <a16:creationId xmlns:a16="http://schemas.microsoft.com/office/drawing/2014/main" id="{9C22F247-F35C-4E19-B4B2-30D5A6F28A71}"/>
            </a:ext>
          </a:extLst>
        </xdr:cNvPr>
        <xdr:cNvSpPr/>
      </xdr:nvSpPr>
      <xdr:spPr>
        <a:xfrm>
          <a:off x="3309321" y="50795519"/>
          <a:ext cx="1524724" cy="44507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 Mã phòng ban yêu cầu</a:t>
          </a:r>
        </a:p>
        <a:p>
          <a:pPr algn="ctr"/>
          <a:r>
            <a:rPr lang="ja-JP" altLang="en-US" sz="800" b="1">
              <a:solidFill>
                <a:sysClr val="windowText" lastClr="000000"/>
              </a:solidFill>
            </a:rPr>
            <a:t>依頼部門コストセンター</a:t>
          </a:r>
          <a:endParaRPr lang="en-US" sz="800" b="1">
            <a:solidFill>
              <a:sysClr val="windowText" lastClr="000000"/>
            </a:solidFill>
          </a:endParaRPr>
        </a:p>
      </xdr:txBody>
    </xdr:sp>
    <xdr:clientData/>
  </xdr:twoCellAnchor>
  <xdr:twoCellAnchor>
    <xdr:from>
      <xdr:col>1</xdr:col>
      <xdr:colOff>52294</xdr:colOff>
      <xdr:row>241</xdr:row>
      <xdr:rowOff>48560</xdr:rowOff>
    </xdr:from>
    <xdr:to>
      <xdr:col>6</xdr:col>
      <xdr:colOff>54869</xdr:colOff>
      <xdr:row>243</xdr:row>
      <xdr:rowOff>68275</xdr:rowOff>
    </xdr:to>
    <xdr:grpSp>
      <xdr:nvGrpSpPr>
        <xdr:cNvPr id="25" name="Group 24">
          <a:extLst>
            <a:ext uri="{FF2B5EF4-FFF2-40B4-BE49-F238E27FC236}">
              <a16:creationId xmlns:a16="http://schemas.microsoft.com/office/drawing/2014/main" id="{5012F913-19C3-400C-843E-FB3A7AF41B5C}"/>
            </a:ext>
          </a:extLst>
        </xdr:cNvPr>
        <xdr:cNvGrpSpPr/>
      </xdr:nvGrpSpPr>
      <xdr:grpSpPr>
        <a:xfrm>
          <a:off x="313765" y="47128207"/>
          <a:ext cx="1309928" cy="408186"/>
          <a:chOff x="3230217" y="8595507"/>
          <a:chExt cx="2002565" cy="610991"/>
        </a:xfrm>
      </xdr:grpSpPr>
      <xdr:sp macro="" textlink="">
        <xdr:nvSpPr>
          <xdr:cNvPr id="45" name="Rectangle 44">
            <a:extLst>
              <a:ext uri="{FF2B5EF4-FFF2-40B4-BE49-F238E27FC236}">
                <a16:creationId xmlns:a16="http://schemas.microsoft.com/office/drawing/2014/main" id="{F89B768B-67C2-CE05-50C2-65F98E865E74}"/>
              </a:ext>
            </a:extLst>
          </xdr:cNvPr>
          <xdr:cNvSpPr/>
        </xdr:nvSpPr>
        <xdr:spPr>
          <a:xfrm>
            <a:off x="3230217" y="8595507"/>
            <a:ext cx="1997029" cy="60739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Tình trạng </a:t>
            </a:r>
            <a:r>
              <a:rPr lang="vi-VN" sz="800" b="1">
                <a:solidFill>
                  <a:sysClr val="windowText" lastClr="000000"/>
                </a:solidFill>
              </a:rPr>
              <a:t>mã hàng</a:t>
            </a:r>
            <a:endParaRPr lang="en-US" sz="800" b="1">
              <a:solidFill>
                <a:sysClr val="windowText" lastClr="000000"/>
              </a:solidFill>
            </a:endParaRPr>
          </a:p>
        </xdr:txBody>
      </xdr:sp>
      <xdr:pic>
        <xdr:nvPicPr>
          <xdr:cNvPr id="47" name="Picture 46">
            <a:extLst>
              <a:ext uri="{FF2B5EF4-FFF2-40B4-BE49-F238E27FC236}">
                <a16:creationId xmlns:a16="http://schemas.microsoft.com/office/drawing/2014/main" id="{0125760D-69FF-AF1D-5C19-E86D8C756CB7}"/>
              </a:ext>
            </a:extLst>
          </xdr:cNvPr>
          <xdr:cNvPicPr>
            <a:picLocks noChangeAspect="1"/>
          </xdr:cNvPicPr>
        </xdr:nvPicPr>
        <xdr:blipFill>
          <a:blip xmlns:r="http://schemas.openxmlformats.org/officeDocument/2006/relationships" r:embed="rId5"/>
          <a:stretch>
            <a:fillRect/>
          </a:stretch>
        </xdr:blipFill>
        <xdr:spPr>
          <a:xfrm>
            <a:off x="4978769" y="9009638"/>
            <a:ext cx="254013" cy="196860"/>
          </a:xfrm>
          <a:prstGeom prst="rect">
            <a:avLst/>
          </a:prstGeom>
        </xdr:spPr>
        <xdr:style>
          <a:lnRef idx="1">
            <a:schemeClr val="accent4"/>
          </a:lnRef>
          <a:fillRef idx="2">
            <a:schemeClr val="accent4"/>
          </a:fillRef>
          <a:effectRef idx="1">
            <a:schemeClr val="accent4"/>
          </a:effectRef>
          <a:fontRef idx="minor">
            <a:schemeClr val="dk1"/>
          </a:fontRef>
        </xdr:style>
      </xdr:pic>
    </xdr:grpSp>
    <xdr:clientData/>
  </xdr:twoCellAnchor>
  <xdr:twoCellAnchor>
    <xdr:from>
      <xdr:col>18</xdr:col>
      <xdr:colOff>129240</xdr:colOff>
      <xdr:row>245</xdr:row>
      <xdr:rowOff>119530</xdr:rowOff>
    </xdr:from>
    <xdr:to>
      <xdr:col>19</xdr:col>
      <xdr:colOff>33926</xdr:colOff>
      <xdr:row>246</xdr:row>
      <xdr:rowOff>56811</xdr:rowOff>
    </xdr:to>
    <xdr:pic>
      <xdr:nvPicPr>
        <xdr:cNvPr id="50" name="Picture 49">
          <a:extLst>
            <a:ext uri="{FF2B5EF4-FFF2-40B4-BE49-F238E27FC236}">
              <a16:creationId xmlns:a16="http://schemas.microsoft.com/office/drawing/2014/main" id="{A8523C1E-70D7-4B1C-8EB7-D50459E72275}"/>
            </a:ext>
          </a:extLst>
        </xdr:cNvPr>
        <xdr:cNvPicPr>
          <a:picLocks noChangeAspect="1"/>
        </xdr:cNvPicPr>
      </xdr:nvPicPr>
      <xdr:blipFill>
        <a:blip xmlns:r="http://schemas.openxmlformats.org/officeDocument/2006/relationships" r:embed="rId5"/>
        <a:stretch>
          <a:fillRect/>
        </a:stretch>
      </xdr:blipFill>
      <xdr:spPr>
        <a:xfrm>
          <a:off x="4835711" y="51681530"/>
          <a:ext cx="166156" cy="131516"/>
        </a:xfrm>
        <a:prstGeom prst="rect">
          <a:avLst/>
        </a:prstGeom>
      </xdr:spPr>
      <xdr:style>
        <a:lnRef idx="1">
          <a:schemeClr val="accent4"/>
        </a:lnRef>
        <a:fillRef idx="2">
          <a:schemeClr val="accent4"/>
        </a:fillRef>
        <a:effectRef idx="1">
          <a:schemeClr val="accent4"/>
        </a:effectRef>
        <a:fontRef idx="minor">
          <a:schemeClr val="dk1"/>
        </a:fontRef>
      </xdr:style>
    </xdr:pic>
    <xdr:clientData/>
  </xdr:twoCellAnchor>
  <xdr:twoCellAnchor>
    <xdr:from>
      <xdr:col>19</xdr:col>
      <xdr:colOff>17183</xdr:colOff>
      <xdr:row>240</xdr:row>
      <xdr:rowOff>186765</xdr:rowOff>
    </xdr:from>
    <xdr:to>
      <xdr:col>24</xdr:col>
      <xdr:colOff>21884</xdr:colOff>
      <xdr:row>243</xdr:row>
      <xdr:rowOff>58153</xdr:rowOff>
    </xdr:to>
    <xdr:sp macro="" textlink="">
      <xdr:nvSpPr>
        <xdr:cNvPr id="58" name="Rectangle 57">
          <a:extLst>
            <a:ext uri="{FF2B5EF4-FFF2-40B4-BE49-F238E27FC236}">
              <a16:creationId xmlns:a16="http://schemas.microsoft.com/office/drawing/2014/main" id="{48E54BF9-98C8-4A9E-BF6B-D02D99F10BD9}"/>
            </a:ext>
          </a:extLst>
        </xdr:cNvPr>
        <xdr:cNvSpPr/>
      </xdr:nvSpPr>
      <xdr:spPr>
        <a:xfrm>
          <a:off x="4985124" y="50777589"/>
          <a:ext cx="1312054" cy="4540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vi-VN" sz="800" b="1">
              <a:solidFill>
                <a:sysClr val="windowText" lastClr="000000"/>
              </a:solidFill>
            </a:rPr>
            <a:t>Mã đơn yêu cầu báo giá (text)</a:t>
          </a:r>
          <a:endParaRPr lang="en-US" sz="800" b="1">
            <a:solidFill>
              <a:sysClr val="windowText" lastClr="000000"/>
            </a:solidFill>
          </a:endParaRPr>
        </a:p>
      </xdr:txBody>
    </xdr:sp>
    <xdr:clientData/>
  </xdr:twoCellAnchor>
  <xdr:twoCellAnchor>
    <xdr:from>
      <xdr:col>0</xdr:col>
      <xdr:colOff>119529</xdr:colOff>
      <xdr:row>51</xdr:row>
      <xdr:rowOff>7471</xdr:rowOff>
    </xdr:from>
    <xdr:to>
      <xdr:col>4</xdr:col>
      <xdr:colOff>180878</xdr:colOff>
      <xdr:row>52</xdr:row>
      <xdr:rowOff>119770</xdr:rowOff>
    </xdr:to>
    <xdr:sp macro="" textlink="">
      <xdr:nvSpPr>
        <xdr:cNvPr id="78" name="Rectangle: Rounded Corners 77">
          <a:extLst>
            <a:ext uri="{FF2B5EF4-FFF2-40B4-BE49-F238E27FC236}">
              <a16:creationId xmlns:a16="http://schemas.microsoft.com/office/drawing/2014/main" id="{A3FD22B3-BB27-4107-AFEB-670600507A3D}"/>
            </a:ext>
          </a:extLst>
        </xdr:cNvPr>
        <xdr:cNvSpPr/>
      </xdr:nvSpPr>
      <xdr:spPr>
        <a:xfrm>
          <a:off x="119529" y="10780059"/>
          <a:ext cx="1107231" cy="30653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vi-VN" sz="1100" b="1">
              <a:solidFill>
                <a:srgbClr val="0000FF"/>
              </a:solidFill>
            </a:rPr>
            <a:t>Upload mã</a:t>
          </a:r>
          <a:endParaRPr lang="en-US" sz="1100" b="1">
            <a:solidFill>
              <a:srgbClr val="0000FF"/>
            </a:solidFill>
          </a:endParaRPr>
        </a:p>
      </xdr:txBody>
    </xdr:sp>
    <xdr:clientData/>
  </xdr:twoCellAnchor>
  <xdr:twoCellAnchor>
    <xdr:from>
      <xdr:col>6</xdr:col>
      <xdr:colOff>186764</xdr:colOff>
      <xdr:row>51</xdr:row>
      <xdr:rowOff>14942</xdr:rowOff>
    </xdr:from>
    <xdr:to>
      <xdr:col>13</xdr:col>
      <xdr:colOff>37353</xdr:colOff>
      <xdr:row>52</xdr:row>
      <xdr:rowOff>127241</xdr:rowOff>
    </xdr:to>
    <xdr:sp macro="" textlink="">
      <xdr:nvSpPr>
        <xdr:cNvPr id="14" name="Rectangle: Rounded Corners 13">
          <a:extLst>
            <a:ext uri="{FF2B5EF4-FFF2-40B4-BE49-F238E27FC236}">
              <a16:creationId xmlns:a16="http://schemas.microsoft.com/office/drawing/2014/main" id="{5D4E9D37-9B08-4CA8-8F64-3E12657EED7E}"/>
            </a:ext>
          </a:extLst>
        </xdr:cNvPr>
        <xdr:cNvSpPr/>
      </xdr:nvSpPr>
      <xdr:spPr>
        <a:xfrm>
          <a:off x="1755588" y="10787530"/>
          <a:ext cx="1680883" cy="30653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vi-VN" sz="1100" b="1">
              <a:solidFill>
                <a:srgbClr val="0000FF"/>
              </a:solidFill>
            </a:rPr>
            <a:t>Upload tên hàng</a:t>
          </a:r>
          <a:endParaRPr lang="en-US" sz="1100" b="1">
            <a:solidFill>
              <a:srgbClr val="0000FF"/>
            </a:solidFill>
          </a:endParaRPr>
        </a:p>
      </xdr:txBody>
    </xdr:sp>
    <xdr:clientData/>
  </xdr:twoCellAnchor>
  <xdr:twoCellAnchor>
    <xdr:from>
      <xdr:col>16</xdr:col>
      <xdr:colOff>7471</xdr:colOff>
      <xdr:row>51</xdr:row>
      <xdr:rowOff>0</xdr:rowOff>
    </xdr:from>
    <xdr:to>
      <xdr:col>24</xdr:col>
      <xdr:colOff>239059</xdr:colOff>
      <xdr:row>52</xdr:row>
      <xdr:rowOff>112299</xdr:rowOff>
    </xdr:to>
    <xdr:sp macro="" textlink="">
      <xdr:nvSpPr>
        <xdr:cNvPr id="26" name="Rectangle: Rounded Corners 25">
          <a:extLst>
            <a:ext uri="{FF2B5EF4-FFF2-40B4-BE49-F238E27FC236}">
              <a16:creationId xmlns:a16="http://schemas.microsoft.com/office/drawing/2014/main" id="{122A071C-9A6F-4D24-A90B-FF4F5C601015}"/>
            </a:ext>
          </a:extLst>
        </xdr:cNvPr>
        <xdr:cNvSpPr/>
      </xdr:nvSpPr>
      <xdr:spPr>
        <a:xfrm>
          <a:off x="4191000" y="10772588"/>
          <a:ext cx="2323353" cy="30653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vi-VN" sz="1100" b="1">
              <a:solidFill>
                <a:srgbClr val="0000FF"/>
              </a:solidFill>
            </a:rPr>
            <a:t>Hoàn thành</a:t>
          </a:r>
          <a:endParaRPr lang="en-US" sz="1100" b="1">
            <a:solidFill>
              <a:srgbClr val="0000FF"/>
            </a:solidFill>
          </a:endParaRPr>
        </a:p>
      </xdr:txBody>
    </xdr:sp>
    <xdr:clientData/>
  </xdr:twoCellAnchor>
  <xdr:twoCellAnchor>
    <xdr:from>
      <xdr:col>1</xdr:col>
      <xdr:colOff>0</xdr:colOff>
      <xdr:row>38</xdr:row>
      <xdr:rowOff>0</xdr:rowOff>
    </xdr:from>
    <xdr:to>
      <xdr:col>5</xdr:col>
      <xdr:colOff>61349</xdr:colOff>
      <xdr:row>39</xdr:row>
      <xdr:rowOff>112299</xdr:rowOff>
    </xdr:to>
    <xdr:sp macro="" textlink="">
      <xdr:nvSpPr>
        <xdr:cNvPr id="42" name="Rectangle: Rounded Corners 41">
          <a:extLst>
            <a:ext uri="{FF2B5EF4-FFF2-40B4-BE49-F238E27FC236}">
              <a16:creationId xmlns:a16="http://schemas.microsoft.com/office/drawing/2014/main" id="{96F45079-02A9-4B54-9CA7-20AF9F01A94E}"/>
            </a:ext>
          </a:extLst>
        </xdr:cNvPr>
        <xdr:cNvSpPr/>
      </xdr:nvSpPr>
      <xdr:spPr>
        <a:xfrm>
          <a:off x="261471" y="8232588"/>
          <a:ext cx="1107231" cy="30653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vi-VN" sz="1100" b="1">
              <a:solidFill>
                <a:srgbClr val="0000FF"/>
              </a:solidFill>
            </a:rPr>
            <a:t>Upload</a:t>
          </a:r>
          <a:endParaRPr lang="en-US" sz="1100" b="1">
            <a:solidFill>
              <a:srgbClr val="0000FF"/>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sheetData sheetId="1"/>
      <sheetData sheetId="2">
        <row r="1">
          <cell r="A1" t="str">
            <v>Mã phòng</v>
          </cell>
        </row>
      </sheetData>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Master%20linh%20ki&#7879;n%20(test).xlsx" TargetMode="External"/><Relationship Id="rId2" Type="http://schemas.openxmlformats.org/officeDocument/2006/relationships/hyperlink" Target="Master%20vendor%20map%20test.xlsx" TargetMode="External"/><Relationship Id="rId1" Type="http://schemas.openxmlformats.org/officeDocument/2006/relationships/hyperlink" Target="Form%20y&#234;u%20c&#7847;u%20b&#225;o%20gi&#225;.xlsx"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ster%20cost%20center(test).xls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8" Type="http://schemas.openxmlformats.org/officeDocument/2006/relationships/hyperlink" Target="mailto:PhuongThuy.VuThi@brother-bivn.com.vn" TargetMode="External"/><Relationship Id="rId13" Type="http://schemas.openxmlformats.org/officeDocument/2006/relationships/hyperlink" Target="mailto:VuThi.Toan@brother-bivn.com.vn" TargetMode="External"/><Relationship Id="rId18" Type="http://schemas.openxmlformats.org/officeDocument/2006/relationships/hyperlink" Target="mailto:VuThi.Toan@brother-bivn.com.vn" TargetMode="External"/><Relationship Id="rId3" Type="http://schemas.openxmlformats.org/officeDocument/2006/relationships/hyperlink" Target="mailto:PhuongThuy.VuThi@brother-bivn.com.vn" TargetMode="External"/><Relationship Id="rId21" Type="http://schemas.openxmlformats.org/officeDocument/2006/relationships/hyperlink" Target="mailto:Maithi.Phuc@brother-bivn.com.vn" TargetMode="External"/><Relationship Id="rId7" Type="http://schemas.openxmlformats.org/officeDocument/2006/relationships/hyperlink" Target="mailto:VuThi.Toan@brother-bivn.com.vn" TargetMode="External"/><Relationship Id="rId12" Type="http://schemas.openxmlformats.org/officeDocument/2006/relationships/hyperlink" Target="mailto:VuThi.Toan@brother-bivn.com.vn" TargetMode="External"/><Relationship Id="rId17" Type="http://schemas.openxmlformats.org/officeDocument/2006/relationships/hyperlink" Target="mailto:PhuongThuy.VuThi@brother-bivn.com.vn" TargetMode="External"/><Relationship Id="rId25" Type="http://schemas.openxmlformats.org/officeDocument/2006/relationships/hyperlink" Target="mailto:VuThi.Toan@brother-bivn.com.vn" TargetMode="External"/><Relationship Id="rId2" Type="http://schemas.openxmlformats.org/officeDocument/2006/relationships/hyperlink" Target="mailto:VuThi.Toan@brother-bivn.com.vn" TargetMode="External"/><Relationship Id="rId16" Type="http://schemas.openxmlformats.org/officeDocument/2006/relationships/hyperlink" Target="mailto:VuThi.Toan@brother-bivn.com.vn" TargetMode="External"/><Relationship Id="rId20" Type="http://schemas.openxmlformats.org/officeDocument/2006/relationships/hyperlink" Target="mailto:VuThi.Toan@brother-bivn.com.vn" TargetMode="External"/><Relationship Id="rId1" Type="http://schemas.openxmlformats.org/officeDocument/2006/relationships/hyperlink" Target="mailto:Maithi.Phuc@brother-bivn.com.vn" TargetMode="External"/><Relationship Id="rId6" Type="http://schemas.openxmlformats.org/officeDocument/2006/relationships/hyperlink" Target="mailto:PhuongThuy.VuThi@brother-bivn.com.vn" TargetMode="External"/><Relationship Id="rId11" Type="http://schemas.openxmlformats.org/officeDocument/2006/relationships/hyperlink" Target="mailto:PhuongThuy.VuThi@brother-bivn.com.vn;VuThi.Toan@brother-bivn.com.vn" TargetMode="External"/><Relationship Id="rId24" Type="http://schemas.openxmlformats.org/officeDocument/2006/relationships/hyperlink" Target="mailto:PhuongThuy.VuThi@brother-bivn.com.vn" TargetMode="External"/><Relationship Id="rId5" Type="http://schemas.openxmlformats.org/officeDocument/2006/relationships/hyperlink" Target="mailto:VuThi.Toan@brother-bivn.com.vn" TargetMode="External"/><Relationship Id="rId15" Type="http://schemas.openxmlformats.org/officeDocument/2006/relationships/hyperlink" Target="mailto:PhuongThuy.VuThi@brother-bivn.com.vn" TargetMode="External"/><Relationship Id="rId23" Type="http://schemas.openxmlformats.org/officeDocument/2006/relationships/hyperlink" Target="mailto:VuThi.Toan@brother-bivn.com.vn" TargetMode="External"/><Relationship Id="rId10" Type="http://schemas.openxmlformats.org/officeDocument/2006/relationships/hyperlink" Target="mailto:Maithi.Phuc@brother-bivn.com.vn" TargetMode="External"/><Relationship Id="rId19" Type="http://schemas.openxmlformats.org/officeDocument/2006/relationships/hyperlink" Target="mailto:PhuongThuy.VuThi@brother-bivn.com.vn" TargetMode="External"/><Relationship Id="rId4" Type="http://schemas.openxmlformats.org/officeDocument/2006/relationships/hyperlink" Target="mailto:PhuongThuy.VuThi@brother-bivn.com.vn" TargetMode="External"/><Relationship Id="rId9" Type="http://schemas.openxmlformats.org/officeDocument/2006/relationships/hyperlink" Target="mailto:VuThi.Toan@brother-bivn.com.vn" TargetMode="External"/><Relationship Id="rId14" Type="http://schemas.openxmlformats.org/officeDocument/2006/relationships/hyperlink" Target="mailto:VuThi.Toan@brother-bivn.com.vn" TargetMode="External"/><Relationship Id="rId22" Type="http://schemas.openxmlformats.org/officeDocument/2006/relationships/hyperlink" Target="mailto:PhuongThuy.VuThi@brother-bivn.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B7A7C-0F58-41D1-AF80-045B3A1352E1}">
  <dimension ref="B1:BT41"/>
  <sheetViews>
    <sheetView workbookViewId="0"/>
  </sheetViews>
  <sheetFormatPr defaultColWidth="2.54296875" defaultRowHeight="13"/>
  <cols>
    <col min="1" max="1" width="1.453125" style="36" customWidth="1"/>
    <col min="2" max="57" width="2.54296875" style="36" customWidth="1"/>
    <col min="58" max="58" width="3.81640625" style="36" customWidth="1"/>
    <col min="59" max="71" width="2.54296875" style="36" customWidth="1"/>
    <col min="72" max="72" width="3.1796875" style="36" customWidth="1"/>
    <col min="73" max="73" width="1.26953125" style="36" customWidth="1"/>
    <col min="74" max="256" width="2.54296875" style="36"/>
    <col min="257" max="257" width="1.453125" style="36" customWidth="1"/>
    <col min="258" max="313" width="2.54296875" style="36" customWidth="1"/>
    <col min="314" max="314" width="3.81640625" style="36" customWidth="1"/>
    <col min="315" max="327" width="2.54296875" style="36" customWidth="1"/>
    <col min="328" max="328" width="3.1796875" style="36" customWidth="1"/>
    <col min="329" max="329" width="1.26953125" style="36" customWidth="1"/>
    <col min="330" max="512" width="2.54296875" style="36"/>
    <col min="513" max="513" width="1.453125" style="36" customWidth="1"/>
    <col min="514" max="569" width="2.54296875" style="36" customWidth="1"/>
    <col min="570" max="570" width="3.81640625" style="36" customWidth="1"/>
    <col min="571" max="583" width="2.54296875" style="36" customWidth="1"/>
    <col min="584" max="584" width="3.1796875" style="36" customWidth="1"/>
    <col min="585" max="585" width="1.26953125" style="36" customWidth="1"/>
    <col min="586" max="768" width="2.54296875" style="36"/>
    <col min="769" max="769" width="1.453125" style="36" customWidth="1"/>
    <col min="770" max="825" width="2.54296875" style="36" customWidth="1"/>
    <col min="826" max="826" width="3.81640625" style="36" customWidth="1"/>
    <col min="827" max="839" width="2.54296875" style="36" customWidth="1"/>
    <col min="840" max="840" width="3.1796875" style="36" customWidth="1"/>
    <col min="841" max="841" width="1.26953125" style="36" customWidth="1"/>
    <col min="842" max="1024" width="2.54296875" style="36"/>
    <col min="1025" max="1025" width="1.453125" style="36" customWidth="1"/>
    <col min="1026" max="1081" width="2.54296875" style="36" customWidth="1"/>
    <col min="1082" max="1082" width="3.81640625" style="36" customWidth="1"/>
    <col min="1083" max="1095" width="2.54296875" style="36" customWidth="1"/>
    <col min="1096" max="1096" width="3.1796875" style="36" customWidth="1"/>
    <col min="1097" max="1097" width="1.26953125" style="36" customWidth="1"/>
    <col min="1098" max="1280" width="2.54296875" style="36"/>
    <col min="1281" max="1281" width="1.453125" style="36" customWidth="1"/>
    <col min="1282" max="1337" width="2.54296875" style="36" customWidth="1"/>
    <col min="1338" max="1338" width="3.81640625" style="36" customWidth="1"/>
    <col min="1339" max="1351" width="2.54296875" style="36" customWidth="1"/>
    <col min="1352" max="1352" width="3.1796875" style="36" customWidth="1"/>
    <col min="1353" max="1353" width="1.26953125" style="36" customWidth="1"/>
    <col min="1354" max="1536" width="2.54296875" style="36"/>
    <col min="1537" max="1537" width="1.453125" style="36" customWidth="1"/>
    <col min="1538" max="1593" width="2.54296875" style="36" customWidth="1"/>
    <col min="1594" max="1594" width="3.81640625" style="36" customWidth="1"/>
    <col min="1595" max="1607" width="2.54296875" style="36" customWidth="1"/>
    <col min="1608" max="1608" width="3.1796875" style="36" customWidth="1"/>
    <col min="1609" max="1609" width="1.26953125" style="36" customWidth="1"/>
    <col min="1610" max="1792" width="2.54296875" style="36"/>
    <col min="1793" max="1793" width="1.453125" style="36" customWidth="1"/>
    <col min="1794" max="1849" width="2.54296875" style="36" customWidth="1"/>
    <col min="1850" max="1850" width="3.81640625" style="36" customWidth="1"/>
    <col min="1851" max="1863" width="2.54296875" style="36" customWidth="1"/>
    <col min="1864" max="1864" width="3.1796875" style="36" customWidth="1"/>
    <col min="1865" max="1865" width="1.26953125" style="36" customWidth="1"/>
    <col min="1866" max="2048" width="2.54296875" style="36"/>
    <col min="2049" max="2049" width="1.453125" style="36" customWidth="1"/>
    <col min="2050" max="2105" width="2.54296875" style="36" customWidth="1"/>
    <col min="2106" max="2106" width="3.81640625" style="36" customWidth="1"/>
    <col min="2107" max="2119" width="2.54296875" style="36" customWidth="1"/>
    <col min="2120" max="2120" width="3.1796875" style="36" customWidth="1"/>
    <col min="2121" max="2121" width="1.26953125" style="36" customWidth="1"/>
    <col min="2122" max="2304" width="2.54296875" style="36"/>
    <col min="2305" max="2305" width="1.453125" style="36" customWidth="1"/>
    <col min="2306" max="2361" width="2.54296875" style="36" customWidth="1"/>
    <col min="2362" max="2362" width="3.81640625" style="36" customWidth="1"/>
    <col min="2363" max="2375" width="2.54296875" style="36" customWidth="1"/>
    <col min="2376" max="2376" width="3.1796875" style="36" customWidth="1"/>
    <col min="2377" max="2377" width="1.26953125" style="36" customWidth="1"/>
    <col min="2378" max="2560" width="2.54296875" style="36"/>
    <col min="2561" max="2561" width="1.453125" style="36" customWidth="1"/>
    <col min="2562" max="2617" width="2.54296875" style="36" customWidth="1"/>
    <col min="2618" max="2618" width="3.81640625" style="36" customWidth="1"/>
    <col min="2619" max="2631" width="2.54296875" style="36" customWidth="1"/>
    <col min="2632" max="2632" width="3.1796875" style="36" customWidth="1"/>
    <col min="2633" max="2633" width="1.26953125" style="36" customWidth="1"/>
    <col min="2634" max="2816" width="2.54296875" style="36"/>
    <col min="2817" max="2817" width="1.453125" style="36" customWidth="1"/>
    <col min="2818" max="2873" width="2.54296875" style="36" customWidth="1"/>
    <col min="2874" max="2874" width="3.81640625" style="36" customWidth="1"/>
    <col min="2875" max="2887" width="2.54296875" style="36" customWidth="1"/>
    <col min="2888" max="2888" width="3.1796875" style="36" customWidth="1"/>
    <col min="2889" max="2889" width="1.26953125" style="36" customWidth="1"/>
    <col min="2890" max="3072" width="2.54296875" style="36"/>
    <col min="3073" max="3073" width="1.453125" style="36" customWidth="1"/>
    <col min="3074" max="3129" width="2.54296875" style="36" customWidth="1"/>
    <col min="3130" max="3130" width="3.81640625" style="36" customWidth="1"/>
    <col min="3131" max="3143" width="2.54296875" style="36" customWidth="1"/>
    <col min="3144" max="3144" width="3.1796875" style="36" customWidth="1"/>
    <col min="3145" max="3145" width="1.26953125" style="36" customWidth="1"/>
    <col min="3146" max="3328" width="2.54296875" style="36"/>
    <col min="3329" max="3329" width="1.453125" style="36" customWidth="1"/>
    <col min="3330" max="3385" width="2.54296875" style="36" customWidth="1"/>
    <col min="3386" max="3386" width="3.81640625" style="36" customWidth="1"/>
    <col min="3387" max="3399" width="2.54296875" style="36" customWidth="1"/>
    <col min="3400" max="3400" width="3.1796875" style="36" customWidth="1"/>
    <col min="3401" max="3401" width="1.26953125" style="36" customWidth="1"/>
    <col min="3402" max="3584" width="2.54296875" style="36"/>
    <col min="3585" max="3585" width="1.453125" style="36" customWidth="1"/>
    <col min="3586" max="3641" width="2.54296875" style="36" customWidth="1"/>
    <col min="3642" max="3642" width="3.81640625" style="36" customWidth="1"/>
    <col min="3643" max="3655" width="2.54296875" style="36" customWidth="1"/>
    <col min="3656" max="3656" width="3.1796875" style="36" customWidth="1"/>
    <col min="3657" max="3657" width="1.26953125" style="36" customWidth="1"/>
    <col min="3658" max="3840" width="2.54296875" style="36"/>
    <col min="3841" max="3841" width="1.453125" style="36" customWidth="1"/>
    <col min="3842" max="3897" width="2.54296875" style="36" customWidth="1"/>
    <col min="3898" max="3898" width="3.81640625" style="36" customWidth="1"/>
    <col min="3899" max="3911" width="2.54296875" style="36" customWidth="1"/>
    <col min="3912" max="3912" width="3.1796875" style="36" customWidth="1"/>
    <col min="3913" max="3913" width="1.26953125" style="36" customWidth="1"/>
    <col min="3914" max="4096" width="2.54296875" style="36"/>
    <col min="4097" max="4097" width="1.453125" style="36" customWidth="1"/>
    <col min="4098" max="4153" width="2.54296875" style="36" customWidth="1"/>
    <col min="4154" max="4154" width="3.81640625" style="36" customWidth="1"/>
    <col min="4155" max="4167" width="2.54296875" style="36" customWidth="1"/>
    <col min="4168" max="4168" width="3.1796875" style="36" customWidth="1"/>
    <col min="4169" max="4169" width="1.26953125" style="36" customWidth="1"/>
    <col min="4170" max="4352" width="2.54296875" style="36"/>
    <col min="4353" max="4353" width="1.453125" style="36" customWidth="1"/>
    <col min="4354" max="4409" width="2.54296875" style="36" customWidth="1"/>
    <col min="4410" max="4410" width="3.81640625" style="36" customWidth="1"/>
    <col min="4411" max="4423" width="2.54296875" style="36" customWidth="1"/>
    <col min="4424" max="4424" width="3.1796875" style="36" customWidth="1"/>
    <col min="4425" max="4425" width="1.26953125" style="36" customWidth="1"/>
    <col min="4426" max="4608" width="2.54296875" style="36"/>
    <col min="4609" max="4609" width="1.453125" style="36" customWidth="1"/>
    <col min="4610" max="4665" width="2.54296875" style="36" customWidth="1"/>
    <col min="4666" max="4666" width="3.81640625" style="36" customWidth="1"/>
    <col min="4667" max="4679" width="2.54296875" style="36" customWidth="1"/>
    <col min="4680" max="4680" width="3.1796875" style="36" customWidth="1"/>
    <col min="4681" max="4681" width="1.26953125" style="36" customWidth="1"/>
    <col min="4682" max="4864" width="2.54296875" style="36"/>
    <col min="4865" max="4865" width="1.453125" style="36" customWidth="1"/>
    <col min="4866" max="4921" width="2.54296875" style="36" customWidth="1"/>
    <col min="4922" max="4922" width="3.81640625" style="36" customWidth="1"/>
    <col min="4923" max="4935" width="2.54296875" style="36" customWidth="1"/>
    <col min="4936" max="4936" width="3.1796875" style="36" customWidth="1"/>
    <col min="4937" max="4937" width="1.26953125" style="36" customWidth="1"/>
    <col min="4938" max="5120" width="2.54296875" style="36"/>
    <col min="5121" max="5121" width="1.453125" style="36" customWidth="1"/>
    <col min="5122" max="5177" width="2.54296875" style="36" customWidth="1"/>
    <col min="5178" max="5178" width="3.81640625" style="36" customWidth="1"/>
    <col min="5179" max="5191" width="2.54296875" style="36" customWidth="1"/>
    <col min="5192" max="5192" width="3.1796875" style="36" customWidth="1"/>
    <col min="5193" max="5193" width="1.26953125" style="36" customWidth="1"/>
    <col min="5194" max="5376" width="2.54296875" style="36"/>
    <col min="5377" max="5377" width="1.453125" style="36" customWidth="1"/>
    <col min="5378" max="5433" width="2.54296875" style="36" customWidth="1"/>
    <col min="5434" max="5434" width="3.81640625" style="36" customWidth="1"/>
    <col min="5435" max="5447" width="2.54296875" style="36" customWidth="1"/>
    <col min="5448" max="5448" width="3.1796875" style="36" customWidth="1"/>
    <col min="5449" max="5449" width="1.26953125" style="36" customWidth="1"/>
    <col min="5450" max="5632" width="2.54296875" style="36"/>
    <col min="5633" max="5633" width="1.453125" style="36" customWidth="1"/>
    <col min="5634" max="5689" width="2.54296875" style="36" customWidth="1"/>
    <col min="5690" max="5690" width="3.81640625" style="36" customWidth="1"/>
    <col min="5691" max="5703" width="2.54296875" style="36" customWidth="1"/>
    <col min="5704" max="5704" width="3.1796875" style="36" customWidth="1"/>
    <col min="5705" max="5705" width="1.26953125" style="36" customWidth="1"/>
    <col min="5706" max="5888" width="2.54296875" style="36"/>
    <col min="5889" max="5889" width="1.453125" style="36" customWidth="1"/>
    <col min="5890" max="5945" width="2.54296875" style="36" customWidth="1"/>
    <col min="5946" max="5946" width="3.81640625" style="36" customWidth="1"/>
    <col min="5947" max="5959" width="2.54296875" style="36" customWidth="1"/>
    <col min="5960" max="5960" width="3.1796875" style="36" customWidth="1"/>
    <col min="5961" max="5961" width="1.26953125" style="36" customWidth="1"/>
    <col min="5962" max="6144" width="2.54296875" style="36"/>
    <col min="6145" max="6145" width="1.453125" style="36" customWidth="1"/>
    <col min="6146" max="6201" width="2.54296875" style="36" customWidth="1"/>
    <col min="6202" max="6202" width="3.81640625" style="36" customWidth="1"/>
    <col min="6203" max="6215" width="2.54296875" style="36" customWidth="1"/>
    <col min="6216" max="6216" width="3.1796875" style="36" customWidth="1"/>
    <col min="6217" max="6217" width="1.26953125" style="36" customWidth="1"/>
    <col min="6218" max="6400" width="2.54296875" style="36"/>
    <col min="6401" max="6401" width="1.453125" style="36" customWidth="1"/>
    <col min="6402" max="6457" width="2.54296875" style="36" customWidth="1"/>
    <col min="6458" max="6458" width="3.81640625" style="36" customWidth="1"/>
    <col min="6459" max="6471" width="2.54296875" style="36" customWidth="1"/>
    <col min="6472" max="6472" width="3.1796875" style="36" customWidth="1"/>
    <col min="6473" max="6473" width="1.26953125" style="36" customWidth="1"/>
    <col min="6474" max="6656" width="2.54296875" style="36"/>
    <col min="6657" max="6657" width="1.453125" style="36" customWidth="1"/>
    <col min="6658" max="6713" width="2.54296875" style="36" customWidth="1"/>
    <col min="6714" max="6714" width="3.81640625" style="36" customWidth="1"/>
    <col min="6715" max="6727" width="2.54296875" style="36" customWidth="1"/>
    <col min="6728" max="6728" width="3.1796875" style="36" customWidth="1"/>
    <col min="6729" max="6729" width="1.26953125" style="36" customWidth="1"/>
    <col min="6730" max="6912" width="2.54296875" style="36"/>
    <col min="6913" max="6913" width="1.453125" style="36" customWidth="1"/>
    <col min="6914" max="6969" width="2.54296875" style="36" customWidth="1"/>
    <col min="6970" max="6970" width="3.81640625" style="36" customWidth="1"/>
    <col min="6971" max="6983" width="2.54296875" style="36" customWidth="1"/>
    <col min="6984" max="6984" width="3.1796875" style="36" customWidth="1"/>
    <col min="6985" max="6985" width="1.26953125" style="36" customWidth="1"/>
    <col min="6986" max="7168" width="2.54296875" style="36"/>
    <col min="7169" max="7169" width="1.453125" style="36" customWidth="1"/>
    <col min="7170" max="7225" width="2.54296875" style="36" customWidth="1"/>
    <col min="7226" max="7226" width="3.81640625" style="36" customWidth="1"/>
    <col min="7227" max="7239" width="2.54296875" style="36" customWidth="1"/>
    <col min="7240" max="7240" width="3.1796875" style="36" customWidth="1"/>
    <col min="7241" max="7241" width="1.26953125" style="36" customWidth="1"/>
    <col min="7242" max="7424" width="2.54296875" style="36"/>
    <col min="7425" max="7425" width="1.453125" style="36" customWidth="1"/>
    <col min="7426" max="7481" width="2.54296875" style="36" customWidth="1"/>
    <col min="7482" max="7482" width="3.81640625" style="36" customWidth="1"/>
    <col min="7483" max="7495" width="2.54296875" style="36" customWidth="1"/>
    <col min="7496" max="7496" width="3.1796875" style="36" customWidth="1"/>
    <col min="7497" max="7497" width="1.26953125" style="36" customWidth="1"/>
    <col min="7498" max="7680" width="2.54296875" style="36"/>
    <col min="7681" max="7681" width="1.453125" style="36" customWidth="1"/>
    <col min="7682" max="7737" width="2.54296875" style="36" customWidth="1"/>
    <col min="7738" max="7738" width="3.81640625" style="36" customWidth="1"/>
    <col min="7739" max="7751" width="2.54296875" style="36" customWidth="1"/>
    <col min="7752" max="7752" width="3.1796875" style="36" customWidth="1"/>
    <col min="7753" max="7753" width="1.26953125" style="36" customWidth="1"/>
    <col min="7754" max="7936" width="2.54296875" style="36"/>
    <col min="7937" max="7937" width="1.453125" style="36" customWidth="1"/>
    <col min="7938" max="7993" width="2.54296875" style="36" customWidth="1"/>
    <col min="7994" max="7994" width="3.81640625" style="36" customWidth="1"/>
    <col min="7995" max="8007" width="2.54296875" style="36" customWidth="1"/>
    <col min="8008" max="8008" width="3.1796875" style="36" customWidth="1"/>
    <col min="8009" max="8009" width="1.26953125" style="36" customWidth="1"/>
    <col min="8010" max="8192" width="2.54296875" style="36"/>
    <col min="8193" max="8193" width="1.453125" style="36" customWidth="1"/>
    <col min="8194" max="8249" width="2.54296875" style="36" customWidth="1"/>
    <col min="8250" max="8250" width="3.81640625" style="36" customWidth="1"/>
    <col min="8251" max="8263" width="2.54296875" style="36" customWidth="1"/>
    <col min="8264" max="8264" width="3.1796875" style="36" customWidth="1"/>
    <col min="8265" max="8265" width="1.26953125" style="36" customWidth="1"/>
    <col min="8266" max="8448" width="2.54296875" style="36"/>
    <col min="8449" max="8449" width="1.453125" style="36" customWidth="1"/>
    <col min="8450" max="8505" width="2.54296875" style="36" customWidth="1"/>
    <col min="8506" max="8506" width="3.81640625" style="36" customWidth="1"/>
    <col min="8507" max="8519" width="2.54296875" style="36" customWidth="1"/>
    <col min="8520" max="8520" width="3.1796875" style="36" customWidth="1"/>
    <col min="8521" max="8521" width="1.26953125" style="36" customWidth="1"/>
    <col min="8522" max="8704" width="2.54296875" style="36"/>
    <col min="8705" max="8705" width="1.453125" style="36" customWidth="1"/>
    <col min="8706" max="8761" width="2.54296875" style="36" customWidth="1"/>
    <col min="8762" max="8762" width="3.81640625" style="36" customWidth="1"/>
    <col min="8763" max="8775" width="2.54296875" style="36" customWidth="1"/>
    <col min="8776" max="8776" width="3.1796875" style="36" customWidth="1"/>
    <col min="8777" max="8777" width="1.26953125" style="36" customWidth="1"/>
    <col min="8778" max="8960" width="2.54296875" style="36"/>
    <col min="8961" max="8961" width="1.453125" style="36" customWidth="1"/>
    <col min="8962" max="9017" width="2.54296875" style="36" customWidth="1"/>
    <col min="9018" max="9018" width="3.81640625" style="36" customWidth="1"/>
    <col min="9019" max="9031" width="2.54296875" style="36" customWidth="1"/>
    <col min="9032" max="9032" width="3.1796875" style="36" customWidth="1"/>
    <col min="9033" max="9033" width="1.26953125" style="36" customWidth="1"/>
    <col min="9034" max="9216" width="2.54296875" style="36"/>
    <col min="9217" max="9217" width="1.453125" style="36" customWidth="1"/>
    <col min="9218" max="9273" width="2.54296875" style="36" customWidth="1"/>
    <col min="9274" max="9274" width="3.81640625" style="36" customWidth="1"/>
    <col min="9275" max="9287" width="2.54296875" style="36" customWidth="1"/>
    <col min="9288" max="9288" width="3.1796875" style="36" customWidth="1"/>
    <col min="9289" max="9289" width="1.26953125" style="36" customWidth="1"/>
    <col min="9290" max="9472" width="2.54296875" style="36"/>
    <col min="9473" max="9473" width="1.453125" style="36" customWidth="1"/>
    <col min="9474" max="9529" width="2.54296875" style="36" customWidth="1"/>
    <col min="9530" max="9530" width="3.81640625" style="36" customWidth="1"/>
    <col min="9531" max="9543" width="2.54296875" style="36" customWidth="1"/>
    <col min="9544" max="9544" width="3.1796875" style="36" customWidth="1"/>
    <col min="9545" max="9545" width="1.26953125" style="36" customWidth="1"/>
    <col min="9546" max="9728" width="2.54296875" style="36"/>
    <col min="9729" max="9729" width="1.453125" style="36" customWidth="1"/>
    <col min="9730" max="9785" width="2.54296875" style="36" customWidth="1"/>
    <col min="9786" max="9786" width="3.81640625" style="36" customWidth="1"/>
    <col min="9787" max="9799" width="2.54296875" style="36" customWidth="1"/>
    <col min="9800" max="9800" width="3.1796875" style="36" customWidth="1"/>
    <col min="9801" max="9801" width="1.26953125" style="36" customWidth="1"/>
    <col min="9802" max="9984" width="2.54296875" style="36"/>
    <col min="9985" max="9985" width="1.453125" style="36" customWidth="1"/>
    <col min="9986" max="10041" width="2.54296875" style="36" customWidth="1"/>
    <col min="10042" max="10042" width="3.81640625" style="36" customWidth="1"/>
    <col min="10043" max="10055" width="2.54296875" style="36" customWidth="1"/>
    <col min="10056" max="10056" width="3.1796875" style="36" customWidth="1"/>
    <col min="10057" max="10057" width="1.26953125" style="36" customWidth="1"/>
    <col min="10058" max="10240" width="2.54296875" style="36"/>
    <col min="10241" max="10241" width="1.453125" style="36" customWidth="1"/>
    <col min="10242" max="10297" width="2.54296875" style="36" customWidth="1"/>
    <col min="10298" max="10298" width="3.81640625" style="36" customWidth="1"/>
    <col min="10299" max="10311" width="2.54296875" style="36" customWidth="1"/>
    <col min="10312" max="10312" width="3.1796875" style="36" customWidth="1"/>
    <col min="10313" max="10313" width="1.26953125" style="36" customWidth="1"/>
    <col min="10314" max="10496" width="2.54296875" style="36"/>
    <col min="10497" max="10497" width="1.453125" style="36" customWidth="1"/>
    <col min="10498" max="10553" width="2.54296875" style="36" customWidth="1"/>
    <col min="10554" max="10554" width="3.81640625" style="36" customWidth="1"/>
    <col min="10555" max="10567" width="2.54296875" style="36" customWidth="1"/>
    <col min="10568" max="10568" width="3.1796875" style="36" customWidth="1"/>
    <col min="10569" max="10569" width="1.26953125" style="36" customWidth="1"/>
    <col min="10570" max="10752" width="2.54296875" style="36"/>
    <col min="10753" max="10753" width="1.453125" style="36" customWidth="1"/>
    <col min="10754" max="10809" width="2.54296875" style="36" customWidth="1"/>
    <col min="10810" max="10810" width="3.81640625" style="36" customWidth="1"/>
    <col min="10811" max="10823" width="2.54296875" style="36" customWidth="1"/>
    <col min="10824" max="10824" width="3.1796875" style="36" customWidth="1"/>
    <col min="10825" max="10825" width="1.26953125" style="36" customWidth="1"/>
    <col min="10826" max="11008" width="2.54296875" style="36"/>
    <col min="11009" max="11009" width="1.453125" style="36" customWidth="1"/>
    <col min="11010" max="11065" width="2.54296875" style="36" customWidth="1"/>
    <col min="11066" max="11066" width="3.81640625" style="36" customWidth="1"/>
    <col min="11067" max="11079" width="2.54296875" style="36" customWidth="1"/>
    <col min="11080" max="11080" width="3.1796875" style="36" customWidth="1"/>
    <col min="11081" max="11081" width="1.26953125" style="36" customWidth="1"/>
    <col min="11082" max="11264" width="2.54296875" style="36"/>
    <col min="11265" max="11265" width="1.453125" style="36" customWidth="1"/>
    <col min="11266" max="11321" width="2.54296875" style="36" customWidth="1"/>
    <col min="11322" max="11322" width="3.81640625" style="36" customWidth="1"/>
    <col min="11323" max="11335" width="2.54296875" style="36" customWidth="1"/>
    <col min="11336" max="11336" width="3.1796875" style="36" customWidth="1"/>
    <col min="11337" max="11337" width="1.26953125" style="36" customWidth="1"/>
    <col min="11338" max="11520" width="2.54296875" style="36"/>
    <col min="11521" max="11521" width="1.453125" style="36" customWidth="1"/>
    <col min="11522" max="11577" width="2.54296875" style="36" customWidth="1"/>
    <col min="11578" max="11578" width="3.81640625" style="36" customWidth="1"/>
    <col min="11579" max="11591" width="2.54296875" style="36" customWidth="1"/>
    <col min="11592" max="11592" width="3.1796875" style="36" customWidth="1"/>
    <col min="11593" max="11593" width="1.26953125" style="36" customWidth="1"/>
    <col min="11594" max="11776" width="2.54296875" style="36"/>
    <col min="11777" max="11777" width="1.453125" style="36" customWidth="1"/>
    <col min="11778" max="11833" width="2.54296875" style="36" customWidth="1"/>
    <col min="11834" max="11834" width="3.81640625" style="36" customWidth="1"/>
    <col min="11835" max="11847" width="2.54296875" style="36" customWidth="1"/>
    <col min="11848" max="11848" width="3.1796875" style="36" customWidth="1"/>
    <col min="11849" max="11849" width="1.26953125" style="36" customWidth="1"/>
    <col min="11850" max="12032" width="2.54296875" style="36"/>
    <col min="12033" max="12033" width="1.453125" style="36" customWidth="1"/>
    <col min="12034" max="12089" width="2.54296875" style="36" customWidth="1"/>
    <col min="12090" max="12090" width="3.81640625" style="36" customWidth="1"/>
    <col min="12091" max="12103" width="2.54296875" style="36" customWidth="1"/>
    <col min="12104" max="12104" width="3.1796875" style="36" customWidth="1"/>
    <col min="12105" max="12105" width="1.26953125" style="36" customWidth="1"/>
    <col min="12106" max="12288" width="2.54296875" style="36"/>
    <col min="12289" max="12289" width="1.453125" style="36" customWidth="1"/>
    <col min="12290" max="12345" width="2.54296875" style="36" customWidth="1"/>
    <col min="12346" max="12346" width="3.81640625" style="36" customWidth="1"/>
    <col min="12347" max="12359" width="2.54296875" style="36" customWidth="1"/>
    <col min="12360" max="12360" width="3.1796875" style="36" customWidth="1"/>
    <col min="12361" max="12361" width="1.26953125" style="36" customWidth="1"/>
    <col min="12362" max="12544" width="2.54296875" style="36"/>
    <col min="12545" max="12545" width="1.453125" style="36" customWidth="1"/>
    <col min="12546" max="12601" width="2.54296875" style="36" customWidth="1"/>
    <col min="12602" max="12602" width="3.81640625" style="36" customWidth="1"/>
    <col min="12603" max="12615" width="2.54296875" style="36" customWidth="1"/>
    <col min="12616" max="12616" width="3.1796875" style="36" customWidth="1"/>
    <col min="12617" max="12617" width="1.26953125" style="36" customWidth="1"/>
    <col min="12618" max="12800" width="2.54296875" style="36"/>
    <col min="12801" max="12801" width="1.453125" style="36" customWidth="1"/>
    <col min="12802" max="12857" width="2.54296875" style="36" customWidth="1"/>
    <col min="12858" max="12858" width="3.81640625" style="36" customWidth="1"/>
    <col min="12859" max="12871" width="2.54296875" style="36" customWidth="1"/>
    <col min="12872" max="12872" width="3.1796875" style="36" customWidth="1"/>
    <col min="12873" max="12873" width="1.26953125" style="36" customWidth="1"/>
    <col min="12874" max="13056" width="2.54296875" style="36"/>
    <col min="13057" max="13057" width="1.453125" style="36" customWidth="1"/>
    <col min="13058" max="13113" width="2.54296875" style="36" customWidth="1"/>
    <col min="13114" max="13114" width="3.81640625" style="36" customWidth="1"/>
    <col min="13115" max="13127" width="2.54296875" style="36" customWidth="1"/>
    <col min="13128" max="13128" width="3.1796875" style="36" customWidth="1"/>
    <col min="13129" max="13129" width="1.26953125" style="36" customWidth="1"/>
    <col min="13130" max="13312" width="2.54296875" style="36"/>
    <col min="13313" max="13313" width="1.453125" style="36" customWidth="1"/>
    <col min="13314" max="13369" width="2.54296875" style="36" customWidth="1"/>
    <col min="13370" max="13370" width="3.81640625" style="36" customWidth="1"/>
    <col min="13371" max="13383" width="2.54296875" style="36" customWidth="1"/>
    <col min="13384" max="13384" width="3.1796875" style="36" customWidth="1"/>
    <col min="13385" max="13385" width="1.26953125" style="36" customWidth="1"/>
    <col min="13386" max="13568" width="2.54296875" style="36"/>
    <col min="13569" max="13569" width="1.453125" style="36" customWidth="1"/>
    <col min="13570" max="13625" width="2.54296875" style="36" customWidth="1"/>
    <col min="13626" max="13626" width="3.81640625" style="36" customWidth="1"/>
    <col min="13627" max="13639" width="2.54296875" style="36" customWidth="1"/>
    <col min="13640" max="13640" width="3.1796875" style="36" customWidth="1"/>
    <col min="13641" max="13641" width="1.26953125" style="36" customWidth="1"/>
    <col min="13642" max="13824" width="2.54296875" style="36"/>
    <col min="13825" max="13825" width="1.453125" style="36" customWidth="1"/>
    <col min="13826" max="13881" width="2.54296875" style="36" customWidth="1"/>
    <col min="13882" max="13882" width="3.81640625" style="36" customWidth="1"/>
    <col min="13883" max="13895" width="2.54296875" style="36" customWidth="1"/>
    <col min="13896" max="13896" width="3.1796875" style="36" customWidth="1"/>
    <col min="13897" max="13897" width="1.26953125" style="36" customWidth="1"/>
    <col min="13898" max="14080" width="2.54296875" style="36"/>
    <col min="14081" max="14081" width="1.453125" style="36" customWidth="1"/>
    <col min="14082" max="14137" width="2.54296875" style="36" customWidth="1"/>
    <col min="14138" max="14138" width="3.81640625" style="36" customWidth="1"/>
    <col min="14139" max="14151" width="2.54296875" style="36" customWidth="1"/>
    <col min="14152" max="14152" width="3.1796875" style="36" customWidth="1"/>
    <col min="14153" max="14153" width="1.26953125" style="36" customWidth="1"/>
    <col min="14154" max="14336" width="2.54296875" style="36"/>
    <col min="14337" max="14337" width="1.453125" style="36" customWidth="1"/>
    <col min="14338" max="14393" width="2.54296875" style="36" customWidth="1"/>
    <col min="14394" max="14394" width="3.81640625" style="36" customWidth="1"/>
    <col min="14395" max="14407" width="2.54296875" style="36" customWidth="1"/>
    <col min="14408" max="14408" width="3.1796875" style="36" customWidth="1"/>
    <col min="14409" max="14409" width="1.26953125" style="36" customWidth="1"/>
    <col min="14410" max="14592" width="2.54296875" style="36"/>
    <col min="14593" max="14593" width="1.453125" style="36" customWidth="1"/>
    <col min="14594" max="14649" width="2.54296875" style="36" customWidth="1"/>
    <col min="14650" max="14650" width="3.81640625" style="36" customWidth="1"/>
    <col min="14651" max="14663" width="2.54296875" style="36" customWidth="1"/>
    <col min="14664" max="14664" width="3.1796875" style="36" customWidth="1"/>
    <col min="14665" max="14665" width="1.26953125" style="36" customWidth="1"/>
    <col min="14666" max="14848" width="2.54296875" style="36"/>
    <col min="14849" max="14849" width="1.453125" style="36" customWidth="1"/>
    <col min="14850" max="14905" width="2.54296875" style="36" customWidth="1"/>
    <col min="14906" max="14906" width="3.81640625" style="36" customWidth="1"/>
    <col min="14907" max="14919" width="2.54296875" style="36" customWidth="1"/>
    <col min="14920" max="14920" width="3.1796875" style="36" customWidth="1"/>
    <col min="14921" max="14921" width="1.26953125" style="36" customWidth="1"/>
    <col min="14922" max="15104" width="2.54296875" style="36"/>
    <col min="15105" max="15105" width="1.453125" style="36" customWidth="1"/>
    <col min="15106" max="15161" width="2.54296875" style="36" customWidth="1"/>
    <col min="15162" max="15162" width="3.81640625" style="36" customWidth="1"/>
    <col min="15163" max="15175" width="2.54296875" style="36" customWidth="1"/>
    <col min="15176" max="15176" width="3.1796875" style="36" customWidth="1"/>
    <col min="15177" max="15177" width="1.26953125" style="36" customWidth="1"/>
    <col min="15178" max="15360" width="2.54296875" style="36"/>
    <col min="15361" max="15361" width="1.453125" style="36" customWidth="1"/>
    <col min="15362" max="15417" width="2.54296875" style="36" customWidth="1"/>
    <col min="15418" max="15418" width="3.81640625" style="36" customWidth="1"/>
    <col min="15419" max="15431" width="2.54296875" style="36" customWidth="1"/>
    <col min="15432" max="15432" width="3.1796875" style="36" customWidth="1"/>
    <col min="15433" max="15433" width="1.26953125" style="36" customWidth="1"/>
    <col min="15434" max="15616" width="2.54296875" style="36"/>
    <col min="15617" max="15617" width="1.453125" style="36" customWidth="1"/>
    <col min="15618" max="15673" width="2.54296875" style="36" customWidth="1"/>
    <col min="15674" max="15674" width="3.81640625" style="36" customWidth="1"/>
    <col min="15675" max="15687" width="2.54296875" style="36" customWidth="1"/>
    <col min="15688" max="15688" width="3.1796875" style="36" customWidth="1"/>
    <col min="15689" max="15689" width="1.26953125" style="36" customWidth="1"/>
    <col min="15690" max="15872" width="2.54296875" style="36"/>
    <col min="15873" max="15873" width="1.453125" style="36" customWidth="1"/>
    <col min="15874" max="15929" width="2.54296875" style="36" customWidth="1"/>
    <col min="15930" max="15930" width="3.81640625" style="36" customWidth="1"/>
    <col min="15931" max="15943" width="2.54296875" style="36" customWidth="1"/>
    <col min="15944" max="15944" width="3.1796875" style="36" customWidth="1"/>
    <col min="15945" max="15945" width="1.26953125" style="36" customWidth="1"/>
    <col min="15946" max="16128" width="2.54296875" style="36"/>
    <col min="16129" max="16129" width="1.453125" style="36" customWidth="1"/>
    <col min="16130" max="16185" width="2.54296875" style="36" customWidth="1"/>
    <col min="16186" max="16186" width="3.81640625" style="36" customWidth="1"/>
    <col min="16187" max="16199" width="2.54296875" style="36" customWidth="1"/>
    <col min="16200" max="16200" width="3.1796875" style="36" customWidth="1"/>
    <col min="16201" max="16201" width="1.26953125" style="36" customWidth="1"/>
    <col min="16202" max="16384" width="2.54296875" style="36"/>
  </cols>
  <sheetData>
    <row r="1" spans="2:72">
      <c r="B1" s="286" t="s">
        <v>6</v>
      </c>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c r="AF1" s="287"/>
      <c r="AG1" s="287"/>
      <c r="AH1" s="287"/>
      <c r="AI1" s="287"/>
      <c r="AJ1" s="287"/>
      <c r="AK1" s="287"/>
      <c r="AL1" s="287"/>
      <c r="AM1" s="287"/>
      <c r="AN1" s="287"/>
      <c r="AO1" s="287"/>
      <c r="AP1" s="287"/>
      <c r="AQ1" s="287"/>
      <c r="AR1" s="287"/>
      <c r="AS1" s="287"/>
      <c r="AT1" s="287"/>
      <c r="AU1" s="287"/>
      <c r="AV1" s="287"/>
      <c r="AW1" s="287"/>
      <c r="AX1" s="287"/>
      <c r="AY1" s="287"/>
      <c r="AZ1" s="287"/>
      <c r="BA1" s="287"/>
      <c r="BB1" s="287"/>
      <c r="BC1" s="287"/>
      <c r="BD1" s="287"/>
      <c r="BE1" s="287"/>
      <c r="BF1" s="287"/>
      <c r="BG1" s="287"/>
      <c r="BH1" s="288"/>
      <c r="BI1" s="293" t="s">
        <v>7</v>
      </c>
      <c r="BJ1" s="294"/>
      <c r="BK1" s="294"/>
      <c r="BL1" s="294"/>
      <c r="BM1" s="295"/>
      <c r="BN1" s="299" t="s">
        <v>35</v>
      </c>
      <c r="BO1" s="300"/>
      <c r="BP1" s="300"/>
      <c r="BQ1" s="300"/>
      <c r="BR1" s="300"/>
      <c r="BS1" s="300"/>
      <c r="BT1" s="301"/>
    </row>
    <row r="2" spans="2:72" ht="17.25" customHeight="1">
      <c r="B2" s="289"/>
      <c r="C2" s="290"/>
      <c r="D2" s="290"/>
      <c r="E2" s="290"/>
      <c r="F2" s="290"/>
      <c r="G2" s="290"/>
      <c r="H2" s="290"/>
      <c r="I2" s="290"/>
      <c r="J2" s="290"/>
      <c r="K2" s="291"/>
      <c r="L2" s="291"/>
      <c r="M2" s="291"/>
      <c r="N2" s="291"/>
      <c r="O2" s="291"/>
      <c r="P2" s="291"/>
      <c r="Q2" s="291"/>
      <c r="R2" s="291"/>
      <c r="S2" s="291"/>
      <c r="T2" s="291"/>
      <c r="U2" s="291"/>
      <c r="V2" s="291"/>
      <c r="W2" s="291"/>
      <c r="X2" s="291"/>
      <c r="Y2" s="291"/>
      <c r="Z2" s="291"/>
      <c r="AA2" s="291"/>
      <c r="AB2" s="291"/>
      <c r="AC2" s="291"/>
      <c r="AD2" s="291"/>
      <c r="AE2" s="291"/>
      <c r="AF2" s="291"/>
      <c r="AG2" s="291"/>
      <c r="AH2" s="291"/>
      <c r="AI2" s="291"/>
      <c r="AJ2" s="291"/>
      <c r="AK2" s="291"/>
      <c r="AL2" s="291"/>
      <c r="AM2" s="291"/>
      <c r="AN2" s="291"/>
      <c r="AO2" s="291"/>
      <c r="AP2" s="291"/>
      <c r="AQ2" s="291"/>
      <c r="AR2" s="291"/>
      <c r="AS2" s="291"/>
      <c r="AT2" s="291"/>
      <c r="AU2" s="291"/>
      <c r="AV2" s="291"/>
      <c r="AW2" s="291"/>
      <c r="AX2" s="291"/>
      <c r="AY2" s="291"/>
      <c r="AZ2" s="291"/>
      <c r="BA2" s="291"/>
      <c r="BB2" s="291"/>
      <c r="BC2" s="291"/>
      <c r="BD2" s="291"/>
      <c r="BE2" s="291"/>
      <c r="BF2" s="291"/>
      <c r="BG2" s="291"/>
      <c r="BH2" s="292"/>
      <c r="BI2" s="296"/>
      <c r="BJ2" s="297"/>
      <c r="BK2" s="297"/>
      <c r="BL2" s="297"/>
      <c r="BM2" s="298"/>
      <c r="BN2" s="302"/>
      <c r="BO2" s="303"/>
      <c r="BP2" s="303"/>
      <c r="BQ2" s="303"/>
      <c r="BR2" s="303"/>
      <c r="BS2" s="303"/>
      <c r="BT2" s="304"/>
    </row>
    <row r="3" spans="2:72" ht="14">
      <c r="B3" s="37" t="s">
        <v>8</v>
      </c>
      <c r="C3" s="38"/>
      <c r="D3" s="38"/>
      <c r="E3" s="38"/>
      <c r="F3" s="38"/>
      <c r="G3" s="38"/>
      <c r="H3" s="38"/>
      <c r="I3" s="38"/>
      <c r="J3" s="38"/>
      <c r="K3" s="38"/>
      <c r="L3" s="38"/>
      <c r="M3" s="38"/>
      <c r="N3" s="38"/>
      <c r="O3" s="38"/>
      <c r="P3" s="38"/>
      <c r="Q3" s="38"/>
      <c r="R3" s="38"/>
      <c r="S3" s="38"/>
      <c r="T3" s="305"/>
      <c r="U3" s="306"/>
      <c r="V3" s="306"/>
      <c r="W3" s="306"/>
      <c r="X3" s="306"/>
      <c r="Y3" s="306"/>
      <c r="Z3" s="306"/>
      <c r="AA3" s="306"/>
      <c r="AB3" s="306"/>
      <c r="AC3" s="306"/>
      <c r="AD3" s="306"/>
      <c r="AE3" s="306"/>
      <c r="AF3" s="306"/>
      <c r="AG3" s="306"/>
      <c r="AH3" s="306"/>
      <c r="AI3" s="306"/>
      <c r="AJ3" s="306"/>
      <c r="AK3" s="306"/>
      <c r="AL3" s="306"/>
      <c r="AM3" s="306"/>
      <c r="AN3" s="306"/>
      <c r="AO3" s="306"/>
      <c r="AP3" s="306"/>
      <c r="AQ3" s="306"/>
      <c r="AR3" s="306"/>
      <c r="AS3" s="306"/>
      <c r="AT3" s="306"/>
      <c r="AU3" s="306"/>
      <c r="AV3" s="306"/>
      <c r="AW3" s="306"/>
      <c r="AX3" s="306"/>
      <c r="AY3" s="306"/>
      <c r="AZ3" s="306"/>
      <c r="BA3" s="306"/>
      <c r="BB3" s="306"/>
      <c r="BC3" s="306"/>
      <c r="BD3" s="306"/>
      <c r="BE3" s="306"/>
      <c r="BF3" s="306"/>
      <c r="BG3" s="306"/>
      <c r="BH3" s="306"/>
      <c r="BI3" s="306"/>
      <c r="BJ3" s="306"/>
      <c r="BK3" s="306"/>
      <c r="BL3" s="306"/>
      <c r="BM3" s="306"/>
      <c r="BN3" s="306"/>
      <c r="BO3" s="306"/>
      <c r="BP3" s="306"/>
      <c r="BQ3" s="306"/>
      <c r="BR3" s="306"/>
      <c r="BS3" s="306"/>
      <c r="BT3" s="307"/>
    </row>
    <row r="4" spans="2:72" ht="27.75" customHeight="1">
      <c r="B4" s="308" t="s">
        <v>9</v>
      </c>
      <c r="C4" s="309"/>
      <c r="D4" s="309"/>
      <c r="E4" s="309"/>
      <c r="F4" s="309"/>
      <c r="G4" s="309"/>
      <c r="H4" s="309"/>
      <c r="I4" s="309"/>
      <c r="J4" s="309"/>
      <c r="K4" s="309"/>
      <c r="L4" s="309"/>
      <c r="M4" s="309"/>
      <c r="N4" s="309"/>
      <c r="O4" s="309"/>
      <c r="P4" s="309"/>
      <c r="Q4" s="309"/>
      <c r="R4" s="309"/>
      <c r="S4" s="310"/>
      <c r="T4" s="39" t="s">
        <v>5</v>
      </c>
      <c r="U4" s="40"/>
      <c r="V4" s="40"/>
      <c r="W4" s="40"/>
      <c r="X4" s="41"/>
      <c r="Y4" s="41"/>
      <c r="Z4" s="41"/>
      <c r="AA4" s="41"/>
      <c r="AB4" s="41"/>
      <c r="AC4" s="41"/>
      <c r="AD4" s="41"/>
      <c r="AE4" s="41"/>
      <c r="AF4" s="41"/>
      <c r="AG4" s="40"/>
      <c r="AH4" s="40"/>
      <c r="AI4" s="40"/>
      <c r="AJ4" s="40"/>
      <c r="AK4" s="40"/>
      <c r="AL4" s="40"/>
      <c r="AM4" s="41"/>
      <c r="AN4" s="41"/>
      <c r="AO4" s="41"/>
      <c r="AP4" s="41"/>
      <c r="AQ4" s="41"/>
      <c r="AR4" s="41"/>
      <c r="AS4" s="41"/>
      <c r="AT4" s="41"/>
      <c r="AU4" s="41"/>
      <c r="AV4" s="41"/>
      <c r="AW4" s="42"/>
      <c r="AX4" s="43"/>
      <c r="AY4" s="43"/>
      <c r="AZ4" s="43"/>
      <c r="BA4" s="43"/>
      <c r="BB4" s="42"/>
      <c r="BC4" s="43"/>
      <c r="BD4" s="43"/>
      <c r="BE4" s="43"/>
      <c r="BF4" s="43"/>
      <c r="BG4" s="43"/>
      <c r="BH4" s="43"/>
      <c r="BI4" s="41"/>
      <c r="BJ4" s="40"/>
      <c r="BK4" s="40"/>
      <c r="BL4" s="40"/>
      <c r="BM4" s="40"/>
      <c r="BN4" s="41"/>
      <c r="BO4" s="40"/>
      <c r="BP4" s="40"/>
      <c r="BQ4" s="40"/>
      <c r="BR4" s="40"/>
      <c r="BS4" s="40"/>
      <c r="BT4" s="44"/>
    </row>
    <row r="5" spans="2:72" ht="14">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row>
    <row r="6" spans="2:72" ht="14">
      <c r="B6" s="268" t="s">
        <v>10</v>
      </c>
      <c r="C6" s="269"/>
      <c r="D6" s="269"/>
      <c r="E6" s="269"/>
      <c r="F6" s="269"/>
      <c r="G6" s="269"/>
      <c r="H6" s="269"/>
      <c r="I6" s="269"/>
      <c r="J6" s="270"/>
      <c r="K6" s="268" t="s">
        <v>11</v>
      </c>
      <c r="L6" s="269"/>
      <c r="M6" s="269"/>
      <c r="N6" s="269"/>
      <c r="O6" s="269"/>
      <c r="P6" s="269"/>
      <c r="Q6" s="269"/>
      <c r="R6" s="269"/>
      <c r="S6" s="270"/>
      <c r="T6" s="268" t="s">
        <v>12</v>
      </c>
      <c r="U6" s="269"/>
      <c r="V6" s="269"/>
      <c r="W6" s="269"/>
      <c r="X6" s="269"/>
      <c r="Y6" s="269"/>
      <c r="Z6" s="269"/>
      <c r="AA6" s="269"/>
      <c r="AB6" s="269"/>
      <c r="AC6" s="269"/>
      <c r="AD6" s="269"/>
      <c r="AE6" s="269"/>
      <c r="AF6" s="269"/>
      <c r="AG6" s="269"/>
      <c r="AH6" s="269"/>
      <c r="AI6" s="269"/>
      <c r="AJ6" s="269"/>
      <c r="AK6" s="269"/>
      <c r="AL6" s="269"/>
      <c r="AM6" s="269"/>
      <c r="AN6" s="269"/>
      <c r="AO6" s="269"/>
      <c r="AP6" s="269"/>
      <c r="AQ6" s="269"/>
      <c r="AR6" s="270"/>
      <c r="AS6" s="268" t="s">
        <v>13</v>
      </c>
      <c r="AT6" s="269"/>
      <c r="AU6" s="269"/>
      <c r="AV6" s="269"/>
      <c r="AW6" s="269"/>
      <c r="AX6" s="269"/>
      <c r="AY6" s="270"/>
      <c r="AZ6" s="268" t="s">
        <v>14</v>
      </c>
      <c r="BA6" s="269"/>
      <c r="BB6" s="269"/>
      <c r="BC6" s="269"/>
      <c r="BD6" s="269"/>
      <c r="BE6" s="269"/>
      <c r="BF6" s="270"/>
      <c r="BG6" s="268" t="s">
        <v>15</v>
      </c>
      <c r="BH6" s="269"/>
      <c r="BI6" s="269"/>
      <c r="BJ6" s="269"/>
      <c r="BK6" s="269"/>
      <c r="BL6" s="269"/>
      <c r="BM6" s="270"/>
      <c r="BN6" s="268" t="s">
        <v>16</v>
      </c>
      <c r="BO6" s="269"/>
      <c r="BP6" s="269"/>
      <c r="BQ6" s="269"/>
      <c r="BR6" s="269"/>
      <c r="BS6" s="269"/>
      <c r="BT6" s="270"/>
    </row>
    <row r="7" spans="2:72" ht="14">
      <c r="B7" s="268" t="s">
        <v>17</v>
      </c>
      <c r="C7" s="269"/>
      <c r="D7" s="269"/>
      <c r="E7" s="269"/>
      <c r="F7" s="269"/>
      <c r="G7" s="269"/>
      <c r="H7" s="269"/>
      <c r="I7" s="269"/>
      <c r="J7" s="270"/>
      <c r="K7" s="268" t="s">
        <v>18</v>
      </c>
      <c r="L7" s="269"/>
      <c r="M7" s="269"/>
      <c r="N7" s="269"/>
      <c r="O7" s="269"/>
      <c r="P7" s="269"/>
      <c r="Q7" s="269"/>
      <c r="R7" s="269"/>
      <c r="S7" s="270"/>
      <c r="T7" s="268" t="s">
        <v>19</v>
      </c>
      <c r="U7" s="269"/>
      <c r="V7" s="269"/>
      <c r="W7" s="269"/>
      <c r="X7" s="269"/>
      <c r="Y7" s="269"/>
      <c r="Z7" s="269"/>
      <c r="AA7" s="269"/>
      <c r="AB7" s="269"/>
      <c r="AC7" s="269"/>
      <c r="AD7" s="269"/>
      <c r="AE7" s="269"/>
      <c r="AF7" s="269"/>
      <c r="AG7" s="269"/>
      <c r="AH7" s="269"/>
      <c r="AI7" s="269"/>
      <c r="AJ7" s="269"/>
      <c r="AK7" s="269"/>
      <c r="AL7" s="269"/>
      <c r="AM7" s="269"/>
      <c r="AN7" s="269"/>
      <c r="AO7" s="269"/>
      <c r="AP7" s="269"/>
      <c r="AQ7" s="269"/>
      <c r="AR7" s="270"/>
      <c r="AS7" s="268" t="s">
        <v>20</v>
      </c>
      <c r="AT7" s="269"/>
      <c r="AU7" s="269"/>
      <c r="AV7" s="269"/>
      <c r="AW7" s="269"/>
      <c r="AX7" s="269"/>
      <c r="AY7" s="270"/>
      <c r="AZ7" s="268" t="s">
        <v>21</v>
      </c>
      <c r="BA7" s="269"/>
      <c r="BB7" s="269"/>
      <c r="BC7" s="269"/>
      <c r="BD7" s="269"/>
      <c r="BE7" s="269"/>
      <c r="BF7" s="270"/>
      <c r="BG7" s="268" t="s">
        <v>22</v>
      </c>
      <c r="BH7" s="269"/>
      <c r="BI7" s="269"/>
      <c r="BJ7" s="269"/>
      <c r="BK7" s="269"/>
      <c r="BL7" s="269"/>
      <c r="BM7" s="270"/>
      <c r="BN7" s="268" t="s">
        <v>23</v>
      </c>
      <c r="BO7" s="269"/>
      <c r="BP7" s="269"/>
      <c r="BQ7" s="269"/>
      <c r="BR7" s="269"/>
      <c r="BS7" s="269"/>
      <c r="BT7" s="270"/>
    </row>
    <row r="8" spans="2:72" ht="14">
      <c r="B8" s="268" t="s">
        <v>24</v>
      </c>
      <c r="C8" s="269"/>
      <c r="D8" s="269"/>
      <c r="E8" s="269"/>
      <c r="F8" s="269"/>
      <c r="G8" s="269"/>
      <c r="H8" s="269"/>
      <c r="I8" s="269"/>
      <c r="J8" s="270"/>
      <c r="K8" s="268" t="s">
        <v>25</v>
      </c>
      <c r="L8" s="269"/>
      <c r="M8" s="269"/>
      <c r="N8" s="269"/>
      <c r="O8" s="269"/>
      <c r="P8" s="269"/>
      <c r="Q8" s="269"/>
      <c r="R8" s="269"/>
      <c r="S8" s="270"/>
      <c r="T8" s="268" t="s">
        <v>26</v>
      </c>
      <c r="U8" s="269"/>
      <c r="V8" s="269"/>
      <c r="W8" s="269"/>
      <c r="X8" s="269"/>
      <c r="Y8" s="269"/>
      <c r="Z8" s="269"/>
      <c r="AA8" s="269"/>
      <c r="AB8" s="269"/>
      <c r="AC8" s="269"/>
      <c r="AD8" s="269"/>
      <c r="AE8" s="269"/>
      <c r="AF8" s="269"/>
      <c r="AG8" s="269"/>
      <c r="AH8" s="269"/>
      <c r="AI8" s="269"/>
      <c r="AJ8" s="269"/>
      <c r="AK8" s="269"/>
      <c r="AL8" s="269"/>
      <c r="AM8" s="269"/>
      <c r="AN8" s="269"/>
      <c r="AO8" s="269"/>
      <c r="AP8" s="269"/>
      <c r="AQ8" s="269"/>
      <c r="AR8" s="270"/>
      <c r="AS8" s="268" t="s">
        <v>27</v>
      </c>
      <c r="AT8" s="269"/>
      <c r="AU8" s="269"/>
      <c r="AV8" s="269"/>
      <c r="AW8" s="269"/>
      <c r="AX8" s="269"/>
      <c r="AY8" s="270"/>
      <c r="AZ8" s="268" t="s">
        <v>28</v>
      </c>
      <c r="BA8" s="269"/>
      <c r="BB8" s="269"/>
      <c r="BC8" s="269"/>
      <c r="BD8" s="269"/>
      <c r="BE8" s="269"/>
      <c r="BF8" s="270"/>
      <c r="BG8" s="268" t="s">
        <v>29</v>
      </c>
      <c r="BH8" s="269"/>
      <c r="BI8" s="269"/>
      <c r="BJ8" s="269"/>
      <c r="BK8" s="269"/>
      <c r="BL8" s="269"/>
      <c r="BM8" s="270"/>
      <c r="BN8" s="268" t="s">
        <v>30</v>
      </c>
      <c r="BO8" s="269"/>
      <c r="BP8" s="269"/>
      <c r="BQ8" s="269"/>
      <c r="BR8" s="269"/>
      <c r="BS8" s="269"/>
      <c r="BT8" s="270"/>
    </row>
    <row r="9" spans="2:72" ht="14">
      <c r="B9" s="271" t="s">
        <v>31</v>
      </c>
      <c r="C9" s="272"/>
      <c r="D9" s="272"/>
      <c r="E9" s="272"/>
      <c r="F9" s="272"/>
      <c r="G9" s="272"/>
      <c r="H9" s="272"/>
      <c r="I9" s="272"/>
      <c r="J9" s="273"/>
      <c r="K9" s="274" t="s">
        <v>32</v>
      </c>
      <c r="L9" s="275"/>
      <c r="M9" s="275"/>
      <c r="N9" s="275"/>
      <c r="O9" s="275"/>
      <c r="P9" s="275"/>
      <c r="Q9" s="275"/>
      <c r="R9" s="275"/>
      <c r="S9" s="276"/>
      <c r="T9" s="277" t="s">
        <v>32</v>
      </c>
      <c r="U9" s="278"/>
      <c r="V9" s="278"/>
      <c r="W9" s="278"/>
      <c r="X9" s="278"/>
      <c r="Y9" s="278"/>
      <c r="Z9" s="278"/>
      <c r="AA9" s="278"/>
      <c r="AB9" s="278"/>
      <c r="AC9" s="278"/>
      <c r="AD9" s="278"/>
      <c r="AE9" s="278"/>
      <c r="AF9" s="278"/>
      <c r="AG9" s="278"/>
      <c r="AH9" s="278"/>
      <c r="AI9" s="278"/>
      <c r="AJ9" s="278"/>
      <c r="AK9" s="278"/>
      <c r="AL9" s="278"/>
      <c r="AM9" s="278"/>
      <c r="AN9" s="278"/>
      <c r="AO9" s="278"/>
      <c r="AP9" s="278"/>
      <c r="AQ9" s="278"/>
      <c r="AR9" s="279"/>
      <c r="AS9" s="280" t="s">
        <v>33</v>
      </c>
      <c r="AT9" s="281"/>
      <c r="AU9" s="281"/>
      <c r="AV9" s="281"/>
      <c r="AW9" s="281"/>
      <c r="AX9" s="281"/>
      <c r="AY9" s="282"/>
      <c r="AZ9" s="283">
        <v>45971</v>
      </c>
      <c r="BA9" s="284"/>
      <c r="BB9" s="284"/>
      <c r="BC9" s="284"/>
      <c r="BD9" s="284"/>
      <c r="BE9" s="284"/>
      <c r="BF9" s="285"/>
      <c r="BG9" s="280" t="s">
        <v>34</v>
      </c>
      <c r="BH9" s="281"/>
      <c r="BI9" s="281"/>
      <c r="BJ9" s="281"/>
      <c r="BK9" s="281"/>
      <c r="BL9" s="281"/>
      <c r="BM9" s="282"/>
      <c r="BN9" s="283"/>
      <c r="BO9" s="284"/>
      <c r="BP9" s="284"/>
      <c r="BQ9" s="284"/>
      <c r="BR9" s="284"/>
      <c r="BS9" s="284"/>
      <c r="BT9" s="285"/>
    </row>
    <row r="10" spans="2:72" ht="14">
      <c r="B10" s="237"/>
      <c r="C10" s="238"/>
      <c r="D10" s="238"/>
      <c r="E10" s="238"/>
      <c r="F10" s="238"/>
      <c r="G10" s="238"/>
      <c r="H10" s="238"/>
      <c r="I10" s="238"/>
      <c r="J10" s="239"/>
      <c r="K10" s="261"/>
      <c r="L10" s="262"/>
      <c r="M10" s="262"/>
      <c r="N10" s="262"/>
      <c r="O10" s="262"/>
      <c r="P10" s="262"/>
      <c r="Q10" s="262"/>
      <c r="R10" s="262"/>
      <c r="S10" s="263"/>
      <c r="T10" s="264"/>
      <c r="U10" s="241"/>
      <c r="V10" s="241"/>
      <c r="W10" s="241"/>
      <c r="X10" s="241"/>
      <c r="Y10" s="241"/>
      <c r="Z10" s="241"/>
      <c r="AA10" s="241"/>
      <c r="AB10" s="241"/>
      <c r="AC10" s="241"/>
      <c r="AD10" s="241"/>
      <c r="AE10" s="241"/>
      <c r="AF10" s="241"/>
      <c r="AG10" s="241"/>
      <c r="AH10" s="241"/>
      <c r="AI10" s="241"/>
      <c r="AJ10" s="241"/>
      <c r="AK10" s="241"/>
      <c r="AL10" s="241"/>
      <c r="AM10" s="241"/>
      <c r="AN10" s="241"/>
      <c r="AO10" s="241"/>
      <c r="AP10" s="241"/>
      <c r="AQ10" s="241"/>
      <c r="AR10" s="242"/>
      <c r="AS10" s="265"/>
      <c r="AT10" s="266"/>
      <c r="AU10" s="266"/>
      <c r="AV10" s="266"/>
      <c r="AW10" s="266"/>
      <c r="AX10" s="266"/>
      <c r="AY10" s="267"/>
      <c r="AZ10" s="249"/>
      <c r="BA10" s="250"/>
      <c r="BB10" s="250"/>
      <c r="BC10" s="250"/>
      <c r="BD10" s="250"/>
      <c r="BE10" s="250"/>
      <c r="BF10" s="251"/>
      <c r="BG10" s="265"/>
      <c r="BH10" s="266"/>
      <c r="BI10" s="266"/>
      <c r="BJ10" s="266"/>
      <c r="BK10" s="266"/>
      <c r="BL10" s="266"/>
      <c r="BM10" s="267"/>
      <c r="BN10" s="249"/>
      <c r="BO10" s="250"/>
      <c r="BP10" s="250"/>
      <c r="BQ10" s="250"/>
      <c r="BR10" s="250"/>
      <c r="BS10" s="250"/>
      <c r="BT10" s="251"/>
    </row>
    <row r="11" spans="2:72" ht="14">
      <c r="B11" s="237"/>
      <c r="C11" s="238"/>
      <c r="D11" s="238"/>
      <c r="E11" s="238"/>
      <c r="F11" s="238"/>
      <c r="G11" s="238"/>
      <c r="H11" s="238"/>
      <c r="I11" s="238"/>
      <c r="J11" s="239"/>
      <c r="K11" s="252"/>
      <c r="L11" s="253"/>
      <c r="M11" s="253"/>
      <c r="N11" s="253"/>
      <c r="O11" s="253"/>
      <c r="P11" s="253"/>
      <c r="Q11" s="253"/>
      <c r="R11" s="253"/>
      <c r="S11" s="254"/>
      <c r="T11" s="240"/>
      <c r="U11" s="241"/>
      <c r="V11" s="241"/>
      <c r="W11" s="241"/>
      <c r="X11" s="241"/>
      <c r="Y11" s="241"/>
      <c r="Z11" s="241"/>
      <c r="AA11" s="241"/>
      <c r="AB11" s="241"/>
      <c r="AC11" s="241"/>
      <c r="AD11" s="241"/>
      <c r="AE11" s="241"/>
      <c r="AF11" s="241"/>
      <c r="AG11" s="241"/>
      <c r="AH11" s="241"/>
      <c r="AI11" s="241"/>
      <c r="AJ11" s="241"/>
      <c r="AK11" s="241"/>
      <c r="AL11" s="241"/>
      <c r="AM11" s="241"/>
      <c r="AN11" s="241"/>
      <c r="AO11" s="241"/>
      <c r="AP11" s="241"/>
      <c r="AQ11" s="241"/>
      <c r="AR11" s="242"/>
      <c r="AS11" s="255"/>
      <c r="AT11" s="256"/>
      <c r="AU11" s="256"/>
      <c r="AV11" s="256"/>
      <c r="AW11" s="256"/>
      <c r="AX11" s="256"/>
      <c r="AY11" s="257"/>
      <c r="AZ11" s="258"/>
      <c r="BA11" s="259"/>
      <c r="BB11" s="259"/>
      <c r="BC11" s="259"/>
      <c r="BD11" s="259"/>
      <c r="BE11" s="259"/>
      <c r="BF11" s="260"/>
      <c r="BG11" s="255"/>
      <c r="BH11" s="256"/>
      <c r="BI11" s="256"/>
      <c r="BJ11" s="256"/>
      <c r="BK11" s="256"/>
      <c r="BL11" s="256"/>
      <c r="BM11" s="257"/>
      <c r="BN11" s="258"/>
      <c r="BO11" s="259"/>
      <c r="BP11" s="259"/>
      <c r="BQ11" s="259"/>
      <c r="BR11" s="259"/>
      <c r="BS11" s="259"/>
      <c r="BT11" s="260"/>
    </row>
    <row r="12" spans="2:72" ht="14">
      <c r="B12" s="237"/>
      <c r="C12" s="238"/>
      <c r="D12" s="238"/>
      <c r="E12" s="238"/>
      <c r="F12" s="238"/>
      <c r="G12" s="238"/>
      <c r="H12" s="238"/>
      <c r="I12" s="238"/>
      <c r="J12" s="239"/>
      <c r="K12" s="46"/>
      <c r="L12" s="47"/>
      <c r="M12" s="47"/>
      <c r="N12" s="47"/>
      <c r="O12" s="47"/>
      <c r="P12" s="47"/>
      <c r="Q12" s="47"/>
      <c r="R12" s="47"/>
      <c r="S12" s="48"/>
      <c r="T12" s="240"/>
      <c r="U12" s="241"/>
      <c r="V12" s="241"/>
      <c r="W12" s="241"/>
      <c r="X12" s="241"/>
      <c r="Y12" s="241"/>
      <c r="Z12" s="241"/>
      <c r="AA12" s="241"/>
      <c r="AB12" s="241"/>
      <c r="AC12" s="241"/>
      <c r="AD12" s="241"/>
      <c r="AE12" s="241"/>
      <c r="AF12" s="241"/>
      <c r="AG12" s="241"/>
      <c r="AH12" s="241"/>
      <c r="AI12" s="241"/>
      <c r="AJ12" s="241"/>
      <c r="AK12" s="241"/>
      <c r="AL12" s="241"/>
      <c r="AM12" s="241"/>
      <c r="AN12" s="241"/>
      <c r="AO12" s="241"/>
      <c r="AP12" s="241"/>
      <c r="AQ12" s="241"/>
      <c r="AR12" s="242"/>
      <c r="AS12" s="243"/>
      <c r="AT12" s="244"/>
      <c r="AU12" s="244"/>
      <c r="AV12" s="244"/>
      <c r="AW12" s="244"/>
      <c r="AX12" s="244"/>
      <c r="AY12" s="245"/>
      <c r="AZ12" s="246"/>
      <c r="BA12" s="247"/>
      <c r="BB12" s="247"/>
      <c r="BC12" s="247"/>
      <c r="BD12" s="247"/>
      <c r="BE12" s="247"/>
      <c r="BF12" s="248"/>
      <c r="BG12" s="243"/>
      <c r="BH12" s="244"/>
      <c r="BI12" s="244"/>
      <c r="BJ12" s="244"/>
      <c r="BK12" s="244"/>
      <c r="BL12" s="244"/>
      <c r="BM12" s="245"/>
      <c r="BN12" s="243"/>
      <c r="BO12" s="244"/>
      <c r="BP12" s="244"/>
      <c r="BQ12" s="244"/>
      <c r="BR12" s="244"/>
      <c r="BS12" s="244"/>
      <c r="BT12" s="245"/>
    </row>
    <row r="13" spans="2:72" ht="14">
      <c r="B13" s="237"/>
      <c r="C13" s="238"/>
      <c r="D13" s="238"/>
      <c r="E13" s="238"/>
      <c r="F13" s="238"/>
      <c r="G13" s="238"/>
      <c r="H13" s="238"/>
      <c r="I13" s="238"/>
      <c r="J13" s="239"/>
      <c r="K13" s="46"/>
      <c r="L13" s="47"/>
      <c r="M13" s="47"/>
      <c r="N13" s="47"/>
      <c r="O13" s="47"/>
      <c r="P13" s="47"/>
      <c r="Q13" s="47"/>
      <c r="R13" s="47"/>
      <c r="S13" s="48"/>
      <c r="T13" s="240"/>
      <c r="U13" s="241"/>
      <c r="V13" s="241"/>
      <c r="W13" s="241"/>
      <c r="X13" s="241"/>
      <c r="Y13" s="241"/>
      <c r="Z13" s="241"/>
      <c r="AA13" s="241"/>
      <c r="AB13" s="241"/>
      <c r="AC13" s="241"/>
      <c r="AD13" s="241"/>
      <c r="AE13" s="241"/>
      <c r="AF13" s="241"/>
      <c r="AG13" s="241"/>
      <c r="AH13" s="241"/>
      <c r="AI13" s="241"/>
      <c r="AJ13" s="241"/>
      <c r="AK13" s="241"/>
      <c r="AL13" s="241"/>
      <c r="AM13" s="241"/>
      <c r="AN13" s="241"/>
      <c r="AO13" s="241"/>
      <c r="AP13" s="241"/>
      <c r="AQ13" s="241"/>
      <c r="AR13" s="242"/>
      <c r="AS13" s="243"/>
      <c r="AT13" s="244"/>
      <c r="AU13" s="244"/>
      <c r="AV13" s="244"/>
      <c r="AW13" s="244"/>
      <c r="AX13" s="244"/>
      <c r="AY13" s="245"/>
      <c r="AZ13" s="246"/>
      <c r="BA13" s="247"/>
      <c r="BB13" s="247"/>
      <c r="BC13" s="247"/>
      <c r="BD13" s="247"/>
      <c r="BE13" s="247"/>
      <c r="BF13" s="248"/>
      <c r="BG13" s="243"/>
      <c r="BH13" s="244"/>
      <c r="BI13" s="244"/>
      <c r="BJ13" s="244"/>
      <c r="BK13" s="244"/>
      <c r="BL13" s="244"/>
      <c r="BM13" s="245"/>
      <c r="BN13" s="243"/>
      <c r="BO13" s="244"/>
      <c r="BP13" s="244"/>
      <c r="BQ13" s="244"/>
      <c r="BR13" s="244"/>
      <c r="BS13" s="244"/>
      <c r="BT13" s="245"/>
    </row>
    <row r="14" spans="2:72" ht="14">
      <c r="B14" s="237"/>
      <c r="C14" s="238"/>
      <c r="D14" s="238"/>
      <c r="E14" s="238"/>
      <c r="F14" s="238"/>
      <c r="G14" s="238"/>
      <c r="H14" s="238"/>
      <c r="I14" s="238"/>
      <c r="J14" s="239"/>
      <c r="K14" s="46"/>
      <c r="L14" s="47"/>
      <c r="M14" s="47"/>
      <c r="N14" s="47"/>
      <c r="O14" s="47"/>
      <c r="P14" s="47"/>
      <c r="Q14" s="47"/>
      <c r="R14" s="47"/>
      <c r="S14" s="48"/>
      <c r="T14" s="240"/>
      <c r="U14" s="241"/>
      <c r="V14" s="241"/>
      <c r="W14" s="241"/>
      <c r="X14" s="241"/>
      <c r="Y14" s="241"/>
      <c r="Z14" s="241"/>
      <c r="AA14" s="241"/>
      <c r="AB14" s="241"/>
      <c r="AC14" s="241"/>
      <c r="AD14" s="241"/>
      <c r="AE14" s="241"/>
      <c r="AF14" s="241"/>
      <c r="AG14" s="241"/>
      <c r="AH14" s="241"/>
      <c r="AI14" s="241"/>
      <c r="AJ14" s="241"/>
      <c r="AK14" s="241"/>
      <c r="AL14" s="241"/>
      <c r="AM14" s="241"/>
      <c r="AN14" s="241"/>
      <c r="AO14" s="241"/>
      <c r="AP14" s="241"/>
      <c r="AQ14" s="241"/>
      <c r="AR14" s="242"/>
      <c r="AS14" s="243"/>
      <c r="AT14" s="244"/>
      <c r="AU14" s="244"/>
      <c r="AV14" s="244"/>
      <c r="AW14" s="244"/>
      <c r="AX14" s="244"/>
      <c r="AY14" s="245"/>
      <c r="AZ14" s="246"/>
      <c r="BA14" s="247"/>
      <c r="BB14" s="247"/>
      <c r="BC14" s="247"/>
      <c r="BD14" s="247"/>
      <c r="BE14" s="247"/>
      <c r="BF14" s="248"/>
      <c r="BG14" s="243"/>
      <c r="BH14" s="244"/>
      <c r="BI14" s="244"/>
      <c r="BJ14" s="244"/>
      <c r="BK14" s="244"/>
      <c r="BL14" s="244"/>
      <c r="BM14" s="245"/>
      <c r="BN14" s="243"/>
      <c r="BO14" s="244"/>
      <c r="BP14" s="244"/>
      <c r="BQ14" s="244"/>
      <c r="BR14" s="244"/>
      <c r="BS14" s="244"/>
      <c r="BT14" s="245"/>
    </row>
    <row r="15" spans="2:72" ht="14">
      <c r="B15" s="237"/>
      <c r="C15" s="238"/>
      <c r="D15" s="238"/>
      <c r="E15" s="238"/>
      <c r="F15" s="238"/>
      <c r="G15" s="238"/>
      <c r="H15" s="238"/>
      <c r="I15" s="238"/>
      <c r="J15" s="239"/>
      <c r="K15" s="46"/>
      <c r="L15" s="47"/>
      <c r="M15" s="47"/>
      <c r="N15" s="47"/>
      <c r="O15" s="47"/>
      <c r="P15" s="47"/>
      <c r="Q15" s="47"/>
      <c r="R15" s="47"/>
      <c r="S15" s="48"/>
      <c r="T15" s="240"/>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2"/>
      <c r="AS15" s="243"/>
      <c r="AT15" s="244"/>
      <c r="AU15" s="244"/>
      <c r="AV15" s="244"/>
      <c r="AW15" s="244"/>
      <c r="AX15" s="244"/>
      <c r="AY15" s="245"/>
      <c r="AZ15" s="246"/>
      <c r="BA15" s="247"/>
      <c r="BB15" s="247"/>
      <c r="BC15" s="247"/>
      <c r="BD15" s="247"/>
      <c r="BE15" s="247"/>
      <c r="BF15" s="248"/>
      <c r="BG15" s="243"/>
      <c r="BH15" s="244"/>
      <c r="BI15" s="244"/>
      <c r="BJ15" s="244"/>
      <c r="BK15" s="244"/>
      <c r="BL15" s="244"/>
      <c r="BM15" s="245"/>
      <c r="BN15" s="243"/>
      <c r="BO15" s="244"/>
      <c r="BP15" s="244"/>
      <c r="BQ15" s="244"/>
      <c r="BR15" s="244"/>
      <c r="BS15" s="244"/>
      <c r="BT15" s="245"/>
    </row>
    <row r="16" spans="2:72" ht="14">
      <c r="B16" s="237"/>
      <c r="C16" s="238"/>
      <c r="D16" s="238"/>
      <c r="E16" s="238"/>
      <c r="F16" s="238"/>
      <c r="G16" s="238"/>
      <c r="H16" s="238"/>
      <c r="I16" s="238"/>
      <c r="J16" s="239"/>
      <c r="K16" s="46"/>
      <c r="L16" s="47"/>
      <c r="M16" s="47"/>
      <c r="N16" s="47"/>
      <c r="O16" s="47"/>
      <c r="P16" s="47"/>
      <c r="Q16" s="47"/>
      <c r="R16" s="47"/>
      <c r="S16" s="48"/>
      <c r="T16" s="240"/>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2"/>
      <c r="AS16" s="243"/>
      <c r="AT16" s="244"/>
      <c r="AU16" s="244"/>
      <c r="AV16" s="244"/>
      <c r="AW16" s="244"/>
      <c r="AX16" s="244"/>
      <c r="AY16" s="245"/>
      <c r="AZ16" s="246"/>
      <c r="BA16" s="247"/>
      <c r="BB16" s="247"/>
      <c r="BC16" s="247"/>
      <c r="BD16" s="247"/>
      <c r="BE16" s="247"/>
      <c r="BF16" s="248"/>
      <c r="BG16" s="243"/>
      <c r="BH16" s="244"/>
      <c r="BI16" s="244"/>
      <c r="BJ16" s="244"/>
      <c r="BK16" s="244"/>
      <c r="BL16" s="244"/>
      <c r="BM16" s="245"/>
      <c r="BN16" s="243"/>
      <c r="BO16" s="244"/>
      <c r="BP16" s="244"/>
      <c r="BQ16" s="244"/>
      <c r="BR16" s="244"/>
      <c r="BS16" s="244"/>
      <c r="BT16" s="245"/>
    </row>
    <row r="17" spans="2:72" ht="14">
      <c r="B17" s="237"/>
      <c r="C17" s="238"/>
      <c r="D17" s="238"/>
      <c r="E17" s="238"/>
      <c r="F17" s="238"/>
      <c r="G17" s="238"/>
      <c r="H17" s="238"/>
      <c r="I17" s="238"/>
      <c r="J17" s="239"/>
      <c r="K17" s="46"/>
      <c r="L17" s="47"/>
      <c r="M17" s="47"/>
      <c r="N17" s="47"/>
      <c r="O17" s="47"/>
      <c r="P17" s="47"/>
      <c r="Q17" s="47"/>
      <c r="R17" s="47"/>
      <c r="S17" s="48"/>
      <c r="T17" s="240"/>
      <c r="U17" s="241"/>
      <c r="V17" s="241"/>
      <c r="W17" s="241"/>
      <c r="X17" s="241"/>
      <c r="Y17" s="241"/>
      <c r="Z17" s="241"/>
      <c r="AA17" s="241"/>
      <c r="AB17" s="241"/>
      <c r="AC17" s="241"/>
      <c r="AD17" s="241"/>
      <c r="AE17" s="241"/>
      <c r="AF17" s="241"/>
      <c r="AG17" s="241"/>
      <c r="AH17" s="241"/>
      <c r="AI17" s="241"/>
      <c r="AJ17" s="241"/>
      <c r="AK17" s="241"/>
      <c r="AL17" s="241"/>
      <c r="AM17" s="241"/>
      <c r="AN17" s="241"/>
      <c r="AO17" s="241"/>
      <c r="AP17" s="241"/>
      <c r="AQ17" s="241"/>
      <c r="AR17" s="242"/>
      <c r="AS17" s="243"/>
      <c r="AT17" s="244"/>
      <c r="AU17" s="244"/>
      <c r="AV17" s="244"/>
      <c r="AW17" s="244"/>
      <c r="AX17" s="244"/>
      <c r="AY17" s="245"/>
      <c r="AZ17" s="246"/>
      <c r="BA17" s="247"/>
      <c r="BB17" s="247"/>
      <c r="BC17" s="247"/>
      <c r="BD17" s="247"/>
      <c r="BE17" s="247"/>
      <c r="BF17" s="248"/>
      <c r="BG17" s="243"/>
      <c r="BH17" s="244"/>
      <c r="BI17" s="244"/>
      <c r="BJ17" s="244"/>
      <c r="BK17" s="244"/>
      <c r="BL17" s="244"/>
      <c r="BM17" s="245"/>
      <c r="BN17" s="243"/>
      <c r="BO17" s="244"/>
      <c r="BP17" s="244"/>
      <c r="BQ17" s="244"/>
      <c r="BR17" s="244"/>
      <c r="BS17" s="244"/>
      <c r="BT17" s="245"/>
    </row>
    <row r="18" spans="2:72" ht="14">
      <c r="B18" s="237"/>
      <c r="C18" s="238"/>
      <c r="D18" s="238"/>
      <c r="E18" s="238"/>
      <c r="F18" s="238"/>
      <c r="G18" s="238"/>
      <c r="H18" s="238"/>
      <c r="I18" s="238"/>
      <c r="J18" s="239"/>
      <c r="K18" s="46"/>
      <c r="L18" s="47"/>
      <c r="M18" s="47"/>
      <c r="N18" s="47"/>
      <c r="O18" s="47"/>
      <c r="P18" s="47"/>
      <c r="Q18" s="47"/>
      <c r="R18" s="47"/>
      <c r="S18" s="48"/>
      <c r="T18" s="240"/>
      <c r="U18" s="241"/>
      <c r="V18" s="241"/>
      <c r="W18" s="241"/>
      <c r="X18" s="241"/>
      <c r="Y18" s="241"/>
      <c r="Z18" s="241"/>
      <c r="AA18" s="241"/>
      <c r="AB18" s="241"/>
      <c r="AC18" s="241"/>
      <c r="AD18" s="241"/>
      <c r="AE18" s="241"/>
      <c r="AF18" s="241"/>
      <c r="AG18" s="241"/>
      <c r="AH18" s="241"/>
      <c r="AI18" s="241"/>
      <c r="AJ18" s="241"/>
      <c r="AK18" s="241"/>
      <c r="AL18" s="241"/>
      <c r="AM18" s="241"/>
      <c r="AN18" s="241"/>
      <c r="AO18" s="241"/>
      <c r="AP18" s="241"/>
      <c r="AQ18" s="241"/>
      <c r="AR18" s="242"/>
      <c r="AS18" s="243"/>
      <c r="AT18" s="244"/>
      <c r="AU18" s="244"/>
      <c r="AV18" s="244"/>
      <c r="AW18" s="244"/>
      <c r="AX18" s="244"/>
      <c r="AY18" s="245"/>
      <c r="AZ18" s="246"/>
      <c r="BA18" s="247"/>
      <c r="BB18" s="247"/>
      <c r="BC18" s="247"/>
      <c r="BD18" s="247"/>
      <c r="BE18" s="247"/>
      <c r="BF18" s="248"/>
      <c r="BG18" s="243"/>
      <c r="BH18" s="244"/>
      <c r="BI18" s="244"/>
      <c r="BJ18" s="244"/>
      <c r="BK18" s="244"/>
      <c r="BL18" s="244"/>
      <c r="BM18" s="245"/>
      <c r="BN18" s="243"/>
      <c r="BO18" s="244"/>
      <c r="BP18" s="244"/>
      <c r="BQ18" s="244"/>
      <c r="BR18" s="244"/>
      <c r="BS18" s="244"/>
      <c r="BT18" s="245"/>
    </row>
    <row r="19" spans="2:72" ht="14">
      <c r="B19" s="237"/>
      <c r="C19" s="238"/>
      <c r="D19" s="238"/>
      <c r="E19" s="238"/>
      <c r="F19" s="238"/>
      <c r="G19" s="238"/>
      <c r="H19" s="238"/>
      <c r="I19" s="238"/>
      <c r="J19" s="239"/>
      <c r="K19" s="46"/>
      <c r="L19" s="47"/>
      <c r="M19" s="47"/>
      <c r="N19" s="47"/>
      <c r="O19" s="47"/>
      <c r="P19" s="47"/>
      <c r="Q19" s="47"/>
      <c r="R19" s="47"/>
      <c r="S19" s="48"/>
      <c r="T19" s="240"/>
      <c r="U19" s="241"/>
      <c r="V19" s="241"/>
      <c r="W19" s="241"/>
      <c r="X19" s="241"/>
      <c r="Y19" s="241"/>
      <c r="Z19" s="241"/>
      <c r="AA19" s="241"/>
      <c r="AB19" s="241"/>
      <c r="AC19" s="241"/>
      <c r="AD19" s="241"/>
      <c r="AE19" s="241"/>
      <c r="AF19" s="241"/>
      <c r="AG19" s="241"/>
      <c r="AH19" s="241"/>
      <c r="AI19" s="241"/>
      <c r="AJ19" s="241"/>
      <c r="AK19" s="241"/>
      <c r="AL19" s="241"/>
      <c r="AM19" s="241"/>
      <c r="AN19" s="241"/>
      <c r="AO19" s="241"/>
      <c r="AP19" s="241"/>
      <c r="AQ19" s="241"/>
      <c r="AR19" s="242"/>
      <c r="AS19" s="243"/>
      <c r="AT19" s="244"/>
      <c r="AU19" s="244"/>
      <c r="AV19" s="244"/>
      <c r="AW19" s="244"/>
      <c r="AX19" s="244"/>
      <c r="AY19" s="245"/>
      <c r="AZ19" s="246"/>
      <c r="BA19" s="247"/>
      <c r="BB19" s="247"/>
      <c r="BC19" s="247"/>
      <c r="BD19" s="247"/>
      <c r="BE19" s="247"/>
      <c r="BF19" s="248"/>
      <c r="BG19" s="243"/>
      <c r="BH19" s="244"/>
      <c r="BI19" s="244"/>
      <c r="BJ19" s="244"/>
      <c r="BK19" s="244"/>
      <c r="BL19" s="244"/>
      <c r="BM19" s="245"/>
      <c r="BN19" s="243"/>
      <c r="BO19" s="244"/>
      <c r="BP19" s="244"/>
      <c r="BQ19" s="244"/>
      <c r="BR19" s="244"/>
      <c r="BS19" s="244"/>
      <c r="BT19" s="245"/>
    </row>
    <row r="20" spans="2:72" ht="14">
      <c r="B20" s="237"/>
      <c r="C20" s="238"/>
      <c r="D20" s="238"/>
      <c r="E20" s="238"/>
      <c r="F20" s="238"/>
      <c r="G20" s="238"/>
      <c r="H20" s="238"/>
      <c r="I20" s="238"/>
      <c r="J20" s="239"/>
      <c r="K20" s="46"/>
      <c r="L20" s="47"/>
      <c r="M20" s="47"/>
      <c r="N20" s="47"/>
      <c r="O20" s="47"/>
      <c r="P20" s="47"/>
      <c r="Q20" s="47"/>
      <c r="R20" s="47"/>
      <c r="S20" s="48"/>
      <c r="T20" s="240"/>
      <c r="U20" s="241"/>
      <c r="V20" s="241"/>
      <c r="W20" s="241"/>
      <c r="X20" s="241"/>
      <c r="Y20" s="241"/>
      <c r="Z20" s="241"/>
      <c r="AA20" s="241"/>
      <c r="AB20" s="241"/>
      <c r="AC20" s="241"/>
      <c r="AD20" s="241"/>
      <c r="AE20" s="241"/>
      <c r="AF20" s="241"/>
      <c r="AG20" s="241"/>
      <c r="AH20" s="241"/>
      <c r="AI20" s="241"/>
      <c r="AJ20" s="241"/>
      <c r="AK20" s="241"/>
      <c r="AL20" s="241"/>
      <c r="AM20" s="241"/>
      <c r="AN20" s="241"/>
      <c r="AO20" s="241"/>
      <c r="AP20" s="241"/>
      <c r="AQ20" s="241"/>
      <c r="AR20" s="242"/>
      <c r="AS20" s="243"/>
      <c r="AT20" s="244"/>
      <c r="AU20" s="244"/>
      <c r="AV20" s="244"/>
      <c r="AW20" s="244"/>
      <c r="AX20" s="244"/>
      <c r="AY20" s="245"/>
      <c r="AZ20" s="246"/>
      <c r="BA20" s="247"/>
      <c r="BB20" s="247"/>
      <c r="BC20" s="247"/>
      <c r="BD20" s="247"/>
      <c r="BE20" s="247"/>
      <c r="BF20" s="248"/>
      <c r="BG20" s="243"/>
      <c r="BH20" s="244"/>
      <c r="BI20" s="244"/>
      <c r="BJ20" s="244"/>
      <c r="BK20" s="244"/>
      <c r="BL20" s="244"/>
      <c r="BM20" s="245"/>
      <c r="BN20" s="243"/>
      <c r="BO20" s="244"/>
      <c r="BP20" s="244"/>
      <c r="BQ20" s="244"/>
      <c r="BR20" s="244"/>
      <c r="BS20" s="244"/>
      <c r="BT20" s="245"/>
    </row>
    <row r="21" spans="2:72" ht="14">
      <c r="B21" s="237"/>
      <c r="C21" s="238"/>
      <c r="D21" s="238"/>
      <c r="E21" s="238"/>
      <c r="F21" s="238"/>
      <c r="G21" s="238"/>
      <c r="H21" s="238"/>
      <c r="I21" s="238"/>
      <c r="J21" s="239"/>
      <c r="K21" s="46"/>
      <c r="L21" s="47"/>
      <c r="M21" s="47"/>
      <c r="N21" s="47"/>
      <c r="O21" s="47"/>
      <c r="P21" s="47"/>
      <c r="Q21" s="47"/>
      <c r="R21" s="47"/>
      <c r="S21" s="48"/>
      <c r="T21" s="240"/>
      <c r="U21" s="241"/>
      <c r="V21" s="241"/>
      <c r="W21" s="241"/>
      <c r="X21" s="241"/>
      <c r="Y21" s="241"/>
      <c r="Z21" s="241"/>
      <c r="AA21" s="241"/>
      <c r="AB21" s="241"/>
      <c r="AC21" s="241"/>
      <c r="AD21" s="241"/>
      <c r="AE21" s="241"/>
      <c r="AF21" s="241"/>
      <c r="AG21" s="241"/>
      <c r="AH21" s="241"/>
      <c r="AI21" s="241"/>
      <c r="AJ21" s="241"/>
      <c r="AK21" s="241"/>
      <c r="AL21" s="241"/>
      <c r="AM21" s="241"/>
      <c r="AN21" s="241"/>
      <c r="AO21" s="241"/>
      <c r="AP21" s="241"/>
      <c r="AQ21" s="241"/>
      <c r="AR21" s="242"/>
      <c r="AS21" s="243"/>
      <c r="AT21" s="244"/>
      <c r="AU21" s="244"/>
      <c r="AV21" s="244"/>
      <c r="AW21" s="244"/>
      <c r="AX21" s="244"/>
      <c r="AY21" s="245"/>
      <c r="AZ21" s="246"/>
      <c r="BA21" s="247"/>
      <c r="BB21" s="247"/>
      <c r="BC21" s="247"/>
      <c r="BD21" s="247"/>
      <c r="BE21" s="247"/>
      <c r="BF21" s="248"/>
      <c r="BG21" s="243"/>
      <c r="BH21" s="244"/>
      <c r="BI21" s="244"/>
      <c r="BJ21" s="244"/>
      <c r="BK21" s="244"/>
      <c r="BL21" s="244"/>
      <c r="BM21" s="245"/>
      <c r="BN21" s="243"/>
      <c r="BO21" s="244"/>
      <c r="BP21" s="244"/>
      <c r="BQ21" s="244"/>
      <c r="BR21" s="244"/>
      <c r="BS21" s="244"/>
      <c r="BT21" s="245"/>
    </row>
    <row r="22" spans="2:72" ht="14">
      <c r="B22" s="237"/>
      <c r="C22" s="238"/>
      <c r="D22" s="238"/>
      <c r="E22" s="238"/>
      <c r="F22" s="238"/>
      <c r="G22" s="238"/>
      <c r="H22" s="238"/>
      <c r="I22" s="238"/>
      <c r="J22" s="239"/>
      <c r="K22" s="46"/>
      <c r="L22" s="47"/>
      <c r="M22" s="47"/>
      <c r="N22" s="47"/>
      <c r="O22" s="47"/>
      <c r="P22" s="47"/>
      <c r="Q22" s="47"/>
      <c r="R22" s="47"/>
      <c r="S22" s="48"/>
      <c r="T22" s="240"/>
      <c r="U22" s="241"/>
      <c r="V22" s="241"/>
      <c r="W22" s="241"/>
      <c r="X22" s="241"/>
      <c r="Y22" s="241"/>
      <c r="Z22" s="241"/>
      <c r="AA22" s="241"/>
      <c r="AB22" s="241"/>
      <c r="AC22" s="241"/>
      <c r="AD22" s="241"/>
      <c r="AE22" s="241"/>
      <c r="AF22" s="241"/>
      <c r="AG22" s="241"/>
      <c r="AH22" s="241"/>
      <c r="AI22" s="241"/>
      <c r="AJ22" s="241"/>
      <c r="AK22" s="241"/>
      <c r="AL22" s="241"/>
      <c r="AM22" s="241"/>
      <c r="AN22" s="241"/>
      <c r="AO22" s="241"/>
      <c r="AP22" s="241"/>
      <c r="AQ22" s="241"/>
      <c r="AR22" s="242"/>
      <c r="AS22" s="243"/>
      <c r="AT22" s="244"/>
      <c r="AU22" s="244"/>
      <c r="AV22" s="244"/>
      <c r="AW22" s="244"/>
      <c r="AX22" s="244"/>
      <c r="AY22" s="245"/>
      <c r="AZ22" s="246"/>
      <c r="BA22" s="247"/>
      <c r="BB22" s="247"/>
      <c r="BC22" s="247"/>
      <c r="BD22" s="247"/>
      <c r="BE22" s="247"/>
      <c r="BF22" s="248"/>
      <c r="BG22" s="243"/>
      <c r="BH22" s="244"/>
      <c r="BI22" s="244"/>
      <c r="BJ22" s="244"/>
      <c r="BK22" s="244"/>
      <c r="BL22" s="244"/>
      <c r="BM22" s="245"/>
      <c r="BN22" s="243"/>
      <c r="BO22" s="244"/>
      <c r="BP22" s="244"/>
      <c r="BQ22" s="244"/>
      <c r="BR22" s="244"/>
      <c r="BS22" s="244"/>
      <c r="BT22" s="245"/>
    </row>
    <row r="23" spans="2:72" ht="14">
      <c r="B23" s="237"/>
      <c r="C23" s="238"/>
      <c r="D23" s="238"/>
      <c r="E23" s="238"/>
      <c r="F23" s="238"/>
      <c r="G23" s="238"/>
      <c r="H23" s="238"/>
      <c r="I23" s="238"/>
      <c r="J23" s="239"/>
      <c r="K23" s="46"/>
      <c r="L23" s="47"/>
      <c r="M23" s="47"/>
      <c r="N23" s="47"/>
      <c r="O23" s="47"/>
      <c r="P23" s="47"/>
      <c r="Q23" s="47"/>
      <c r="R23" s="47"/>
      <c r="S23" s="48"/>
      <c r="T23" s="240"/>
      <c r="U23" s="241"/>
      <c r="V23" s="241"/>
      <c r="W23" s="241"/>
      <c r="X23" s="241"/>
      <c r="Y23" s="241"/>
      <c r="Z23" s="241"/>
      <c r="AA23" s="241"/>
      <c r="AB23" s="241"/>
      <c r="AC23" s="241"/>
      <c r="AD23" s="241"/>
      <c r="AE23" s="241"/>
      <c r="AF23" s="241"/>
      <c r="AG23" s="241"/>
      <c r="AH23" s="241"/>
      <c r="AI23" s="241"/>
      <c r="AJ23" s="241"/>
      <c r="AK23" s="241"/>
      <c r="AL23" s="241"/>
      <c r="AM23" s="241"/>
      <c r="AN23" s="241"/>
      <c r="AO23" s="241"/>
      <c r="AP23" s="241"/>
      <c r="AQ23" s="241"/>
      <c r="AR23" s="242"/>
      <c r="AS23" s="243"/>
      <c r="AT23" s="244"/>
      <c r="AU23" s="244"/>
      <c r="AV23" s="244"/>
      <c r="AW23" s="244"/>
      <c r="AX23" s="244"/>
      <c r="AY23" s="245"/>
      <c r="AZ23" s="246"/>
      <c r="BA23" s="247"/>
      <c r="BB23" s="247"/>
      <c r="BC23" s="247"/>
      <c r="BD23" s="247"/>
      <c r="BE23" s="247"/>
      <c r="BF23" s="248"/>
      <c r="BG23" s="243"/>
      <c r="BH23" s="244"/>
      <c r="BI23" s="244"/>
      <c r="BJ23" s="244"/>
      <c r="BK23" s="244"/>
      <c r="BL23" s="244"/>
      <c r="BM23" s="245"/>
      <c r="BN23" s="243"/>
      <c r="BO23" s="244"/>
      <c r="BP23" s="244"/>
      <c r="BQ23" s="244"/>
      <c r="BR23" s="244"/>
      <c r="BS23" s="244"/>
      <c r="BT23" s="245"/>
    </row>
    <row r="24" spans="2:72" ht="14">
      <c r="B24" s="237"/>
      <c r="C24" s="238"/>
      <c r="D24" s="238"/>
      <c r="E24" s="238"/>
      <c r="F24" s="238"/>
      <c r="G24" s="238"/>
      <c r="H24" s="238"/>
      <c r="I24" s="238"/>
      <c r="J24" s="239"/>
      <c r="K24" s="46"/>
      <c r="L24" s="47"/>
      <c r="M24" s="47"/>
      <c r="N24" s="47"/>
      <c r="O24" s="47"/>
      <c r="P24" s="47"/>
      <c r="Q24" s="47"/>
      <c r="R24" s="47"/>
      <c r="S24" s="48"/>
      <c r="T24" s="240"/>
      <c r="U24" s="241"/>
      <c r="V24" s="241"/>
      <c r="W24" s="241"/>
      <c r="X24" s="241"/>
      <c r="Y24" s="241"/>
      <c r="Z24" s="241"/>
      <c r="AA24" s="241"/>
      <c r="AB24" s="241"/>
      <c r="AC24" s="241"/>
      <c r="AD24" s="241"/>
      <c r="AE24" s="241"/>
      <c r="AF24" s="241"/>
      <c r="AG24" s="241"/>
      <c r="AH24" s="241"/>
      <c r="AI24" s="241"/>
      <c r="AJ24" s="241"/>
      <c r="AK24" s="241"/>
      <c r="AL24" s="241"/>
      <c r="AM24" s="241"/>
      <c r="AN24" s="241"/>
      <c r="AO24" s="241"/>
      <c r="AP24" s="241"/>
      <c r="AQ24" s="241"/>
      <c r="AR24" s="242"/>
      <c r="AS24" s="243"/>
      <c r="AT24" s="244"/>
      <c r="AU24" s="244"/>
      <c r="AV24" s="244"/>
      <c r="AW24" s="244"/>
      <c r="AX24" s="244"/>
      <c r="AY24" s="245"/>
      <c r="AZ24" s="246"/>
      <c r="BA24" s="247"/>
      <c r="BB24" s="247"/>
      <c r="BC24" s="247"/>
      <c r="BD24" s="247"/>
      <c r="BE24" s="247"/>
      <c r="BF24" s="248"/>
      <c r="BG24" s="243"/>
      <c r="BH24" s="244"/>
      <c r="BI24" s="244"/>
      <c r="BJ24" s="244"/>
      <c r="BK24" s="244"/>
      <c r="BL24" s="244"/>
      <c r="BM24" s="245"/>
      <c r="BN24" s="243"/>
      <c r="BO24" s="244"/>
      <c r="BP24" s="244"/>
      <c r="BQ24" s="244"/>
      <c r="BR24" s="244"/>
      <c r="BS24" s="244"/>
      <c r="BT24" s="245"/>
    </row>
    <row r="25" spans="2:72" ht="14">
      <c r="B25" s="237"/>
      <c r="C25" s="238"/>
      <c r="D25" s="238"/>
      <c r="E25" s="238"/>
      <c r="F25" s="238"/>
      <c r="G25" s="238"/>
      <c r="H25" s="238"/>
      <c r="I25" s="238"/>
      <c r="J25" s="239"/>
      <c r="K25" s="46"/>
      <c r="L25" s="47"/>
      <c r="M25" s="47"/>
      <c r="N25" s="47"/>
      <c r="O25" s="47"/>
      <c r="P25" s="47"/>
      <c r="Q25" s="47"/>
      <c r="R25" s="47"/>
      <c r="S25" s="48"/>
      <c r="T25" s="240"/>
      <c r="U25" s="241"/>
      <c r="V25" s="241"/>
      <c r="W25" s="241"/>
      <c r="X25" s="241"/>
      <c r="Y25" s="241"/>
      <c r="Z25" s="241"/>
      <c r="AA25" s="241"/>
      <c r="AB25" s="241"/>
      <c r="AC25" s="241"/>
      <c r="AD25" s="241"/>
      <c r="AE25" s="241"/>
      <c r="AF25" s="241"/>
      <c r="AG25" s="241"/>
      <c r="AH25" s="241"/>
      <c r="AI25" s="241"/>
      <c r="AJ25" s="241"/>
      <c r="AK25" s="241"/>
      <c r="AL25" s="241"/>
      <c r="AM25" s="241"/>
      <c r="AN25" s="241"/>
      <c r="AO25" s="241"/>
      <c r="AP25" s="241"/>
      <c r="AQ25" s="241"/>
      <c r="AR25" s="242"/>
      <c r="AS25" s="243"/>
      <c r="AT25" s="244"/>
      <c r="AU25" s="244"/>
      <c r="AV25" s="244"/>
      <c r="AW25" s="244"/>
      <c r="AX25" s="244"/>
      <c r="AY25" s="245"/>
      <c r="AZ25" s="246"/>
      <c r="BA25" s="247"/>
      <c r="BB25" s="247"/>
      <c r="BC25" s="247"/>
      <c r="BD25" s="247"/>
      <c r="BE25" s="247"/>
      <c r="BF25" s="248"/>
      <c r="BG25" s="243"/>
      <c r="BH25" s="244"/>
      <c r="BI25" s="244"/>
      <c r="BJ25" s="244"/>
      <c r="BK25" s="244"/>
      <c r="BL25" s="244"/>
      <c r="BM25" s="245"/>
      <c r="BN25" s="243"/>
      <c r="BO25" s="244"/>
      <c r="BP25" s="244"/>
      <c r="BQ25" s="244"/>
      <c r="BR25" s="244"/>
      <c r="BS25" s="244"/>
      <c r="BT25" s="245"/>
    </row>
    <row r="26" spans="2:72" ht="14">
      <c r="B26" s="237"/>
      <c r="C26" s="238"/>
      <c r="D26" s="238"/>
      <c r="E26" s="238"/>
      <c r="F26" s="238"/>
      <c r="G26" s="238"/>
      <c r="H26" s="238"/>
      <c r="I26" s="238"/>
      <c r="J26" s="239"/>
      <c r="K26" s="46"/>
      <c r="L26" s="47"/>
      <c r="M26" s="47"/>
      <c r="N26" s="47"/>
      <c r="O26" s="47"/>
      <c r="P26" s="47"/>
      <c r="Q26" s="47"/>
      <c r="R26" s="47"/>
      <c r="S26" s="48"/>
      <c r="T26" s="240"/>
      <c r="U26" s="241"/>
      <c r="V26" s="241"/>
      <c r="W26" s="241"/>
      <c r="X26" s="241"/>
      <c r="Y26" s="241"/>
      <c r="Z26" s="241"/>
      <c r="AA26" s="241"/>
      <c r="AB26" s="241"/>
      <c r="AC26" s="241"/>
      <c r="AD26" s="241"/>
      <c r="AE26" s="241"/>
      <c r="AF26" s="241"/>
      <c r="AG26" s="241"/>
      <c r="AH26" s="241"/>
      <c r="AI26" s="241"/>
      <c r="AJ26" s="241"/>
      <c r="AK26" s="241"/>
      <c r="AL26" s="241"/>
      <c r="AM26" s="241"/>
      <c r="AN26" s="241"/>
      <c r="AO26" s="241"/>
      <c r="AP26" s="241"/>
      <c r="AQ26" s="241"/>
      <c r="AR26" s="242"/>
      <c r="AS26" s="243"/>
      <c r="AT26" s="244"/>
      <c r="AU26" s="244"/>
      <c r="AV26" s="244"/>
      <c r="AW26" s="244"/>
      <c r="AX26" s="244"/>
      <c r="AY26" s="245"/>
      <c r="AZ26" s="246"/>
      <c r="BA26" s="247"/>
      <c r="BB26" s="247"/>
      <c r="BC26" s="247"/>
      <c r="BD26" s="247"/>
      <c r="BE26" s="247"/>
      <c r="BF26" s="248"/>
      <c r="BG26" s="243"/>
      <c r="BH26" s="244"/>
      <c r="BI26" s="244"/>
      <c r="BJ26" s="244"/>
      <c r="BK26" s="244"/>
      <c r="BL26" s="244"/>
      <c r="BM26" s="245"/>
      <c r="BN26" s="243"/>
      <c r="BO26" s="244"/>
      <c r="BP26" s="244"/>
      <c r="BQ26" s="244"/>
      <c r="BR26" s="244"/>
      <c r="BS26" s="244"/>
      <c r="BT26" s="245"/>
    </row>
    <row r="27" spans="2:72" ht="14">
      <c r="B27" s="237"/>
      <c r="C27" s="238"/>
      <c r="D27" s="238"/>
      <c r="E27" s="238"/>
      <c r="F27" s="238"/>
      <c r="G27" s="238"/>
      <c r="H27" s="238"/>
      <c r="I27" s="238"/>
      <c r="J27" s="239"/>
      <c r="K27" s="46"/>
      <c r="L27" s="47"/>
      <c r="M27" s="47"/>
      <c r="N27" s="47"/>
      <c r="O27" s="47"/>
      <c r="P27" s="47"/>
      <c r="Q27" s="47"/>
      <c r="R27" s="47"/>
      <c r="S27" s="48"/>
      <c r="T27" s="240"/>
      <c r="U27" s="241"/>
      <c r="V27" s="241"/>
      <c r="W27" s="241"/>
      <c r="X27" s="241"/>
      <c r="Y27" s="241"/>
      <c r="Z27" s="241"/>
      <c r="AA27" s="241"/>
      <c r="AB27" s="241"/>
      <c r="AC27" s="241"/>
      <c r="AD27" s="241"/>
      <c r="AE27" s="241"/>
      <c r="AF27" s="241"/>
      <c r="AG27" s="241"/>
      <c r="AH27" s="241"/>
      <c r="AI27" s="241"/>
      <c r="AJ27" s="241"/>
      <c r="AK27" s="241"/>
      <c r="AL27" s="241"/>
      <c r="AM27" s="241"/>
      <c r="AN27" s="241"/>
      <c r="AO27" s="241"/>
      <c r="AP27" s="241"/>
      <c r="AQ27" s="241"/>
      <c r="AR27" s="242"/>
      <c r="AS27" s="243"/>
      <c r="AT27" s="244"/>
      <c r="AU27" s="244"/>
      <c r="AV27" s="244"/>
      <c r="AW27" s="244"/>
      <c r="AX27" s="244"/>
      <c r="AY27" s="245"/>
      <c r="AZ27" s="246"/>
      <c r="BA27" s="247"/>
      <c r="BB27" s="247"/>
      <c r="BC27" s="247"/>
      <c r="BD27" s="247"/>
      <c r="BE27" s="247"/>
      <c r="BF27" s="248"/>
      <c r="BG27" s="243"/>
      <c r="BH27" s="244"/>
      <c r="BI27" s="244"/>
      <c r="BJ27" s="244"/>
      <c r="BK27" s="244"/>
      <c r="BL27" s="244"/>
      <c r="BM27" s="245"/>
      <c r="BN27" s="243"/>
      <c r="BO27" s="244"/>
      <c r="BP27" s="244"/>
      <c r="BQ27" s="244"/>
      <c r="BR27" s="244"/>
      <c r="BS27" s="244"/>
      <c r="BT27" s="245"/>
    </row>
    <row r="28" spans="2:72" ht="14">
      <c r="B28" s="237"/>
      <c r="C28" s="238"/>
      <c r="D28" s="238"/>
      <c r="E28" s="238"/>
      <c r="F28" s="238"/>
      <c r="G28" s="238"/>
      <c r="H28" s="238"/>
      <c r="I28" s="238"/>
      <c r="J28" s="239"/>
      <c r="K28" s="46"/>
      <c r="L28" s="47"/>
      <c r="M28" s="47"/>
      <c r="N28" s="47"/>
      <c r="O28" s="47"/>
      <c r="P28" s="47"/>
      <c r="Q28" s="47"/>
      <c r="R28" s="47"/>
      <c r="S28" s="48"/>
      <c r="T28" s="240"/>
      <c r="U28" s="241"/>
      <c r="V28" s="241"/>
      <c r="W28" s="241"/>
      <c r="X28" s="241"/>
      <c r="Y28" s="241"/>
      <c r="Z28" s="241"/>
      <c r="AA28" s="241"/>
      <c r="AB28" s="241"/>
      <c r="AC28" s="241"/>
      <c r="AD28" s="241"/>
      <c r="AE28" s="241"/>
      <c r="AF28" s="241"/>
      <c r="AG28" s="241"/>
      <c r="AH28" s="241"/>
      <c r="AI28" s="241"/>
      <c r="AJ28" s="241"/>
      <c r="AK28" s="241"/>
      <c r="AL28" s="241"/>
      <c r="AM28" s="241"/>
      <c r="AN28" s="241"/>
      <c r="AO28" s="241"/>
      <c r="AP28" s="241"/>
      <c r="AQ28" s="241"/>
      <c r="AR28" s="242"/>
      <c r="AS28" s="243"/>
      <c r="AT28" s="244"/>
      <c r="AU28" s="244"/>
      <c r="AV28" s="244"/>
      <c r="AW28" s="244"/>
      <c r="AX28" s="244"/>
      <c r="AY28" s="245"/>
      <c r="AZ28" s="246"/>
      <c r="BA28" s="247"/>
      <c r="BB28" s="247"/>
      <c r="BC28" s="247"/>
      <c r="BD28" s="247"/>
      <c r="BE28" s="247"/>
      <c r="BF28" s="248"/>
      <c r="BG28" s="243"/>
      <c r="BH28" s="244"/>
      <c r="BI28" s="244"/>
      <c r="BJ28" s="244"/>
      <c r="BK28" s="244"/>
      <c r="BL28" s="244"/>
      <c r="BM28" s="245"/>
      <c r="BN28" s="243"/>
      <c r="BO28" s="244"/>
      <c r="BP28" s="244"/>
      <c r="BQ28" s="244"/>
      <c r="BR28" s="244"/>
      <c r="BS28" s="244"/>
      <c r="BT28" s="245"/>
    </row>
    <row r="29" spans="2:72" ht="14">
      <c r="B29" s="237"/>
      <c r="C29" s="238"/>
      <c r="D29" s="238"/>
      <c r="E29" s="238"/>
      <c r="F29" s="238"/>
      <c r="G29" s="238"/>
      <c r="H29" s="238"/>
      <c r="I29" s="238"/>
      <c r="J29" s="239"/>
      <c r="K29" s="46"/>
      <c r="L29" s="47"/>
      <c r="M29" s="47"/>
      <c r="N29" s="47"/>
      <c r="O29" s="47"/>
      <c r="P29" s="47"/>
      <c r="Q29" s="47"/>
      <c r="R29" s="47"/>
      <c r="S29" s="48"/>
      <c r="T29" s="240"/>
      <c r="U29" s="241"/>
      <c r="V29" s="241"/>
      <c r="W29" s="241"/>
      <c r="X29" s="241"/>
      <c r="Y29" s="241"/>
      <c r="Z29" s="241"/>
      <c r="AA29" s="241"/>
      <c r="AB29" s="241"/>
      <c r="AC29" s="241"/>
      <c r="AD29" s="241"/>
      <c r="AE29" s="241"/>
      <c r="AF29" s="241"/>
      <c r="AG29" s="241"/>
      <c r="AH29" s="241"/>
      <c r="AI29" s="241"/>
      <c r="AJ29" s="241"/>
      <c r="AK29" s="241"/>
      <c r="AL29" s="241"/>
      <c r="AM29" s="241"/>
      <c r="AN29" s="241"/>
      <c r="AO29" s="241"/>
      <c r="AP29" s="241"/>
      <c r="AQ29" s="241"/>
      <c r="AR29" s="242"/>
      <c r="AS29" s="243"/>
      <c r="AT29" s="244"/>
      <c r="AU29" s="244"/>
      <c r="AV29" s="244"/>
      <c r="AW29" s="244"/>
      <c r="AX29" s="244"/>
      <c r="AY29" s="245"/>
      <c r="AZ29" s="246"/>
      <c r="BA29" s="247"/>
      <c r="BB29" s="247"/>
      <c r="BC29" s="247"/>
      <c r="BD29" s="247"/>
      <c r="BE29" s="247"/>
      <c r="BF29" s="248"/>
      <c r="BG29" s="243"/>
      <c r="BH29" s="244"/>
      <c r="BI29" s="244"/>
      <c r="BJ29" s="244"/>
      <c r="BK29" s="244"/>
      <c r="BL29" s="244"/>
      <c r="BM29" s="245"/>
      <c r="BN29" s="243"/>
      <c r="BO29" s="244"/>
      <c r="BP29" s="244"/>
      <c r="BQ29" s="244"/>
      <c r="BR29" s="244"/>
      <c r="BS29" s="244"/>
      <c r="BT29" s="245"/>
    </row>
    <row r="30" spans="2:72" ht="14">
      <c r="B30" s="237"/>
      <c r="C30" s="238"/>
      <c r="D30" s="238"/>
      <c r="E30" s="238"/>
      <c r="F30" s="238"/>
      <c r="G30" s="238"/>
      <c r="H30" s="238"/>
      <c r="I30" s="238"/>
      <c r="J30" s="239"/>
      <c r="K30" s="46"/>
      <c r="L30" s="47"/>
      <c r="M30" s="47"/>
      <c r="N30" s="47"/>
      <c r="O30" s="47"/>
      <c r="P30" s="47"/>
      <c r="Q30" s="47"/>
      <c r="R30" s="47"/>
      <c r="S30" s="48"/>
      <c r="T30" s="240"/>
      <c r="U30" s="241"/>
      <c r="V30" s="241"/>
      <c r="W30" s="241"/>
      <c r="X30" s="241"/>
      <c r="Y30" s="241"/>
      <c r="Z30" s="241"/>
      <c r="AA30" s="241"/>
      <c r="AB30" s="241"/>
      <c r="AC30" s="241"/>
      <c r="AD30" s="241"/>
      <c r="AE30" s="241"/>
      <c r="AF30" s="241"/>
      <c r="AG30" s="241"/>
      <c r="AH30" s="241"/>
      <c r="AI30" s="241"/>
      <c r="AJ30" s="241"/>
      <c r="AK30" s="241"/>
      <c r="AL30" s="241"/>
      <c r="AM30" s="241"/>
      <c r="AN30" s="241"/>
      <c r="AO30" s="241"/>
      <c r="AP30" s="241"/>
      <c r="AQ30" s="241"/>
      <c r="AR30" s="242"/>
      <c r="AS30" s="243"/>
      <c r="AT30" s="244"/>
      <c r="AU30" s="244"/>
      <c r="AV30" s="244"/>
      <c r="AW30" s="244"/>
      <c r="AX30" s="244"/>
      <c r="AY30" s="245"/>
      <c r="AZ30" s="246"/>
      <c r="BA30" s="247"/>
      <c r="BB30" s="247"/>
      <c r="BC30" s="247"/>
      <c r="BD30" s="247"/>
      <c r="BE30" s="247"/>
      <c r="BF30" s="248"/>
      <c r="BG30" s="243"/>
      <c r="BH30" s="244"/>
      <c r="BI30" s="244"/>
      <c r="BJ30" s="244"/>
      <c r="BK30" s="244"/>
      <c r="BL30" s="244"/>
      <c r="BM30" s="245"/>
      <c r="BN30" s="243"/>
      <c r="BO30" s="244"/>
      <c r="BP30" s="244"/>
      <c r="BQ30" s="244"/>
      <c r="BR30" s="244"/>
      <c r="BS30" s="244"/>
      <c r="BT30" s="245"/>
    </row>
    <row r="31" spans="2:72" ht="14">
      <c r="B31" s="237"/>
      <c r="C31" s="238"/>
      <c r="D31" s="238"/>
      <c r="E31" s="238"/>
      <c r="F31" s="238"/>
      <c r="G31" s="238"/>
      <c r="H31" s="238"/>
      <c r="I31" s="238"/>
      <c r="J31" s="239"/>
      <c r="K31" s="46"/>
      <c r="L31" s="47"/>
      <c r="M31" s="47"/>
      <c r="N31" s="47"/>
      <c r="O31" s="47"/>
      <c r="P31" s="47"/>
      <c r="Q31" s="47"/>
      <c r="R31" s="47"/>
      <c r="S31" s="48"/>
      <c r="T31" s="240"/>
      <c r="U31" s="241"/>
      <c r="V31" s="241"/>
      <c r="W31" s="241"/>
      <c r="X31" s="241"/>
      <c r="Y31" s="241"/>
      <c r="Z31" s="241"/>
      <c r="AA31" s="241"/>
      <c r="AB31" s="241"/>
      <c r="AC31" s="241"/>
      <c r="AD31" s="241"/>
      <c r="AE31" s="241"/>
      <c r="AF31" s="241"/>
      <c r="AG31" s="241"/>
      <c r="AH31" s="241"/>
      <c r="AI31" s="241"/>
      <c r="AJ31" s="241"/>
      <c r="AK31" s="241"/>
      <c r="AL31" s="241"/>
      <c r="AM31" s="241"/>
      <c r="AN31" s="241"/>
      <c r="AO31" s="241"/>
      <c r="AP31" s="241"/>
      <c r="AQ31" s="241"/>
      <c r="AR31" s="242"/>
      <c r="AS31" s="243"/>
      <c r="AT31" s="244"/>
      <c r="AU31" s="244"/>
      <c r="AV31" s="244"/>
      <c r="AW31" s="244"/>
      <c r="AX31" s="244"/>
      <c r="AY31" s="245"/>
      <c r="AZ31" s="246"/>
      <c r="BA31" s="247"/>
      <c r="BB31" s="247"/>
      <c r="BC31" s="247"/>
      <c r="BD31" s="247"/>
      <c r="BE31" s="247"/>
      <c r="BF31" s="248"/>
      <c r="BG31" s="243"/>
      <c r="BH31" s="244"/>
      <c r="BI31" s="244"/>
      <c r="BJ31" s="244"/>
      <c r="BK31" s="244"/>
      <c r="BL31" s="244"/>
      <c r="BM31" s="245"/>
      <c r="BN31" s="243"/>
      <c r="BO31" s="244"/>
      <c r="BP31" s="244"/>
      <c r="BQ31" s="244"/>
      <c r="BR31" s="244"/>
      <c r="BS31" s="244"/>
      <c r="BT31" s="245"/>
    </row>
    <row r="32" spans="2:72" ht="14">
      <c r="B32" s="237"/>
      <c r="C32" s="238"/>
      <c r="D32" s="238"/>
      <c r="E32" s="238"/>
      <c r="F32" s="238"/>
      <c r="G32" s="238"/>
      <c r="H32" s="238"/>
      <c r="I32" s="238"/>
      <c r="J32" s="239"/>
      <c r="K32" s="46"/>
      <c r="L32" s="47"/>
      <c r="M32" s="47"/>
      <c r="N32" s="47"/>
      <c r="O32" s="47"/>
      <c r="P32" s="47"/>
      <c r="Q32" s="47"/>
      <c r="R32" s="47"/>
      <c r="S32" s="48"/>
      <c r="T32" s="240"/>
      <c r="U32" s="241"/>
      <c r="V32" s="241"/>
      <c r="W32" s="241"/>
      <c r="X32" s="241"/>
      <c r="Y32" s="241"/>
      <c r="Z32" s="241"/>
      <c r="AA32" s="241"/>
      <c r="AB32" s="241"/>
      <c r="AC32" s="241"/>
      <c r="AD32" s="241"/>
      <c r="AE32" s="241"/>
      <c r="AF32" s="241"/>
      <c r="AG32" s="241"/>
      <c r="AH32" s="241"/>
      <c r="AI32" s="241"/>
      <c r="AJ32" s="241"/>
      <c r="AK32" s="241"/>
      <c r="AL32" s="241"/>
      <c r="AM32" s="241"/>
      <c r="AN32" s="241"/>
      <c r="AO32" s="241"/>
      <c r="AP32" s="241"/>
      <c r="AQ32" s="241"/>
      <c r="AR32" s="242"/>
      <c r="AS32" s="243"/>
      <c r="AT32" s="244"/>
      <c r="AU32" s="244"/>
      <c r="AV32" s="244"/>
      <c r="AW32" s="244"/>
      <c r="AX32" s="244"/>
      <c r="AY32" s="245"/>
      <c r="AZ32" s="246"/>
      <c r="BA32" s="247"/>
      <c r="BB32" s="247"/>
      <c r="BC32" s="247"/>
      <c r="BD32" s="247"/>
      <c r="BE32" s="247"/>
      <c r="BF32" s="248"/>
      <c r="BG32" s="243"/>
      <c r="BH32" s="244"/>
      <c r="BI32" s="244"/>
      <c r="BJ32" s="244"/>
      <c r="BK32" s="244"/>
      <c r="BL32" s="244"/>
      <c r="BM32" s="245"/>
      <c r="BN32" s="243"/>
      <c r="BO32" s="244"/>
      <c r="BP32" s="244"/>
      <c r="BQ32" s="244"/>
      <c r="BR32" s="244"/>
      <c r="BS32" s="244"/>
      <c r="BT32" s="245"/>
    </row>
    <row r="33" spans="2:72" ht="14">
      <c r="B33" s="237"/>
      <c r="C33" s="238"/>
      <c r="D33" s="238"/>
      <c r="E33" s="238"/>
      <c r="F33" s="238"/>
      <c r="G33" s="238"/>
      <c r="H33" s="238"/>
      <c r="I33" s="238"/>
      <c r="J33" s="239"/>
      <c r="K33" s="46"/>
      <c r="L33" s="47"/>
      <c r="M33" s="47"/>
      <c r="N33" s="47"/>
      <c r="O33" s="47"/>
      <c r="P33" s="47"/>
      <c r="Q33" s="47"/>
      <c r="R33" s="47"/>
      <c r="S33" s="48"/>
      <c r="T33" s="240"/>
      <c r="U33" s="241"/>
      <c r="V33" s="241"/>
      <c r="W33" s="241"/>
      <c r="X33" s="241"/>
      <c r="Y33" s="241"/>
      <c r="Z33" s="241"/>
      <c r="AA33" s="241"/>
      <c r="AB33" s="241"/>
      <c r="AC33" s="241"/>
      <c r="AD33" s="241"/>
      <c r="AE33" s="241"/>
      <c r="AF33" s="241"/>
      <c r="AG33" s="241"/>
      <c r="AH33" s="241"/>
      <c r="AI33" s="241"/>
      <c r="AJ33" s="241"/>
      <c r="AK33" s="241"/>
      <c r="AL33" s="241"/>
      <c r="AM33" s="241"/>
      <c r="AN33" s="241"/>
      <c r="AO33" s="241"/>
      <c r="AP33" s="241"/>
      <c r="AQ33" s="241"/>
      <c r="AR33" s="242"/>
      <c r="AS33" s="243"/>
      <c r="AT33" s="244"/>
      <c r="AU33" s="244"/>
      <c r="AV33" s="244"/>
      <c r="AW33" s="244"/>
      <c r="AX33" s="244"/>
      <c r="AY33" s="245"/>
      <c r="AZ33" s="246"/>
      <c r="BA33" s="247"/>
      <c r="BB33" s="247"/>
      <c r="BC33" s="247"/>
      <c r="BD33" s="247"/>
      <c r="BE33" s="247"/>
      <c r="BF33" s="248"/>
      <c r="BG33" s="243"/>
      <c r="BH33" s="244"/>
      <c r="BI33" s="244"/>
      <c r="BJ33" s="244"/>
      <c r="BK33" s="244"/>
      <c r="BL33" s="244"/>
      <c r="BM33" s="245"/>
      <c r="BN33" s="243"/>
      <c r="BO33" s="244"/>
      <c r="BP33" s="244"/>
      <c r="BQ33" s="244"/>
      <c r="BR33" s="244"/>
      <c r="BS33" s="244"/>
      <c r="BT33" s="245"/>
    </row>
    <row r="34" spans="2:72" ht="14">
      <c r="B34" s="237"/>
      <c r="C34" s="238"/>
      <c r="D34" s="238"/>
      <c r="E34" s="238"/>
      <c r="F34" s="238"/>
      <c r="G34" s="238"/>
      <c r="H34" s="238"/>
      <c r="I34" s="238"/>
      <c r="J34" s="239"/>
      <c r="K34" s="46"/>
      <c r="L34" s="47"/>
      <c r="M34" s="47"/>
      <c r="N34" s="47"/>
      <c r="O34" s="47"/>
      <c r="P34" s="47"/>
      <c r="Q34" s="47"/>
      <c r="R34" s="47"/>
      <c r="S34" s="48"/>
      <c r="T34" s="240"/>
      <c r="U34" s="241"/>
      <c r="V34" s="241"/>
      <c r="W34" s="241"/>
      <c r="X34" s="241"/>
      <c r="Y34" s="241"/>
      <c r="Z34" s="241"/>
      <c r="AA34" s="241"/>
      <c r="AB34" s="241"/>
      <c r="AC34" s="241"/>
      <c r="AD34" s="241"/>
      <c r="AE34" s="241"/>
      <c r="AF34" s="241"/>
      <c r="AG34" s="241"/>
      <c r="AH34" s="241"/>
      <c r="AI34" s="241"/>
      <c r="AJ34" s="241"/>
      <c r="AK34" s="241"/>
      <c r="AL34" s="241"/>
      <c r="AM34" s="241"/>
      <c r="AN34" s="241"/>
      <c r="AO34" s="241"/>
      <c r="AP34" s="241"/>
      <c r="AQ34" s="241"/>
      <c r="AR34" s="242"/>
      <c r="AS34" s="243"/>
      <c r="AT34" s="244"/>
      <c r="AU34" s="244"/>
      <c r="AV34" s="244"/>
      <c r="AW34" s="244"/>
      <c r="AX34" s="244"/>
      <c r="AY34" s="245"/>
      <c r="AZ34" s="246"/>
      <c r="BA34" s="247"/>
      <c r="BB34" s="247"/>
      <c r="BC34" s="247"/>
      <c r="BD34" s="247"/>
      <c r="BE34" s="247"/>
      <c r="BF34" s="248"/>
      <c r="BG34" s="243"/>
      <c r="BH34" s="244"/>
      <c r="BI34" s="244"/>
      <c r="BJ34" s="244"/>
      <c r="BK34" s="244"/>
      <c r="BL34" s="244"/>
      <c r="BM34" s="245"/>
      <c r="BN34" s="243"/>
      <c r="BO34" s="244"/>
      <c r="BP34" s="244"/>
      <c r="BQ34" s="244"/>
      <c r="BR34" s="244"/>
      <c r="BS34" s="244"/>
      <c r="BT34" s="245"/>
    </row>
    <row r="35" spans="2:72" ht="14">
      <c r="B35" s="237"/>
      <c r="C35" s="238"/>
      <c r="D35" s="238"/>
      <c r="E35" s="238"/>
      <c r="F35" s="238"/>
      <c r="G35" s="238"/>
      <c r="H35" s="238"/>
      <c r="I35" s="238"/>
      <c r="J35" s="239"/>
      <c r="K35" s="46"/>
      <c r="L35" s="47"/>
      <c r="M35" s="47"/>
      <c r="N35" s="47"/>
      <c r="O35" s="47"/>
      <c r="P35" s="47"/>
      <c r="Q35" s="47"/>
      <c r="R35" s="47"/>
      <c r="S35" s="48"/>
      <c r="T35" s="240"/>
      <c r="U35" s="241"/>
      <c r="V35" s="241"/>
      <c r="W35" s="241"/>
      <c r="X35" s="241"/>
      <c r="Y35" s="241"/>
      <c r="Z35" s="241"/>
      <c r="AA35" s="241"/>
      <c r="AB35" s="241"/>
      <c r="AC35" s="241"/>
      <c r="AD35" s="241"/>
      <c r="AE35" s="241"/>
      <c r="AF35" s="241"/>
      <c r="AG35" s="241"/>
      <c r="AH35" s="241"/>
      <c r="AI35" s="241"/>
      <c r="AJ35" s="241"/>
      <c r="AK35" s="241"/>
      <c r="AL35" s="241"/>
      <c r="AM35" s="241"/>
      <c r="AN35" s="241"/>
      <c r="AO35" s="241"/>
      <c r="AP35" s="241"/>
      <c r="AQ35" s="241"/>
      <c r="AR35" s="242"/>
      <c r="AS35" s="243"/>
      <c r="AT35" s="244"/>
      <c r="AU35" s="244"/>
      <c r="AV35" s="244"/>
      <c r="AW35" s="244"/>
      <c r="AX35" s="244"/>
      <c r="AY35" s="245"/>
      <c r="AZ35" s="246"/>
      <c r="BA35" s="247"/>
      <c r="BB35" s="247"/>
      <c r="BC35" s="247"/>
      <c r="BD35" s="247"/>
      <c r="BE35" s="247"/>
      <c r="BF35" s="248"/>
      <c r="BG35" s="243"/>
      <c r="BH35" s="244"/>
      <c r="BI35" s="244"/>
      <c r="BJ35" s="244"/>
      <c r="BK35" s="244"/>
      <c r="BL35" s="244"/>
      <c r="BM35" s="245"/>
      <c r="BN35" s="243"/>
      <c r="BO35" s="244"/>
      <c r="BP35" s="244"/>
      <c r="BQ35" s="244"/>
      <c r="BR35" s="244"/>
      <c r="BS35" s="244"/>
      <c r="BT35" s="245"/>
    </row>
    <row r="36" spans="2:72" ht="14">
      <c r="B36" s="237"/>
      <c r="C36" s="238"/>
      <c r="D36" s="238"/>
      <c r="E36" s="238"/>
      <c r="F36" s="238"/>
      <c r="G36" s="238"/>
      <c r="H36" s="238"/>
      <c r="I36" s="238"/>
      <c r="J36" s="239"/>
      <c r="K36" s="46"/>
      <c r="L36" s="47"/>
      <c r="M36" s="47"/>
      <c r="N36" s="47"/>
      <c r="O36" s="47"/>
      <c r="P36" s="47"/>
      <c r="Q36" s="47"/>
      <c r="R36" s="47"/>
      <c r="S36" s="48"/>
      <c r="T36" s="240"/>
      <c r="U36" s="241"/>
      <c r="V36" s="241"/>
      <c r="W36" s="241"/>
      <c r="X36" s="241"/>
      <c r="Y36" s="241"/>
      <c r="Z36" s="241"/>
      <c r="AA36" s="241"/>
      <c r="AB36" s="241"/>
      <c r="AC36" s="241"/>
      <c r="AD36" s="241"/>
      <c r="AE36" s="241"/>
      <c r="AF36" s="241"/>
      <c r="AG36" s="241"/>
      <c r="AH36" s="241"/>
      <c r="AI36" s="241"/>
      <c r="AJ36" s="241"/>
      <c r="AK36" s="241"/>
      <c r="AL36" s="241"/>
      <c r="AM36" s="241"/>
      <c r="AN36" s="241"/>
      <c r="AO36" s="241"/>
      <c r="AP36" s="241"/>
      <c r="AQ36" s="241"/>
      <c r="AR36" s="242"/>
      <c r="AS36" s="243"/>
      <c r="AT36" s="244"/>
      <c r="AU36" s="244"/>
      <c r="AV36" s="244"/>
      <c r="AW36" s="244"/>
      <c r="AX36" s="244"/>
      <c r="AY36" s="245"/>
      <c r="AZ36" s="246"/>
      <c r="BA36" s="247"/>
      <c r="BB36" s="247"/>
      <c r="BC36" s="247"/>
      <c r="BD36" s="247"/>
      <c r="BE36" s="247"/>
      <c r="BF36" s="248"/>
      <c r="BG36" s="243"/>
      <c r="BH36" s="244"/>
      <c r="BI36" s="244"/>
      <c r="BJ36" s="244"/>
      <c r="BK36" s="244"/>
      <c r="BL36" s="244"/>
      <c r="BM36" s="245"/>
      <c r="BN36" s="243"/>
      <c r="BO36" s="244"/>
      <c r="BP36" s="244"/>
      <c r="BQ36" s="244"/>
      <c r="BR36" s="244"/>
      <c r="BS36" s="244"/>
      <c r="BT36" s="245"/>
    </row>
    <row r="37" spans="2:72" ht="14">
      <c r="B37" s="237"/>
      <c r="C37" s="238"/>
      <c r="D37" s="238"/>
      <c r="E37" s="238"/>
      <c r="F37" s="238"/>
      <c r="G37" s="238"/>
      <c r="H37" s="238"/>
      <c r="I37" s="238"/>
      <c r="J37" s="239"/>
      <c r="K37" s="46"/>
      <c r="L37" s="47"/>
      <c r="M37" s="47"/>
      <c r="N37" s="47"/>
      <c r="O37" s="47"/>
      <c r="P37" s="47"/>
      <c r="Q37" s="47"/>
      <c r="R37" s="47"/>
      <c r="S37" s="48"/>
      <c r="T37" s="240"/>
      <c r="U37" s="241"/>
      <c r="V37" s="241"/>
      <c r="W37" s="241"/>
      <c r="X37" s="241"/>
      <c r="Y37" s="241"/>
      <c r="Z37" s="241"/>
      <c r="AA37" s="241"/>
      <c r="AB37" s="241"/>
      <c r="AC37" s="241"/>
      <c r="AD37" s="241"/>
      <c r="AE37" s="241"/>
      <c r="AF37" s="241"/>
      <c r="AG37" s="241"/>
      <c r="AH37" s="241"/>
      <c r="AI37" s="241"/>
      <c r="AJ37" s="241"/>
      <c r="AK37" s="241"/>
      <c r="AL37" s="241"/>
      <c r="AM37" s="241"/>
      <c r="AN37" s="241"/>
      <c r="AO37" s="241"/>
      <c r="AP37" s="241"/>
      <c r="AQ37" s="241"/>
      <c r="AR37" s="242"/>
      <c r="AS37" s="243"/>
      <c r="AT37" s="244"/>
      <c r="AU37" s="244"/>
      <c r="AV37" s="244"/>
      <c r="AW37" s="244"/>
      <c r="AX37" s="244"/>
      <c r="AY37" s="245"/>
      <c r="AZ37" s="246"/>
      <c r="BA37" s="247"/>
      <c r="BB37" s="247"/>
      <c r="BC37" s="247"/>
      <c r="BD37" s="247"/>
      <c r="BE37" s="247"/>
      <c r="BF37" s="248"/>
      <c r="BG37" s="243"/>
      <c r="BH37" s="244"/>
      <c r="BI37" s="244"/>
      <c r="BJ37" s="244"/>
      <c r="BK37" s="244"/>
      <c r="BL37" s="244"/>
      <c r="BM37" s="245"/>
      <c r="BN37" s="243"/>
      <c r="BO37" s="244"/>
      <c r="BP37" s="244"/>
      <c r="BQ37" s="244"/>
      <c r="BR37" s="244"/>
      <c r="BS37" s="244"/>
      <c r="BT37" s="245"/>
    </row>
    <row r="38" spans="2:72" ht="14">
      <c r="B38" s="237"/>
      <c r="C38" s="238"/>
      <c r="D38" s="238"/>
      <c r="E38" s="238"/>
      <c r="F38" s="238"/>
      <c r="G38" s="238"/>
      <c r="H38" s="238"/>
      <c r="I38" s="238"/>
      <c r="J38" s="239"/>
      <c r="K38" s="46"/>
      <c r="L38" s="47"/>
      <c r="M38" s="47"/>
      <c r="N38" s="47"/>
      <c r="O38" s="47"/>
      <c r="P38" s="47"/>
      <c r="Q38" s="47"/>
      <c r="R38" s="47"/>
      <c r="S38" s="48"/>
      <c r="T38" s="240"/>
      <c r="U38" s="241"/>
      <c r="V38" s="241"/>
      <c r="W38" s="241"/>
      <c r="X38" s="241"/>
      <c r="Y38" s="241"/>
      <c r="Z38" s="241"/>
      <c r="AA38" s="241"/>
      <c r="AB38" s="241"/>
      <c r="AC38" s="241"/>
      <c r="AD38" s="241"/>
      <c r="AE38" s="241"/>
      <c r="AF38" s="241"/>
      <c r="AG38" s="241"/>
      <c r="AH38" s="241"/>
      <c r="AI38" s="241"/>
      <c r="AJ38" s="241"/>
      <c r="AK38" s="241"/>
      <c r="AL38" s="241"/>
      <c r="AM38" s="241"/>
      <c r="AN38" s="241"/>
      <c r="AO38" s="241"/>
      <c r="AP38" s="241"/>
      <c r="AQ38" s="241"/>
      <c r="AR38" s="242"/>
      <c r="AS38" s="243"/>
      <c r="AT38" s="244"/>
      <c r="AU38" s="244"/>
      <c r="AV38" s="244"/>
      <c r="AW38" s="244"/>
      <c r="AX38" s="244"/>
      <c r="AY38" s="245"/>
      <c r="AZ38" s="246"/>
      <c r="BA38" s="247"/>
      <c r="BB38" s="247"/>
      <c r="BC38" s="247"/>
      <c r="BD38" s="247"/>
      <c r="BE38" s="247"/>
      <c r="BF38" s="248"/>
      <c r="BG38" s="243"/>
      <c r="BH38" s="244"/>
      <c r="BI38" s="244"/>
      <c r="BJ38" s="244"/>
      <c r="BK38" s="244"/>
      <c r="BL38" s="244"/>
      <c r="BM38" s="245"/>
      <c r="BN38" s="243"/>
      <c r="BO38" s="244"/>
      <c r="BP38" s="244"/>
      <c r="BQ38" s="244"/>
      <c r="BR38" s="244"/>
      <c r="BS38" s="244"/>
      <c r="BT38" s="245"/>
    </row>
    <row r="39" spans="2:72" ht="14">
      <c r="B39" s="237"/>
      <c r="C39" s="238"/>
      <c r="D39" s="238"/>
      <c r="E39" s="238"/>
      <c r="F39" s="238"/>
      <c r="G39" s="238"/>
      <c r="H39" s="238"/>
      <c r="I39" s="238"/>
      <c r="J39" s="239"/>
      <c r="K39" s="46"/>
      <c r="L39" s="47"/>
      <c r="M39" s="47"/>
      <c r="N39" s="47"/>
      <c r="O39" s="47"/>
      <c r="P39" s="47"/>
      <c r="Q39" s="47"/>
      <c r="R39" s="47"/>
      <c r="S39" s="48"/>
      <c r="T39" s="240"/>
      <c r="U39" s="241"/>
      <c r="V39" s="241"/>
      <c r="W39" s="241"/>
      <c r="X39" s="241"/>
      <c r="Y39" s="241"/>
      <c r="Z39" s="241"/>
      <c r="AA39" s="241"/>
      <c r="AB39" s="241"/>
      <c r="AC39" s="241"/>
      <c r="AD39" s="241"/>
      <c r="AE39" s="241"/>
      <c r="AF39" s="241"/>
      <c r="AG39" s="241"/>
      <c r="AH39" s="241"/>
      <c r="AI39" s="241"/>
      <c r="AJ39" s="241"/>
      <c r="AK39" s="241"/>
      <c r="AL39" s="241"/>
      <c r="AM39" s="241"/>
      <c r="AN39" s="241"/>
      <c r="AO39" s="241"/>
      <c r="AP39" s="241"/>
      <c r="AQ39" s="241"/>
      <c r="AR39" s="242"/>
      <c r="AS39" s="243"/>
      <c r="AT39" s="244"/>
      <c r="AU39" s="244"/>
      <c r="AV39" s="244"/>
      <c r="AW39" s="244"/>
      <c r="AX39" s="244"/>
      <c r="AY39" s="245"/>
      <c r="AZ39" s="246"/>
      <c r="BA39" s="247"/>
      <c r="BB39" s="247"/>
      <c r="BC39" s="247"/>
      <c r="BD39" s="247"/>
      <c r="BE39" s="247"/>
      <c r="BF39" s="248"/>
      <c r="BG39" s="243"/>
      <c r="BH39" s="244"/>
      <c r="BI39" s="244"/>
      <c r="BJ39" s="244"/>
      <c r="BK39" s="244"/>
      <c r="BL39" s="244"/>
      <c r="BM39" s="245"/>
      <c r="BN39" s="243"/>
      <c r="BO39" s="244"/>
      <c r="BP39" s="244"/>
      <c r="BQ39" s="244"/>
      <c r="BR39" s="244"/>
      <c r="BS39" s="244"/>
      <c r="BT39" s="245"/>
    </row>
    <row r="40" spans="2:72" ht="14">
      <c r="B40" s="237"/>
      <c r="C40" s="238"/>
      <c r="D40" s="238"/>
      <c r="E40" s="238"/>
      <c r="F40" s="238"/>
      <c r="G40" s="238"/>
      <c r="H40" s="238"/>
      <c r="I40" s="238"/>
      <c r="J40" s="239"/>
      <c r="K40" s="46"/>
      <c r="L40" s="47"/>
      <c r="M40" s="47"/>
      <c r="N40" s="47"/>
      <c r="O40" s="47"/>
      <c r="P40" s="47"/>
      <c r="Q40" s="47"/>
      <c r="R40" s="47"/>
      <c r="S40" s="48"/>
      <c r="T40" s="240"/>
      <c r="U40" s="241"/>
      <c r="V40" s="241"/>
      <c r="W40" s="241"/>
      <c r="X40" s="241"/>
      <c r="Y40" s="241"/>
      <c r="Z40" s="241"/>
      <c r="AA40" s="241"/>
      <c r="AB40" s="241"/>
      <c r="AC40" s="241"/>
      <c r="AD40" s="241"/>
      <c r="AE40" s="241"/>
      <c r="AF40" s="241"/>
      <c r="AG40" s="241"/>
      <c r="AH40" s="241"/>
      <c r="AI40" s="241"/>
      <c r="AJ40" s="241"/>
      <c r="AK40" s="241"/>
      <c r="AL40" s="241"/>
      <c r="AM40" s="241"/>
      <c r="AN40" s="241"/>
      <c r="AO40" s="241"/>
      <c r="AP40" s="241"/>
      <c r="AQ40" s="241"/>
      <c r="AR40" s="242"/>
      <c r="AS40" s="243"/>
      <c r="AT40" s="244"/>
      <c r="AU40" s="244"/>
      <c r="AV40" s="244"/>
      <c r="AW40" s="244"/>
      <c r="AX40" s="244"/>
      <c r="AY40" s="245"/>
      <c r="AZ40" s="246"/>
      <c r="BA40" s="247"/>
      <c r="BB40" s="247"/>
      <c r="BC40" s="247"/>
      <c r="BD40" s="247"/>
      <c r="BE40" s="247"/>
      <c r="BF40" s="248"/>
      <c r="BG40" s="243"/>
      <c r="BH40" s="244"/>
      <c r="BI40" s="244"/>
      <c r="BJ40" s="244"/>
      <c r="BK40" s="244"/>
      <c r="BL40" s="244"/>
      <c r="BM40" s="245"/>
      <c r="BN40" s="243"/>
      <c r="BO40" s="244"/>
      <c r="BP40" s="244"/>
      <c r="BQ40" s="244"/>
      <c r="BR40" s="244"/>
      <c r="BS40" s="244"/>
      <c r="BT40" s="245"/>
    </row>
    <row r="41" spans="2:72" ht="14">
      <c r="B41" s="225"/>
      <c r="C41" s="226"/>
      <c r="D41" s="226"/>
      <c r="E41" s="226"/>
      <c r="F41" s="226"/>
      <c r="G41" s="226"/>
      <c r="H41" s="226"/>
      <c r="I41" s="226"/>
      <c r="J41" s="227"/>
      <c r="K41" s="49"/>
      <c r="L41" s="50"/>
      <c r="M41" s="50"/>
      <c r="N41" s="50"/>
      <c r="O41" s="50"/>
      <c r="P41" s="50"/>
      <c r="Q41" s="50"/>
      <c r="R41" s="50"/>
      <c r="S41" s="51"/>
      <c r="T41" s="228"/>
      <c r="U41" s="229"/>
      <c r="V41" s="229"/>
      <c r="W41" s="229"/>
      <c r="X41" s="229"/>
      <c r="Y41" s="229"/>
      <c r="Z41" s="229"/>
      <c r="AA41" s="229"/>
      <c r="AB41" s="229"/>
      <c r="AC41" s="229"/>
      <c r="AD41" s="229"/>
      <c r="AE41" s="229"/>
      <c r="AF41" s="229"/>
      <c r="AG41" s="229"/>
      <c r="AH41" s="229"/>
      <c r="AI41" s="229"/>
      <c r="AJ41" s="229"/>
      <c r="AK41" s="229"/>
      <c r="AL41" s="229"/>
      <c r="AM41" s="229"/>
      <c r="AN41" s="229"/>
      <c r="AO41" s="229"/>
      <c r="AP41" s="229"/>
      <c r="AQ41" s="229"/>
      <c r="AR41" s="230"/>
      <c r="AS41" s="231"/>
      <c r="AT41" s="232"/>
      <c r="AU41" s="232"/>
      <c r="AV41" s="232"/>
      <c r="AW41" s="232"/>
      <c r="AX41" s="232"/>
      <c r="AY41" s="233"/>
      <c r="AZ41" s="234"/>
      <c r="BA41" s="235"/>
      <c r="BB41" s="235"/>
      <c r="BC41" s="235"/>
      <c r="BD41" s="235"/>
      <c r="BE41" s="235"/>
      <c r="BF41" s="236"/>
      <c r="BG41" s="231"/>
      <c r="BH41" s="232"/>
      <c r="BI41" s="232"/>
      <c r="BJ41" s="232"/>
      <c r="BK41" s="232"/>
      <c r="BL41" s="232"/>
      <c r="BM41" s="233"/>
      <c r="BN41" s="231"/>
      <c r="BO41" s="232"/>
      <c r="BP41" s="232"/>
      <c r="BQ41" s="232"/>
      <c r="BR41" s="232"/>
      <c r="BS41" s="232"/>
      <c r="BT41" s="233"/>
    </row>
  </sheetData>
  <mergeCells count="227">
    <mergeCell ref="B1:BH2"/>
    <mergeCell ref="BI1:BM2"/>
    <mergeCell ref="BN1:BT2"/>
    <mergeCell ref="T3:BT3"/>
    <mergeCell ref="B4:S4"/>
    <mergeCell ref="B6:J6"/>
    <mergeCell ref="K6:S6"/>
    <mergeCell ref="T6:AR6"/>
    <mergeCell ref="AS6:AY6"/>
    <mergeCell ref="AZ6:BF6"/>
    <mergeCell ref="BG6:BM6"/>
    <mergeCell ref="BN6:BT6"/>
    <mergeCell ref="B7:J7"/>
    <mergeCell ref="K7:S7"/>
    <mergeCell ref="T7:AR7"/>
    <mergeCell ref="AS7:AY7"/>
    <mergeCell ref="AZ7:BF7"/>
    <mergeCell ref="BG7:BM7"/>
    <mergeCell ref="BN7:BT7"/>
    <mergeCell ref="BN8:BT8"/>
    <mergeCell ref="B9:J9"/>
    <mergeCell ref="K9:S9"/>
    <mergeCell ref="T9:AR9"/>
    <mergeCell ref="AS9:AY9"/>
    <mergeCell ref="AZ9:BF9"/>
    <mergeCell ref="BG9:BM9"/>
    <mergeCell ref="BN9:BT9"/>
    <mergeCell ref="B8:J8"/>
    <mergeCell ref="K8:S8"/>
    <mergeCell ref="T8:AR8"/>
    <mergeCell ref="AS8:AY8"/>
    <mergeCell ref="AZ8:BF8"/>
    <mergeCell ref="BG8:BM8"/>
    <mergeCell ref="BN10:BT10"/>
    <mergeCell ref="B11:J11"/>
    <mergeCell ref="K11:S11"/>
    <mergeCell ref="T11:AR11"/>
    <mergeCell ref="AS11:AY11"/>
    <mergeCell ref="AZ11:BF11"/>
    <mergeCell ref="BG11:BM11"/>
    <mergeCell ref="BN11:BT11"/>
    <mergeCell ref="B10:J10"/>
    <mergeCell ref="K10:S10"/>
    <mergeCell ref="T10:AR10"/>
    <mergeCell ref="AS10:AY10"/>
    <mergeCell ref="AZ10:BF10"/>
    <mergeCell ref="BG10:BM10"/>
    <mergeCell ref="B13:J13"/>
    <mergeCell ref="T13:AR13"/>
    <mergeCell ref="AS13:AY13"/>
    <mergeCell ref="AZ13:BF13"/>
    <mergeCell ref="BG13:BM13"/>
    <mergeCell ref="BN13:BT13"/>
    <mergeCell ref="B12:J12"/>
    <mergeCell ref="T12:AR12"/>
    <mergeCell ref="AS12:AY12"/>
    <mergeCell ref="AZ12:BF12"/>
    <mergeCell ref="BG12:BM12"/>
    <mergeCell ref="BN12:BT12"/>
    <mergeCell ref="B15:J15"/>
    <mergeCell ref="T15:AR15"/>
    <mergeCell ref="AS15:AY15"/>
    <mergeCell ref="AZ15:BF15"/>
    <mergeCell ref="BG15:BM15"/>
    <mergeCell ref="BN15:BT15"/>
    <mergeCell ref="B14:J14"/>
    <mergeCell ref="T14:AR14"/>
    <mergeCell ref="AS14:AY14"/>
    <mergeCell ref="AZ14:BF14"/>
    <mergeCell ref="BG14:BM14"/>
    <mergeCell ref="BN14:BT14"/>
    <mergeCell ref="B17:J17"/>
    <mergeCell ref="T17:AR17"/>
    <mergeCell ref="AS17:AY17"/>
    <mergeCell ref="AZ17:BF17"/>
    <mergeCell ref="BG17:BM17"/>
    <mergeCell ref="BN17:BT17"/>
    <mergeCell ref="B16:J16"/>
    <mergeCell ref="T16:AR16"/>
    <mergeCell ref="AS16:AY16"/>
    <mergeCell ref="AZ16:BF16"/>
    <mergeCell ref="BG16:BM16"/>
    <mergeCell ref="BN16:BT16"/>
    <mergeCell ref="B19:J19"/>
    <mergeCell ref="T19:AR19"/>
    <mergeCell ref="AS19:AY19"/>
    <mergeCell ref="AZ19:BF19"/>
    <mergeCell ref="BG19:BM19"/>
    <mergeCell ref="BN19:BT19"/>
    <mergeCell ref="B18:J18"/>
    <mergeCell ref="T18:AR18"/>
    <mergeCell ref="AS18:AY18"/>
    <mergeCell ref="AZ18:BF18"/>
    <mergeCell ref="BG18:BM18"/>
    <mergeCell ref="BN18:BT18"/>
    <mergeCell ref="B21:J21"/>
    <mergeCell ref="T21:AR21"/>
    <mergeCell ref="AS21:AY21"/>
    <mergeCell ref="AZ21:BF21"/>
    <mergeCell ref="BG21:BM21"/>
    <mergeCell ref="BN21:BT21"/>
    <mergeCell ref="B20:J20"/>
    <mergeCell ref="T20:AR20"/>
    <mergeCell ref="AS20:AY20"/>
    <mergeCell ref="AZ20:BF20"/>
    <mergeCell ref="BG20:BM20"/>
    <mergeCell ref="BN20:BT20"/>
    <mergeCell ref="B23:J23"/>
    <mergeCell ref="T23:AR23"/>
    <mergeCell ref="AS23:AY23"/>
    <mergeCell ref="AZ23:BF23"/>
    <mergeCell ref="BG23:BM23"/>
    <mergeCell ref="BN23:BT23"/>
    <mergeCell ref="B22:J22"/>
    <mergeCell ref="T22:AR22"/>
    <mergeCell ref="AS22:AY22"/>
    <mergeCell ref="AZ22:BF22"/>
    <mergeCell ref="BG22:BM22"/>
    <mergeCell ref="BN22:BT22"/>
    <mergeCell ref="B25:J25"/>
    <mergeCell ref="T25:AR25"/>
    <mergeCell ref="AS25:AY25"/>
    <mergeCell ref="AZ25:BF25"/>
    <mergeCell ref="BG25:BM25"/>
    <mergeCell ref="BN25:BT25"/>
    <mergeCell ref="B24:J24"/>
    <mergeCell ref="T24:AR24"/>
    <mergeCell ref="AS24:AY24"/>
    <mergeCell ref="AZ24:BF24"/>
    <mergeCell ref="BG24:BM24"/>
    <mergeCell ref="BN24:BT24"/>
    <mergeCell ref="B27:J27"/>
    <mergeCell ref="T27:AR27"/>
    <mergeCell ref="AS27:AY27"/>
    <mergeCell ref="AZ27:BF27"/>
    <mergeCell ref="BG27:BM27"/>
    <mergeCell ref="BN27:BT27"/>
    <mergeCell ref="B26:J26"/>
    <mergeCell ref="T26:AR26"/>
    <mergeCell ref="AS26:AY26"/>
    <mergeCell ref="AZ26:BF26"/>
    <mergeCell ref="BG26:BM26"/>
    <mergeCell ref="BN26:BT26"/>
    <mergeCell ref="B29:J29"/>
    <mergeCell ref="T29:AR29"/>
    <mergeCell ref="AS29:AY29"/>
    <mergeCell ref="AZ29:BF29"/>
    <mergeCell ref="BG29:BM29"/>
    <mergeCell ref="BN29:BT29"/>
    <mergeCell ref="B28:J28"/>
    <mergeCell ref="T28:AR28"/>
    <mergeCell ref="AS28:AY28"/>
    <mergeCell ref="AZ28:BF28"/>
    <mergeCell ref="BG28:BM28"/>
    <mergeCell ref="BN28:BT28"/>
    <mergeCell ref="B31:J31"/>
    <mergeCell ref="T31:AR31"/>
    <mergeCell ref="AS31:AY31"/>
    <mergeCell ref="AZ31:BF31"/>
    <mergeCell ref="BG31:BM31"/>
    <mergeCell ref="BN31:BT31"/>
    <mergeCell ref="B30:J30"/>
    <mergeCell ref="T30:AR30"/>
    <mergeCell ref="AS30:AY30"/>
    <mergeCell ref="AZ30:BF30"/>
    <mergeCell ref="BG30:BM30"/>
    <mergeCell ref="BN30:BT30"/>
    <mergeCell ref="B33:J33"/>
    <mergeCell ref="T33:AR33"/>
    <mergeCell ref="AS33:AY33"/>
    <mergeCell ref="AZ33:BF33"/>
    <mergeCell ref="BG33:BM33"/>
    <mergeCell ref="BN33:BT33"/>
    <mergeCell ref="B32:J32"/>
    <mergeCell ref="T32:AR32"/>
    <mergeCell ref="AS32:AY32"/>
    <mergeCell ref="AZ32:BF32"/>
    <mergeCell ref="BG32:BM32"/>
    <mergeCell ref="BN32:BT32"/>
    <mergeCell ref="B35:J35"/>
    <mergeCell ref="T35:AR35"/>
    <mergeCell ref="AS35:AY35"/>
    <mergeCell ref="AZ35:BF35"/>
    <mergeCell ref="BG35:BM35"/>
    <mergeCell ref="BN35:BT35"/>
    <mergeCell ref="B34:J34"/>
    <mergeCell ref="T34:AR34"/>
    <mergeCell ref="AS34:AY34"/>
    <mergeCell ref="AZ34:BF34"/>
    <mergeCell ref="BG34:BM34"/>
    <mergeCell ref="BN34:BT34"/>
    <mergeCell ref="B37:J37"/>
    <mergeCell ref="T37:AR37"/>
    <mergeCell ref="AS37:AY37"/>
    <mergeCell ref="AZ37:BF37"/>
    <mergeCell ref="BG37:BM37"/>
    <mergeCell ref="BN37:BT37"/>
    <mergeCell ref="B36:J36"/>
    <mergeCell ref="T36:AR36"/>
    <mergeCell ref="AS36:AY36"/>
    <mergeCell ref="AZ36:BF36"/>
    <mergeCell ref="BG36:BM36"/>
    <mergeCell ref="BN36:BT36"/>
    <mergeCell ref="B39:J39"/>
    <mergeCell ref="T39:AR39"/>
    <mergeCell ref="AS39:AY39"/>
    <mergeCell ref="AZ39:BF39"/>
    <mergeCell ref="BG39:BM39"/>
    <mergeCell ref="BN39:BT39"/>
    <mergeCell ref="B38:J38"/>
    <mergeCell ref="T38:AR38"/>
    <mergeCell ref="AS38:AY38"/>
    <mergeCell ref="AZ38:BF38"/>
    <mergeCell ref="BG38:BM38"/>
    <mergeCell ref="BN38:BT38"/>
    <mergeCell ref="B41:J41"/>
    <mergeCell ref="T41:AR41"/>
    <mergeCell ref="AS41:AY41"/>
    <mergeCell ref="AZ41:BF41"/>
    <mergeCell ref="BG41:BM41"/>
    <mergeCell ref="BN41:BT41"/>
    <mergeCell ref="B40:J40"/>
    <mergeCell ref="T40:AR40"/>
    <mergeCell ref="AS40:AY40"/>
    <mergeCell ref="AZ40:BF40"/>
    <mergeCell ref="BG40:BM40"/>
    <mergeCell ref="BN40:BT40"/>
  </mergeCells>
  <pageMargins left="0.78740157480314965" right="0.78740157480314965" top="1.1811023622047245" bottom="0.78740157480314965" header="0.51181102362204722" footer="0.51181102362204722"/>
  <pageSetup paperSize="9" scale="81" orientation="landscape" r:id="rId1"/>
  <headerFooter alignWithMargins="0">
    <oddHeader>&amp;L&amp;G&amp;R&amp;G</oddHeader>
    <oddFooter>&amp;L© 2013 Brother Industries, Ltd. &amp; ABeam Systems Ltd. All Rights Reserved.                                              &amp;C&amp;P / &amp;N&amp;R&amp;F</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6E27-58C9-451B-B4B4-E4D594E4BE27}">
  <dimension ref="A1"/>
  <sheetViews>
    <sheetView topLeftCell="A7" workbookViewId="0">
      <selection activeCell="P17" sqref="P17"/>
    </sheetView>
  </sheetViews>
  <sheetFormatPr defaultRowHeight="1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1A74-3BA9-401C-B6B5-EF3D8DB01EFD}">
  <dimension ref="A1:AY343"/>
  <sheetViews>
    <sheetView tabSelected="1" topLeftCell="A233" zoomScale="85" zoomScaleNormal="85" workbookViewId="0">
      <selection activeCell="P80" sqref="P80"/>
    </sheetView>
  </sheetViews>
  <sheetFormatPr defaultColWidth="9.1796875" defaultRowHeight="15.5"/>
  <cols>
    <col min="1" max="34" width="3.7265625" style="1" customWidth="1"/>
    <col min="35" max="37" width="2.54296875" style="1" customWidth="1"/>
    <col min="38" max="38" width="23.54296875" style="1" customWidth="1"/>
    <col min="39" max="47" width="8.54296875" style="20" customWidth="1"/>
    <col min="48" max="51" width="8.54296875" style="1" customWidth="1"/>
    <col min="52" max="52" width="9.1796875" style="1"/>
    <col min="53" max="61" width="10.453125" style="1" customWidth="1"/>
    <col min="62" max="62" width="11.453125" style="1" customWidth="1"/>
    <col min="63" max="16384" width="9.1796875" style="1"/>
  </cols>
  <sheetData>
    <row r="1" spans="1:51">
      <c r="A1" s="319" t="s">
        <v>5</v>
      </c>
      <c r="B1" s="320"/>
      <c r="C1" s="320"/>
      <c r="D1" s="320"/>
      <c r="E1" s="320"/>
      <c r="F1" s="320"/>
      <c r="G1" s="320"/>
      <c r="H1" s="320"/>
      <c r="I1" s="320"/>
      <c r="J1" s="320"/>
      <c r="K1" s="320"/>
      <c r="L1" s="320"/>
      <c r="M1" s="320"/>
      <c r="N1" s="320"/>
      <c r="O1" s="320"/>
      <c r="P1" s="320"/>
      <c r="Q1" s="320"/>
      <c r="R1" s="320"/>
      <c r="S1" s="320"/>
      <c r="T1" s="320"/>
      <c r="U1" s="320"/>
      <c r="V1" s="320"/>
      <c r="W1" s="320"/>
      <c r="X1" s="320"/>
      <c r="Y1" s="320"/>
      <c r="Z1" s="320"/>
      <c r="AA1" s="320"/>
      <c r="AB1" s="320"/>
      <c r="AC1" s="320"/>
      <c r="AD1" s="320"/>
      <c r="AE1" s="320"/>
      <c r="AF1" s="320"/>
      <c r="AG1" s="320"/>
      <c r="AH1" s="320"/>
      <c r="AI1" s="320"/>
      <c r="AJ1" s="320"/>
      <c r="AK1" s="320"/>
      <c r="AL1" s="320"/>
      <c r="AM1" s="320"/>
      <c r="AN1" s="320"/>
      <c r="AO1" s="320"/>
      <c r="AP1" s="320"/>
      <c r="AQ1" s="320"/>
      <c r="AR1" s="320"/>
      <c r="AS1" s="320"/>
      <c r="AT1" s="320"/>
      <c r="AU1" s="321"/>
      <c r="AV1" s="321"/>
      <c r="AW1" s="321"/>
      <c r="AX1" s="321"/>
      <c r="AY1" s="322"/>
    </row>
    <row r="2" spans="1:51">
      <c r="A2" s="323"/>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25"/>
      <c r="AW2" s="325"/>
      <c r="AX2" s="325"/>
      <c r="AY2" s="326"/>
    </row>
    <row r="3" spans="1:51">
      <c r="A3" s="327" t="s">
        <v>0</v>
      </c>
      <c r="B3" s="328"/>
      <c r="C3" s="328"/>
      <c r="D3" s="328"/>
      <c r="E3" s="328"/>
      <c r="F3" s="328"/>
      <c r="G3" s="328"/>
      <c r="H3" s="328"/>
      <c r="I3" s="328"/>
      <c r="J3" s="328"/>
      <c r="K3" s="328"/>
      <c r="L3" s="328"/>
      <c r="M3" s="328"/>
      <c r="N3" s="328"/>
      <c r="O3" s="328"/>
      <c r="P3" s="329"/>
      <c r="Q3" s="2"/>
      <c r="R3" s="3"/>
      <c r="S3" s="3"/>
      <c r="T3" s="3"/>
      <c r="U3" s="3"/>
      <c r="V3" s="3"/>
      <c r="W3" s="4"/>
      <c r="X3" s="4"/>
      <c r="Y3" s="5"/>
      <c r="Z3" s="5"/>
      <c r="AA3" s="5"/>
      <c r="AB3" s="5"/>
      <c r="AC3" s="5"/>
      <c r="AD3" s="5"/>
      <c r="AE3" s="4"/>
      <c r="AF3" s="3"/>
      <c r="AG3" s="3"/>
      <c r="AH3" s="3"/>
      <c r="AI3" s="6"/>
      <c r="AJ3" s="7"/>
      <c r="AK3" s="7"/>
      <c r="AL3" s="7"/>
      <c r="AM3" s="58"/>
      <c r="AN3" s="59"/>
      <c r="AO3" s="58"/>
      <c r="AP3" s="58"/>
      <c r="AQ3" s="58"/>
      <c r="AR3" s="58"/>
      <c r="AS3" s="58"/>
      <c r="AT3" s="58"/>
      <c r="AU3" s="60"/>
      <c r="AV3" s="3"/>
      <c r="AW3" s="3"/>
      <c r="AX3" s="3"/>
      <c r="AY3" s="8"/>
    </row>
    <row r="4" spans="1:51" ht="4.5" customHeight="1">
      <c r="A4" s="9"/>
      <c r="AY4" s="10"/>
    </row>
    <row r="5" spans="1:51">
      <c r="A5" s="11"/>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61"/>
      <c r="AN5" s="61"/>
      <c r="AO5" s="61"/>
      <c r="AP5" s="61"/>
      <c r="AQ5" s="61"/>
      <c r="AR5" s="61"/>
      <c r="AS5" s="61"/>
      <c r="AT5" s="61"/>
      <c r="AU5" s="61"/>
      <c r="AV5" s="12"/>
      <c r="AW5" s="12"/>
      <c r="AX5" s="12"/>
      <c r="AY5" s="13"/>
    </row>
    <row r="6" spans="1:51">
      <c r="A6" s="330" t="s">
        <v>1</v>
      </c>
      <c r="B6" s="331"/>
      <c r="C6" s="331"/>
      <c r="D6" s="331"/>
      <c r="E6" s="331"/>
      <c r="F6" s="331"/>
      <c r="G6" s="331"/>
      <c r="H6" s="331"/>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2"/>
      <c r="AM6" s="331" t="s">
        <v>2</v>
      </c>
      <c r="AN6" s="331"/>
      <c r="AO6" s="331"/>
      <c r="AP6" s="331"/>
      <c r="AQ6" s="331"/>
      <c r="AR6" s="331"/>
      <c r="AS6" s="331"/>
      <c r="AT6" s="331"/>
      <c r="AU6" s="331"/>
      <c r="AV6" s="331"/>
      <c r="AW6" s="331"/>
      <c r="AX6" s="331"/>
      <c r="AY6" s="333"/>
    </row>
    <row r="7" spans="1:51">
      <c r="A7" s="311" t="s">
        <v>3</v>
      </c>
      <c r="B7" s="312"/>
      <c r="C7" s="312"/>
      <c r="D7" s="312"/>
      <c r="E7" s="312"/>
      <c r="F7" s="312"/>
      <c r="G7" s="312"/>
      <c r="H7" s="312"/>
      <c r="I7" s="312"/>
      <c r="J7" s="312"/>
      <c r="K7" s="312"/>
      <c r="L7" s="312"/>
      <c r="M7" s="312"/>
      <c r="N7" s="312"/>
      <c r="O7" s="313"/>
      <c r="P7" s="314"/>
      <c r="Q7" s="315"/>
      <c r="R7" s="315"/>
      <c r="S7" s="315"/>
      <c r="T7" s="315"/>
      <c r="U7" s="315"/>
      <c r="V7" s="315"/>
      <c r="W7" s="315"/>
      <c r="X7" s="315"/>
      <c r="Y7" s="315"/>
      <c r="Z7" s="315"/>
      <c r="AA7" s="315"/>
      <c r="AB7" s="315"/>
      <c r="AC7" s="315"/>
      <c r="AD7" s="315"/>
      <c r="AE7" s="315"/>
      <c r="AF7" s="315"/>
      <c r="AG7" s="315"/>
      <c r="AH7" s="315"/>
      <c r="AI7" s="315"/>
      <c r="AJ7" s="315"/>
      <c r="AK7" s="315"/>
      <c r="AL7" s="316"/>
      <c r="AM7" s="317"/>
      <c r="AN7" s="317"/>
      <c r="AO7" s="317"/>
      <c r="AP7" s="317"/>
      <c r="AQ7" s="317"/>
      <c r="AR7" s="317"/>
      <c r="AS7" s="317"/>
      <c r="AT7" s="317"/>
      <c r="AU7" s="317"/>
      <c r="AV7" s="317"/>
      <c r="AW7" s="317"/>
      <c r="AX7" s="317"/>
      <c r="AY7" s="318"/>
    </row>
    <row r="8" spans="1:51">
      <c r="A8" s="14"/>
      <c r="B8" s="15"/>
      <c r="C8" s="15"/>
      <c r="D8" s="15"/>
      <c r="E8" s="15"/>
      <c r="F8" s="15"/>
      <c r="G8" s="15"/>
      <c r="H8" s="15"/>
      <c r="I8" s="15"/>
      <c r="J8" s="15"/>
      <c r="K8" s="15"/>
      <c r="L8" s="15"/>
      <c r="M8" s="16"/>
      <c r="N8" s="16"/>
      <c r="O8" s="16"/>
      <c r="P8" s="16"/>
      <c r="Q8" s="16"/>
      <c r="R8" s="16"/>
      <c r="S8" s="16"/>
      <c r="T8" s="16"/>
      <c r="U8" s="16"/>
      <c r="V8" s="16"/>
      <c r="W8" s="16"/>
      <c r="X8" s="16"/>
      <c r="Y8" s="16"/>
      <c r="Z8" s="16"/>
      <c r="AA8" s="16"/>
      <c r="AB8" s="16"/>
      <c r="AC8" s="16"/>
      <c r="AD8" s="16"/>
      <c r="AE8" s="16"/>
      <c r="AF8" s="16"/>
      <c r="AG8" s="16"/>
      <c r="AH8" s="16"/>
      <c r="AI8" s="16"/>
      <c r="AJ8" s="16"/>
      <c r="AK8" s="16"/>
      <c r="AL8" s="17"/>
      <c r="AQ8" s="18"/>
      <c r="AR8" s="18"/>
      <c r="AS8" s="18"/>
      <c r="AT8" s="18"/>
      <c r="AU8" s="18"/>
      <c r="AV8" s="18"/>
      <c r="AW8" s="18"/>
      <c r="AX8" s="16"/>
      <c r="AY8" s="19"/>
    </row>
    <row r="9" spans="1:51">
      <c r="A9" s="14"/>
      <c r="B9" s="15"/>
      <c r="C9" s="15"/>
      <c r="D9" s="15"/>
      <c r="E9" s="15"/>
      <c r="F9" s="15"/>
      <c r="G9" s="15"/>
      <c r="H9" s="15"/>
      <c r="I9" s="15"/>
      <c r="J9" s="15"/>
      <c r="K9" s="15"/>
      <c r="L9" s="15"/>
      <c r="M9" s="16"/>
      <c r="N9" s="16"/>
      <c r="O9" s="16"/>
      <c r="P9" s="16"/>
      <c r="Q9" s="16"/>
      <c r="R9" s="16"/>
      <c r="S9" s="16"/>
      <c r="T9" s="16"/>
      <c r="U9" s="16"/>
      <c r="V9" s="16"/>
      <c r="W9" s="16"/>
      <c r="X9" s="16"/>
      <c r="Y9" s="16"/>
      <c r="Z9" s="16"/>
      <c r="AA9" s="16"/>
      <c r="AB9" s="16"/>
      <c r="AC9" s="16"/>
      <c r="AD9" s="16"/>
      <c r="AE9" s="16"/>
      <c r="AF9" s="16"/>
      <c r="AG9" s="16"/>
      <c r="AH9" s="16"/>
      <c r="AI9" s="16"/>
      <c r="AJ9" s="16"/>
      <c r="AK9" s="16"/>
      <c r="AL9" s="17"/>
      <c r="AM9" s="20" t="s">
        <v>44</v>
      </c>
      <c r="AQ9" s="18"/>
      <c r="AR9" s="18"/>
      <c r="AS9" s="18"/>
      <c r="AT9" s="18"/>
      <c r="AU9" s="18"/>
      <c r="AV9" s="18"/>
      <c r="AW9" s="18"/>
      <c r="AX9" s="16"/>
      <c r="AY9" s="19"/>
    </row>
    <row r="10" spans="1:51">
      <c r="A10" s="14"/>
      <c r="B10" s="15"/>
      <c r="C10" s="15"/>
      <c r="D10" s="15"/>
      <c r="E10" s="15"/>
      <c r="F10" s="15"/>
      <c r="G10" s="15"/>
      <c r="H10" s="15"/>
      <c r="I10" s="15"/>
      <c r="J10" s="15"/>
      <c r="K10" s="15"/>
      <c r="L10" s="1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7"/>
      <c r="AM10" s="20" t="s">
        <v>45</v>
      </c>
      <c r="AQ10" s="18"/>
      <c r="AR10" s="18"/>
      <c r="AS10" s="18"/>
      <c r="AT10" s="18"/>
      <c r="AU10" s="18"/>
      <c r="AV10" s="18"/>
      <c r="AW10" s="18"/>
      <c r="AX10" s="16"/>
      <c r="AY10" s="19"/>
    </row>
    <row r="11" spans="1:51">
      <c r="A11" s="14"/>
      <c r="B11" s="15"/>
      <c r="C11" s="15"/>
      <c r="D11" s="15"/>
      <c r="E11" s="15"/>
      <c r="F11" s="15"/>
      <c r="G11" s="15"/>
      <c r="H11" s="15"/>
      <c r="I11" s="15"/>
      <c r="J11" s="15"/>
      <c r="K11" s="15"/>
      <c r="L11" s="1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7"/>
      <c r="AS11" s="18"/>
      <c r="AT11" s="18"/>
      <c r="AU11" s="18"/>
      <c r="AV11" s="18"/>
      <c r="AW11" s="18"/>
      <c r="AX11" s="16"/>
      <c r="AY11" s="19"/>
    </row>
    <row r="12" spans="1:51">
      <c r="A12" s="14"/>
      <c r="B12" s="15"/>
      <c r="C12" s="15"/>
      <c r="D12" s="15"/>
      <c r="E12" s="15"/>
      <c r="F12" s="15"/>
      <c r="G12" s="15"/>
      <c r="H12" s="15"/>
      <c r="I12" s="15"/>
      <c r="J12" s="15"/>
      <c r="K12" s="15"/>
      <c r="L12" s="15"/>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7"/>
      <c r="AS12" s="18"/>
      <c r="AT12" s="18"/>
      <c r="AU12" s="18"/>
      <c r="AV12" s="18"/>
      <c r="AW12" s="18"/>
      <c r="AX12" s="16"/>
      <c r="AY12" s="19"/>
    </row>
    <row r="13" spans="1:51">
      <c r="A13" s="14"/>
      <c r="B13" s="15"/>
      <c r="C13" s="15"/>
      <c r="D13" s="15"/>
      <c r="E13" s="15"/>
      <c r="F13" s="15"/>
      <c r="G13" s="15"/>
      <c r="H13" s="15"/>
      <c r="I13" s="15"/>
      <c r="J13" s="15"/>
      <c r="K13" s="15"/>
      <c r="L13" s="15"/>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7"/>
      <c r="AQ13" s="18"/>
      <c r="AR13" s="18"/>
      <c r="AS13" s="18"/>
      <c r="AT13" s="18"/>
      <c r="AU13" s="18"/>
      <c r="AV13" s="18"/>
      <c r="AW13" s="18"/>
      <c r="AX13" s="16"/>
      <c r="AY13" s="19"/>
    </row>
    <row r="14" spans="1:51">
      <c r="A14" s="14"/>
      <c r="B14" s="15"/>
      <c r="C14" s="15"/>
      <c r="D14" s="15"/>
      <c r="E14" s="15"/>
      <c r="F14" s="15"/>
      <c r="G14" s="15"/>
      <c r="H14" s="15"/>
      <c r="I14" s="15"/>
      <c r="J14" s="15"/>
      <c r="K14" s="15"/>
      <c r="L14" s="15"/>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7"/>
      <c r="AQ14" s="18"/>
      <c r="AR14" s="18"/>
      <c r="AS14" s="18"/>
      <c r="AT14" s="18"/>
      <c r="AU14" s="18"/>
      <c r="AV14" s="18"/>
      <c r="AW14" s="18"/>
      <c r="AX14" s="16"/>
      <c r="AY14" s="19"/>
    </row>
    <row r="15" spans="1:51">
      <c r="A15" s="14"/>
      <c r="B15" s="15"/>
      <c r="C15" s="15"/>
      <c r="D15" s="15"/>
      <c r="E15" s="15"/>
      <c r="F15" s="15"/>
      <c r="G15" s="15"/>
      <c r="H15" s="15"/>
      <c r="I15" s="15"/>
      <c r="J15" s="15"/>
      <c r="K15" s="15"/>
      <c r="L15" s="1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7"/>
      <c r="AQ15" s="18"/>
      <c r="AR15" s="18"/>
      <c r="AS15" s="18"/>
      <c r="AT15" s="18"/>
      <c r="AU15" s="18"/>
      <c r="AV15" s="18"/>
      <c r="AW15" s="18"/>
      <c r="AX15" s="16"/>
      <c r="AY15" s="19"/>
    </row>
    <row r="16" spans="1:51">
      <c r="A16" s="14"/>
      <c r="B16" s="15"/>
      <c r="C16" s="15"/>
      <c r="D16" s="15"/>
      <c r="E16" s="15"/>
      <c r="F16" s="15"/>
      <c r="G16" s="15"/>
      <c r="H16" s="15"/>
      <c r="I16" s="15"/>
      <c r="J16" s="15"/>
      <c r="K16" s="15"/>
      <c r="L16" s="15"/>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7"/>
      <c r="AM16" s="52" t="s">
        <v>43</v>
      </c>
      <c r="AN16" s="18"/>
      <c r="AO16" s="18"/>
      <c r="AP16" s="18"/>
      <c r="AQ16" s="18"/>
      <c r="AR16" s="18"/>
      <c r="AS16" s="18"/>
      <c r="AT16" s="18"/>
      <c r="AU16" s="18"/>
      <c r="AV16" s="18"/>
      <c r="AW16" s="18"/>
      <c r="AX16" s="16"/>
      <c r="AY16" s="19"/>
    </row>
    <row r="17" spans="1:51">
      <c r="A17" s="14"/>
      <c r="B17" s="15"/>
      <c r="C17" s="15"/>
      <c r="D17" s="15"/>
      <c r="E17" s="15"/>
      <c r="F17" s="15"/>
      <c r="G17" s="15"/>
      <c r="H17" s="15"/>
      <c r="I17" s="15"/>
      <c r="J17" s="15"/>
      <c r="K17" s="15"/>
      <c r="L17" s="15"/>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7"/>
      <c r="AM17" s="18"/>
      <c r="AN17" s="18"/>
      <c r="AO17" s="18"/>
      <c r="AP17" s="18"/>
      <c r="AQ17" s="18"/>
      <c r="AR17" s="18"/>
      <c r="AS17" s="18"/>
      <c r="AT17" s="18"/>
      <c r="AU17" s="18"/>
      <c r="AV17" s="18"/>
      <c r="AW17" s="18"/>
      <c r="AX17" s="16"/>
      <c r="AY17" s="19"/>
    </row>
    <row r="18" spans="1:51">
      <c r="A18" s="14"/>
      <c r="B18" s="15"/>
      <c r="C18" s="15"/>
      <c r="D18" s="15"/>
      <c r="E18" s="15"/>
      <c r="F18" s="15"/>
      <c r="G18" s="15"/>
      <c r="H18" s="15"/>
      <c r="I18" s="15"/>
      <c r="J18" s="15"/>
      <c r="K18" s="15"/>
      <c r="L18" s="15"/>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7"/>
      <c r="AM18" s="53"/>
      <c r="AQ18" s="18"/>
      <c r="AR18" s="18"/>
      <c r="AS18" s="18"/>
      <c r="AT18" s="18"/>
      <c r="AU18" s="18"/>
      <c r="AV18" s="18"/>
      <c r="AW18" s="18"/>
      <c r="AX18" s="16"/>
      <c r="AY18" s="19"/>
    </row>
    <row r="19" spans="1:51">
      <c r="A19" s="14"/>
      <c r="B19" s="15"/>
      <c r="C19" s="15"/>
      <c r="D19" s="15"/>
      <c r="E19" s="15"/>
      <c r="F19" s="15"/>
      <c r="G19" s="15"/>
      <c r="H19" s="15"/>
      <c r="I19" s="15"/>
      <c r="J19" s="15"/>
      <c r="K19" s="15"/>
      <c r="L19" s="15"/>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7"/>
      <c r="AM19" s="53"/>
      <c r="AN19" s="53"/>
      <c r="AP19" s="18"/>
      <c r="AQ19" s="18"/>
      <c r="AR19" s="18"/>
      <c r="AS19" s="18"/>
      <c r="AT19" s="18"/>
      <c r="AU19" s="18"/>
      <c r="AV19" s="18"/>
      <c r="AW19" s="18"/>
      <c r="AX19" s="16"/>
      <c r="AY19" s="19"/>
    </row>
    <row r="20" spans="1:51">
      <c r="A20" s="14"/>
      <c r="B20" s="15"/>
      <c r="C20" s="15"/>
      <c r="D20" s="15"/>
      <c r="E20" s="15"/>
      <c r="F20" s="15"/>
      <c r="G20" s="15"/>
      <c r="H20" s="15"/>
      <c r="I20" s="15"/>
      <c r="J20" s="15"/>
      <c r="K20" s="15"/>
      <c r="L20" s="15"/>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7"/>
      <c r="AM20" s="53"/>
      <c r="AN20" s="54"/>
      <c r="AQ20" s="18"/>
      <c r="AR20" s="18"/>
      <c r="AS20" s="18"/>
      <c r="AT20" s="18"/>
      <c r="AU20" s="18"/>
      <c r="AV20" s="18"/>
      <c r="AW20" s="18"/>
      <c r="AX20" s="16"/>
      <c r="AY20" s="19"/>
    </row>
    <row r="21" spans="1:51">
      <c r="A21" s="14"/>
      <c r="B21" s="15"/>
      <c r="C21" s="15"/>
      <c r="D21" s="15"/>
      <c r="E21" s="15"/>
      <c r="F21" s="15"/>
      <c r="G21" s="15"/>
      <c r="H21" s="15"/>
      <c r="I21" s="15"/>
      <c r="J21" s="15"/>
      <c r="K21" s="15"/>
      <c r="L21" s="15"/>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7"/>
      <c r="AM21" s="53"/>
      <c r="AP21" s="18"/>
      <c r="AQ21" s="18"/>
      <c r="AR21" s="18"/>
      <c r="AS21" s="18"/>
      <c r="AT21" s="18"/>
      <c r="AU21" s="18"/>
      <c r="AV21" s="18"/>
      <c r="AW21" s="18"/>
      <c r="AX21" s="16"/>
      <c r="AY21" s="19"/>
    </row>
    <row r="22" spans="1:51">
      <c r="A22" s="14"/>
      <c r="B22" s="15"/>
      <c r="C22" s="15"/>
      <c r="D22" s="15"/>
      <c r="E22" s="15"/>
      <c r="F22" s="15"/>
      <c r="G22" s="15"/>
      <c r="H22" s="15"/>
      <c r="I22" s="15"/>
      <c r="J22" s="15"/>
      <c r="K22" s="15"/>
      <c r="L22" s="15"/>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7"/>
      <c r="AM22" s="53"/>
      <c r="AN22" s="54"/>
      <c r="AQ22" s="18"/>
      <c r="AR22" s="18"/>
      <c r="AS22" s="18"/>
      <c r="AT22" s="18"/>
      <c r="AU22" s="18"/>
      <c r="AV22" s="18"/>
      <c r="AW22" s="18"/>
      <c r="AX22" s="16"/>
      <c r="AY22" s="19"/>
    </row>
    <row r="23" spans="1:51">
      <c r="A23" s="14"/>
      <c r="B23" s="15"/>
      <c r="C23" s="15"/>
      <c r="D23" s="15"/>
      <c r="E23" s="15"/>
      <c r="F23" s="15"/>
      <c r="G23" s="15"/>
      <c r="H23" s="15"/>
      <c r="I23" s="15"/>
      <c r="J23" s="15"/>
      <c r="K23" s="15"/>
      <c r="L23" s="15"/>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7"/>
      <c r="AM23" s="53"/>
      <c r="AN23" s="53"/>
      <c r="AO23" s="18"/>
      <c r="AP23" s="18"/>
      <c r="AQ23" s="18"/>
      <c r="AR23" s="18"/>
      <c r="AS23" s="18"/>
      <c r="AT23" s="18"/>
      <c r="AU23" s="18"/>
      <c r="AV23" s="18"/>
      <c r="AW23" s="18"/>
      <c r="AX23" s="16"/>
      <c r="AY23" s="19"/>
    </row>
    <row r="24" spans="1:51">
      <c r="A24" s="14"/>
      <c r="B24" s="15"/>
      <c r="C24" s="15"/>
      <c r="D24" s="15"/>
      <c r="E24" s="15"/>
      <c r="F24" s="15"/>
      <c r="G24" s="15"/>
      <c r="H24" s="15"/>
      <c r="I24" s="15"/>
      <c r="J24" s="15"/>
      <c r="K24" s="15"/>
      <c r="L24" s="15"/>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7"/>
      <c r="AM24" s="53"/>
      <c r="AN24" s="53"/>
      <c r="AO24" s="18"/>
      <c r="AQ24" s="18"/>
      <c r="AR24" s="18"/>
      <c r="AS24" s="18"/>
      <c r="AT24" s="18"/>
      <c r="AU24" s="18"/>
      <c r="AV24" s="18"/>
      <c r="AW24" s="18"/>
      <c r="AX24" s="16"/>
      <c r="AY24" s="19"/>
    </row>
    <row r="25" spans="1:51">
      <c r="A25" s="14"/>
      <c r="B25" s="15"/>
      <c r="C25" s="15"/>
      <c r="D25" s="15"/>
      <c r="E25" s="15"/>
      <c r="F25" s="15"/>
      <c r="G25" s="15"/>
      <c r="H25" s="15"/>
      <c r="I25" s="15"/>
      <c r="J25" s="15"/>
      <c r="K25" s="15"/>
      <c r="L25" s="15"/>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7"/>
      <c r="AM25" s="53"/>
      <c r="AN25" s="53"/>
      <c r="AO25" s="18"/>
      <c r="AP25" s="18"/>
      <c r="AQ25" s="18"/>
      <c r="AR25" s="18"/>
      <c r="AS25" s="18"/>
      <c r="AT25" s="18"/>
      <c r="AU25" s="18"/>
      <c r="AV25" s="18"/>
      <c r="AW25" s="18"/>
      <c r="AX25" s="16"/>
      <c r="AY25" s="19"/>
    </row>
    <row r="26" spans="1:51">
      <c r="A26" s="14"/>
      <c r="B26" s="15"/>
      <c r="C26" s="15"/>
      <c r="D26" s="15"/>
      <c r="E26" s="15"/>
      <c r="F26" s="15"/>
      <c r="G26" s="15"/>
      <c r="H26" s="15"/>
      <c r="I26" s="15"/>
      <c r="J26" s="15"/>
      <c r="K26" s="15"/>
      <c r="L26" s="15"/>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7"/>
      <c r="AM26" s="53"/>
      <c r="AN26" s="53"/>
      <c r="AO26" s="18"/>
      <c r="AQ26" s="18"/>
      <c r="AR26" s="18"/>
      <c r="AS26" s="18"/>
      <c r="AT26" s="18"/>
      <c r="AU26" s="18"/>
      <c r="AV26" s="18"/>
      <c r="AW26" s="18"/>
      <c r="AX26" s="16"/>
      <c r="AY26" s="19"/>
    </row>
    <row r="27" spans="1:51">
      <c r="A27" s="14"/>
      <c r="B27" s="15"/>
      <c r="C27" s="15"/>
      <c r="D27" s="15"/>
      <c r="E27" s="15"/>
      <c r="F27" s="15"/>
      <c r="G27" s="15"/>
      <c r="H27" s="15"/>
      <c r="I27" s="15"/>
      <c r="J27" s="15"/>
      <c r="K27" s="15"/>
      <c r="L27" s="15"/>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7"/>
      <c r="AP27" s="18"/>
      <c r="AQ27" s="18"/>
      <c r="AR27" s="18"/>
      <c r="AS27" s="18"/>
      <c r="AT27" s="18"/>
      <c r="AU27" s="18"/>
      <c r="AV27" s="18"/>
      <c r="AW27" s="18"/>
      <c r="AX27" s="16"/>
      <c r="AY27" s="19"/>
    </row>
    <row r="28" spans="1:51">
      <c r="A28" s="14"/>
      <c r="B28" s="15"/>
      <c r="C28" s="15"/>
      <c r="D28" s="15"/>
      <c r="E28" s="15"/>
      <c r="F28" s="15"/>
      <c r="G28" s="15"/>
      <c r="H28" s="15"/>
      <c r="I28" s="15"/>
      <c r="J28" s="15"/>
      <c r="K28" s="15"/>
      <c r="L28" s="15"/>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7"/>
      <c r="AP28" s="18"/>
      <c r="AQ28" s="18"/>
      <c r="AR28" s="18"/>
      <c r="AS28" s="18"/>
      <c r="AT28" s="18"/>
      <c r="AU28" s="18"/>
      <c r="AV28" s="18"/>
      <c r="AW28" s="18"/>
      <c r="AX28" s="16"/>
      <c r="AY28" s="19"/>
    </row>
    <row r="29" spans="1:51">
      <c r="A29" s="14"/>
      <c r="B29" s="15"/>
      <c r="C29" s="15"/>
      <c r="D29" s="15"/>
      <c r="E29" s="15"/>
      <c r="F29" s="15"/>
      <c r="G29" s="15"/>
      <c r="H29" s="15"/>
      <c r="I29" s="15"/>
      <c r="J29" s="15"/>
      <c r="K29" s="15"/>
      <c r="L29" s="15"/>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7"/>
      <c r="AM29" s="21"/>
      <c r="AP29" s="18"/>
      <c r="AQ29" s="18"/>
      <c r="AR29" s="18"/>
      <c r="AS29" s="18"/>
      <c r="AT29" s="18"/>
      <c r="AU29" s="18"/>
      <c r="AV29" s="18"/>
      <c r="AW29" s="18"/>
      <c r="AX29" s="16"/>
      <c r="AY29" s="19"/>
    </row>
    <row r="30" spans="1:51">
      <c r="A30" s="14"/>
      <c r="B30" s="15"/>
      <c r="C30" s="15"/>
      <c r="D30" s="15"/>
      <c r="E30" s="15"/>
      <c r="F30" s="15"/>
      <c r="G30" s="15"/>
      <c r="H30" s="15"/>
      <c r="I30" s="15"/>
      <c r="J30" s="15"/>
      <c r="K30" s="15"/>
      <c r="L30" s="15"/>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7"/>
      <c r="AM30" s="21"/>
      <c r="AN30" s="18"/>
      <c r="AO30" s="18"/>
      <c r="AP30" s="18"/>
      <c r="AQ30" s="18"/>
      <c r="AR30" s="18"/>
      <c r="AS30" s="18"/>
      <c r="AT30" s="18"/>
      <c r="AU30" s="18"/>
      <c r="AV30" s="18"/>
      <c r="AW30" s="18"/>
      <c r="AX30" s="16"/>
      <c r="AY30" s="19"/>
    </row>
    <row r="31" spans="1:51">
      <c r="A31" s="14"/>
      <c r="B31" s="15"/>
      <c r="C31" s="15"/>
      <c r="D31" s="15"/>
      <c r="E31" s="15"/>
      <c r="F31" s="15"/>
      <c r="G31" s="15"/>
      <c r="H31" s="15"/>
      <c r="I31" s="15"/>
      <c r="J31" s="15"/>
      <c r="K31" s="15"/>
      <c r="L31" s="15"/>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7"/>
      <c r="AM31" s="22" t="s">
        <v>4</v>
      </c>
      <c r="AN31" s="18"/>
      <c r="AO31" s="18"/>
      <c r="AP31" s="18"/>
      <c r="AQ31" s="18"/>
      <c r="AR31" s="18"/>
      <c r="AS31" s="18"/>
      <c r="AT31" s="18"/>
      <c r="AU31" s="18"/>
      <c r="AV31" s="18"/>
      <c r="AW31" s="18"/>
      <c r="AX31" s="16"/>
      <c r="AY31" s="19"/>
    </row>
    <row r="32" spans="1:51">
      <c r="A32" s="14"/>
      <c r="B32" s="15"/>
      <c r="C32" s="15"/>
      <c r="D32" s="15"/>
      <c r="E32" s="15"/>
      <c r="F32" s="15"/>
      <c r="G32" s="15"/>
      <c r="H32" s="15"/>
      <c r="I32" s="15"/>
      <c r="J32" s="15"/>
      <c r="K32" s="15"/>
      <c r="L32" s="15"/>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7"/>
      <c r="AM32" s="18"/>
      <c r="AN32" s="18"/>
      <c r="AO32" s="18"/>
      <c r="AP32" s="23"/>
      <c r="AQ32" s="23"/>
      <c r="AR32" s="23"/>
      <c r="AS32" s="23"/>
      <c r="AT32" s="23"/>
      <c r="AU32" s="23"/>
      <c r="AV32" s="23"/>
      <c r="AW32" s="23"/>
      <c r="AX32" s="24"/>
      <c r="AY32" s="25"/>
    </row>
    <row r="33" spans="1:51" ht="16.899999999999999" customHeight="1">
      <c r="A33" s="311" t="s">
        <v>3</v>
      </c>
      <c r="B33" s="312"/>
      <c r="C33" s="312"/>
      <c r="D33" s="312"/>
      <c r="E33" s="312"/>
      <c r="F33" s="312"/>
      <c r="G33" s="312"/>
      <c r="H33" s="312"/>
      <c r="I33" s="312"/>
      <c r="J33" s="312"/>
      <c r="K33" s="312"/>
      <c r="L33" s="312"/>
      <c r="M33" s="312"/>
      <c r="N33" s="312"/>
      <c r="O33" s="313"/>
      <c r="P33" s="314" t="s">
        <v>427</v>
      </c>
      <c r="Q33" s="315"/>
      <c r="R33" s="315"/>
      <c r="S33" s="315"/>
      <c r="T33" s="315"/>
      <c r="U33" s="315"/>
      <c r="V33" s="315"/>
      <c r="W33" s="315"/>
      <c r="X33" s="315"/>
      <c r="Y33" s="315"/>
      <c r="Z33" s="315"/>
      <c r="AA33" s="315"/>
      <c r="AB33" s="315"/>
      <c r="AC33" s="315"/>
      <c r="AD33" s="315"/>
      <c r="AE33" s="315"/>
      <c r="AF33" s="315"/>
      <c r="AG33" s="315"/>
      <c r="AH33" s="315"/>
      <c r="AI33" s="315"/>
      <c r="AJ33" s="315"/>
      <c r="AK33" s="315"/>
      <c r="AL33" s="316"/>
      <c r="AM33" s="317"/>
      <c r="AN33" s="317"/>
      <c r="AO33" s="317"/>
      <c r="AP33" s="317"/>
      <c r="AQ33" s="317"/>
      <c r="AR33" s="317"/>
      <c r="AS33" s="317"/>
      <c r="AT33" s="317"/>
      <c r="AU33" s="317"/>
      <c r="AV33" s="317"/>
      <c r="AW33" s="317"/>
      <c r="AX33" s="317"/>
      <c r="AY33" s="318"/>
    </row>
    <row r="34" spans="1:51">
      <c r="A34" s="26"/>
      <c r="B34" s="15"/>
      <c r="C34" s="15"/>
      <c r="D34" s="15"/>
      <c r="E34" s="27"/>
      <c r="F34" s="27"/>
      <c r="G34" s="15"/>
      <c r="H34" s="15"/>
      <c r="I34" s="15"/>
      <c r="J34" s="15"/>
      <c r="K34" s="15"/>
      <c r="L34" s="15"/>
      <c r="M34" s="15"/>
      <c r="N34" s="15"/>
      <c r="O34" s="28"/>
      <c r="P34" s="15"/>
      <c r="Q34" s="15"/>
      <c r="R34" s="15"/>
      <c r="S34" s="15"/>
      <c r="T34" s="15"/>
      <c r="U34" s="15"/>
      <c r="V34" s="15"/>
      <c r="W34" s="15"/>
      <c r="X34" s="15"/>
      <c r="Y34" s="15"/>
      <c r="Z34" s="15"/>
      <c r="AA34" s="15"/>
      <c r="AB34" s="15"/>
      <c r="AC34" s="16"/>
      <c r="AD34" s="16"/>
      <c r="AE34" s="16"/>
      <c r="AF34" s="16"/>
      <c r="AG34" s="16"/>
      <c r="AH34" s="16"/>
      <c r="AI34" s="16"/>
      <c r="AJ34" s="16"/>
      <c r="AK34" s="16"/>
      <c r="AL34" s="17"/>
      <c r="AM34" s="18"/>
      <c r="AN34" s="18"/>
      <c r="AO34" s="18"/>
      <c r="AP34" s="18"/>
      <c r="AQ34" s="18"/>
      <c r="AR34" s="18"/>
      <c r="AS34" s="18"/>
      <c r="AT34" s="18"/>
      <c r="AU34" s="18"/>
      <c r="AV34" s="18"/>
      <c r="AW34" s="18"/>
      <c r="AX34" s="16"/>
      <c r="AY34" s="19"/>
    </row>
    <row r="35" spans="1:51">
      <c r="A35" s="26"/>
      <c r="B35" s="15"/>
      <c r="C35" s="15"/>
      <c r="D35" s="15"/>
      <c r="E35" s="27"/>
      <c r="F35" s="27"/>
      <c r="G35" s="15"/>
      <c r="H35" s="15"/>
      <c r="I35" s="15"/>
      <c r="J35" s="15"/>
      <c r="K35" s="15"/>
      <c r="L35" s="15"/>
      <c r="M35" s="15"/>
      <c r="N35" s="15"/>
      <c r="O35" s="28"/>
      <c r="P35" s="15"/>
      <c r="Q35" s="15"/>
      <c r="R35" s="15"/>
      <c r="S35" s="15"/>
      <c r="T35" s="15"/>
      <c r="U35" s="15"/>
      <c r="V35" s="15"/>
      <c r="W35" s="15"/>
      <c r="X35" s="15"/>
      <c r="Y35" s="15"/>
      <c r="Z35" s="15"/>
      <c r="AA35" s="15"/>
      <c r="AB35" s="15"/>
      <c r="AC35" s="16"/>
      <c r="AD35" s="16"/>
      <c r="AE35" s="16"/>
      <c r="AF35" s="16"/>
      <c r="AG35" s="16"/>
      <c r="AH35" s="16"/>
      <c r="AI35" s="16"/>
      <c r="AJ35" s="16"/>
      <c r="AK35" s="16"/>
      <c r="AL35" s="17"/>
      <c r="AM35" s="18"/>
      <c r="AN35" s="18"/>
      <c r="AP35" s="18"/>
      <c r="AQ35" s="18"/>
      <c r="AR35" s="18"/>
      <c r="AS35" s="18"/>
      <c r="AT35" s="18"/>
      <c r="AU35" s="18"/>
      <c r="AV35" s="18"/>
      <c r="AW35" s="18"/>
      <c r="AX35" s="18"/>
      <c r="AY35" s="19"/>
    </row>
    <row r="36" spans="1:51">
      <c r="A36" s="26"/>
      <c r="B36" s="15"/>
      <c r="C36" s="15"/>
      <c r="D36" s="15"/>
      <c r="E36" s="27"/>
      <c r="F36" s="27"/>
      <c r="G36" s="15"/>
      <c r="H36" s="15"/>
      <c r="I36" s="15"/>
      <c r="J36" s="15"/>
      <c r="K36" s="15"/>
      <c r="L36" s="15"/>
      <c r="M36" s="15"/>
      <c r="N36" s="15"/>
      <c r="O36" s="28"/>
      <c r="P36" s="15"/>
      <c r="Q36" s="15"/>
      <c r="R36" s="15"/>
      <c r="S36" s="15"/>
      <c r="T36" s="15"/>
      <c r="U36" s="15"/>
      <c r="V36" s="15"/>
      <c r="W36" s="15"/>
      <c r="X36" s="15"/>
      <c r="Y36" s="15"/>
      <c r="Z36" s="15"/>
      <c r="AA36" s="15"/>
      <c r="AB36" s="15"/>
      <c r="AC36" s="16"/>
      <c r="AD36" s="16"/>
      <c r="AE36" s="16"/>
      <c r="AF36" s="16"/>
      <c r="AG36" s="16"/>
      <c r="AH36" s="16"/>
      <c r="AI36" s="16"/>
      <c r="AJ36" s="16"/>
      <c r="AK36" s="16"/>
      <c r="AL36" s="17"/>
      <c r="AN36" s="18"/>
      <c r="AO36" s="18"/>
      <c r="AP36" s="18"/>
      <c r="AQ36" s="18"/>
      <c r="AR36" s="18"/>
      <c r="AS36" s="18"/>
      <c r="AT36" s="18"/>
      <c r="AU36" s="18"/>
      <c r="AV36" s="18"/>
      <c r="AW36" s="18"/>
      <c r="AX36" s="18"/>
      <c r="AY36" s="19"/>
    </row>
    <row r="37" spans="1:51">
      <c r="A37" s="26"/>
      <c r="B37" s="15"/>
      <c r="C37" s="15"/>
      <c r="D37" s="15"/>
      <c r="E37" s="27"/>
      <c r="F37" s="27"/>
      <c r="G37" s="15"/>
      <c r="H37" s="15"/>
      <c r="I37" s="15"/>
      <c r="J37" s="15"/>
      <c r="K37" s="15"/>
      <c r="L37" s="15"/>
      <c r="M37" s="15"/>
      <c r="N37" s="15"/>
      <c r="O37" s="28"/>
      <c r="P37" s="15"/>
      <c r="Q37" s="15"/>
      <c r="R37" s="15"/>
      <c r="S37" s="15"/>
      <c r="T37" s="15"/>
      <c r="U37" s="15"/>
      <c r="V37" s="15"/>
      <c r="W37" s="15"/>
      <c r="X37" s="15"/>
      <c r="Y37" s="15"/>
      <c r="Z37" s="15"/>
      <c r="AA37" s="15"/>
      <c r="AB37" s="15"/>
      <c r="AC37" s="16"/>
      <c r="AD37" s="16"/>
      <c r="AE37" s="16"/>
      <c r="AF37" s="16"/>
      <c r="AG37" s="16"/>
      <c r="AH37" s="16"/>
      <c r="AI37" s="16"/>
      <c r="AJ37" s="16"/>
      <c r="AK37" s="16"/>
      <c r="AL37" s="17"/>
      <c r="AM37" s="18"/>
      <c r="AN37" s="18"/>
      <c r="AO37" s="18"/>
      <c r="AP37" s="18"/>
      <c r="AQ37" s="18"/>
      <c r="AR37" s="18"/>
      <c r="AS37" s="18"/>
      <c r="AT37" s="18"/>
      <c r="AU37" s="18"/>
      <c r="AV37" s="18"/>
      <c r="AW37" s="18"/>
      <c r="AX37" s="18"/>
      <c r="AY37" s="19"/>
    </row>
    <row r="38" spans="1:51">
      <c r="A38" s="26"/>
      <c r="B38" s="15"/>
      <c r="C38" s="15"/>
      <c r="D38" s="15"/>
      <c r="E38" s="27"/>
      <c r="F38" s="27"/>
      <c r="G38" s="15"/>
      <c r="H38" s="15"/>
      <c r="I38" s="15"/>
      <c r="J38" s="15"/>
      <c r="K38" s="15"/>
      <c r="L38" s="15"/>
      <c r="M38" s="15"/>
      <c r="N38" s="15"/>
      <c r="O38" s="28"/>
      <c r="P38" s="15"/>
      <c r="Q38" s="15"/>
      <c r="R38" s="15"/>
      <c r="S38" s="15"/>
      <c r="T38" s="15"/>
      <c r="U38" s="15"/>
      <c r="V38" s="15"/>
      <c r="W38" s="15"/>
      <c r="X38" s="15"/>
      <c r="Y38" s="15"/>
      <c r="Z38" s="15"/>
      <c r="AA38" s="15"/>
      <c r="AB38" s="15"/>
      <c r="AC38" s="16"/>
      <c r="AD38" s="16"/>
      <c r="AE38" s="16"/>
      <c r="AF38" s="16"/>
      <c r="AG38" s="16"/>
      <c r="AH38" s="16"/>
      <c r="AI38" s="16"/>
      <c r="AJ38" s="16"/>
      <c r="AK38" s="16"/>
      <c r="AL38" s="17"/>
      <c r="AM38" s="18"/>
      <c r="AN38" s="18"/>
      <c r="AO38" s="18"/>
      <c r="AP38" s="18"/>
      <c r="AQ38" s="18"/>
      <c r="AR38" s="18"/>
      <c r="AS38" s="18"/>
      <c r="AT38" s="18"/>
      <c r="AU38" s="18"/>
      <c r="AV38" s="18"/>
      <c r="AW38" s="18"/>
      <c r="AX38" s="18"/>
      <c r="AY38" s="19"/>
    </row>
    <row r="39" spans="1:51">
      <c r="A39" s="26"/>
      <c r="B39" s="15"/>
      <c r="C39" s="15"/>
      <c r="D39" s="15"/>
      <c r="E39" s="27"/>
      <c r="F39" s="27"/>
      <c r="G39" s="15"/>
      <c r="H39" s="15"/>
      <c r="I39" s="15"/>
      <c r="J39" s="15"/>
      <c r="K39" s="15"/>
      <c r="L39" s="15"/>
      <c r="M39" s="15"/>
      <c r="N39" s="15"/>
      <c r="O39" s="28"/>
      <c r="P39" s="15"/>
      <c r="Q39" s="15"/>
      <c r="R39" s="15"/>
      <c r="S39" s="15"/>
      <c r="T39" s="15"/>
      <c r="U39" s="15"/>
      <c r="V39" s="15"/>
      <c r="W39" s="15"/>
      <c r="X39" s="15"/>
      <c r="Y39" s="15"/>
      <c r="Z39" s="15"/>
      <c r="AA39" s="15"/>
      <c r="AB39" s="15"/>
      <c r="AC39" s="16"/>
      <c r="AD39" s="16"/>
      <c r="AE39" s="16"/>
      <c r="AF39" s="16"/>
      <c r="AG39" s="16"/>
      <c r="AH39" s="16"/>
      <c r="AI39" s="16"/>
      <c r="AJ39" s="16"/>
      <c r="AK39" s="16"/>
      <c r="AL39" s="17"/>
      <c r="AM39" s="18"/>
      <c r="AS39" s="18"/>
      <c r="AT39" s="18"/>
      <c r="AU39" s="18"/>
      <c r="AV39" s="18"/>
      <c r="AW39" s="18"/>
      <c r="AX39" s="18"/>
      <c r="AY39" s="19"/>
    </row>
    <row r="40" spans="1:51">
      <c r="A40" s="9"/>
      <c r="AL40" s="29"/>
      <c r="AX40" s="20"/>
      <c r="AY40" s="10"/>
    </row>
    <row r="41" spans="1:51">
      <c r="A41" s="9"/>
      <c r="B41" s="26">
        <v>1</v>
      </c>
      <c r="C41" s="15" t="s">
        <v>428</v>
      </c>
      <c r="D41" s="15"/>
      <c r="E41" s="15"/>
      <c r="F41" s="27"/>
      <c r="G41" s="27"/>
      <c r="H41" s="15"/>
      <c r="I41" s="15"/>
      <c r="J41" s="15"/>
      <c r="K41" s="15"/>
      <c r="L41" s="223" t="s">
        <v>429</v>
      </c>
      <c r="M41" s="15"/>
      <c r="N41" s="15"/>
      <c r="O41" s="15"/>
      <c r="P41" s="28"/>
      <c r="Q41" s="15"/>
      <c r="R41" s="15"/>
      <c r="S41" s="15"/>
      <c r="T41" s="15"/>
      <c r="U41" s="15"/>
      <c r="AL41" s="29"/>
      <c r="AV41" s="20"/>
      <c r="AW41" s="20"/>
      <c r="AX41" s="20"/>
      <c r="AY41" s="10"/>
    </row>
    <row r="42" spans="1:51">
      <c r="A42" s="9"/>
      <c r="B42" s="26">
        <v>2</v>
      </c>
      <c r="C42" s="15" t="s">
        <v>430</v>
      </c>
      <c r="D42" s="15"/>
      <c r="E42" s="15"/>
      <c r="F42" s="27"/>
      <c r="G42" s="27"/>
      <c r="H42" s="15"/>
      <c r="I42" s="15"/>
      <c r="J42" s="15"/>
      <c r="K42" s="15"/>
      <c r="L42" s="223" t="s">
        <v>431</v>
      </c>
      <c r="M42" s="15"/>
      <c r="N42" s="15"/>
      <c r="O42" s="15"/>
      <c r="P42" s="28"/>
      <c r="Q42" s="15"/>
      <c r="R42" s="15"/>
      <c r="S42" s="15"/>
      <c r="T42" s="15"/>
      <c r="U42" s="15"/>
      <c r="AL42" s="29"/>
      <c r="AV42" s="20"/>
      <c r="AW42" s="20"/>
      <c r="AX42" s="20"/>
      <c r="AY42" s="10"/>
    </row>
    <row r="43" spans="1:51">
      <c r="A43" s="9"/>
      <c r="B43" s="26">
        <v>3</v>
      </c>
      <c r="C43" s="15" t="s">
        <v>433</v>
      </c>
      <c r="D43" s="15"/>
      <c r="E43" s="15"/>
      <c r="F43" s="27"/>
      <c r="G43" s="27"/>
      <c r="H43" s="15"/>
      <c r="I43" s="15"/>
      <c r="J43" s="15"/>
      <c r="K43" s="15"/>
      <c r="L43" s="223" t="s">
        <v>432</v>
      </c>
      <c r="M43" s="15"/>
      <c r="N43" s="15"/>
      <c r="O43" s="15"/>
      <c r="P43" s="28"/>
      <c r="Q43" s="15"/>
      <c r="R43" s="15"/>
      <c r="S43" s="15"/>
      <c r="T43" s="15"/>
      <c r="U43" s="15"/>
      <c r="AL43" s="29"/>
      <c r="AV43" s="20"/>
      <c r="AW43" s="20"/>
      <c r="AX43" s="20"/>
      <c r="AY43" s="10"/>
    </row>
    <row r="44" spans="1:51">
      <c r="A44" s="9"/>
      <c r="AL44" s="29"/>
      <c r="AV44" s="20"/>
      <c r="AW44" s="20"/>
      <c r="AX44" s="20"/>
      <c r="AY44" s="10"/>
    </row>
    <row r="45" spans="1:51">
      <c r="A45" s="9"/>
      <c r="AL45" s="29"/>
      <c r="AN45" s="18"/>
      <c r="AV45" s="20"/>
      <c r="AW45" s="20"/>
      <c r="AX45" s="20"/>
      <c r="AY45" s="10"/>
    </row>
    <row r="46" spans="1:51">
      <c r="A46" s="3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4"/>
      <c r="AM46" s="62"/>
      <c r="AN46" s="62"/>
      <c r="AO46" s="62"/>
      <c r="AP46" s="62"/>
      <c r="AQ46" s="62"/>
      <c r="AR46" s="62"/>
      <c r="AS46" s="62"/>
      <c r="AT46" s="62"/>
      <c r="AU46" s="62"/>
      <c r="AV46" s="33"/>
      <c r="AW46" s="33"/>
      <c r="AX46" s="33"/>
      <c r="AY46" s="35"/>
    </row>
    <row r="47" spans="1:51" ht="16.899999999999999" customHeight="1">
      <c r="A47" s="311" t="s">
        <v>3</v>
      </c>
      <c r="B47" s="312"/>
      <c r="C47" s="312"/>
      <c r="D47" s="312"/>
      <c r="E47" s="312"/>
      <c r="F47" s="312"/>
      <c r="G47" s="312"/>
      <c r="H47" s="312"/>
      <c r="I47" s="312"/>
      <c r="J47" s="312"/>
      <c r="K47" s="312"/>
      <c r="L47" s="312"/>
      <c r="M47" s="312"/>
      <c r="N47" s="312"/>
      <c r="O47" s="313"/>
      <c r="P47" s="314" t="s">
        <v>383</v>
      </c>
      <c r="Q47" s="315"/>
      <c r="R47" s="315"/>
      <c r="S47" s="315"/>
      <c r="T47" s="315"/>
      <c r="U47" s="315"/>
      <c r="V47" s="315"/>
      <c r="W47" s="315"/>
      <c r="X47" s="315"/>
      <c r="Y47" s="315"/>
      <c r="Z47" s="315"/>
      <c r="AA47" s="315"/>
      <c r="AB47" s="315"/>
      <c r="AC47" s="315"/>
      <c r="AD47" s="315"/>
      <c r="AE47" s="315"/>
      <c r="AF47" s="315"/>
      <c r="AG47" s="315"/>
      <c r="AH47" s="315"/>
      <c r="AI47" s="315"/>
      <c r="AJ47" s="315"/>
      <c r="AK47" s="315"/>
      <c r="AL47" s="316"/>
      <c r="AM47" s="317"/>
      <c r="AN47" s="317"/>
      <c r="AO47" s="317"/>
      <c r="AP47" s="317"/>
      <c r="AQ47" s="317"/>
      <c r="AR47" s="317"/>
      <c r="AS47" s="317"/>
      <c r="AT47" s="317"/>
      <c r="AU47" s="317"/>
      <c r="AV47" s="317"/>
      <c r="AW47" s="317"/>
      <c r="AX47" s="317"/>
      <c r="AY47" s="318"/>
    </row>
    <row r="48" spans="1:51">
      <c r="A48" s="26"/>
      <c r="B48" s="15"/>
      <c r="C48" s="15"/>
      <c r="D48" s="15"/>
      <c r="E48" s="27"/>
      <c r="F48" s="27"/>
      <c r="G48" s="15"/>
      <c r="H48" s="15"/>
      <c r="I48" s="15"/>
      <c r="J48" s="15"/>
      <c r="K48" s="15"/>
      <c r="L48" s="15"/>
      <c r="M48" s="15"/>
      <c r="N48" s="15"/>
      <c r="O48" s="28"/>
      <c r="P48" s="15"/>
      <c r="Q48" s="15"/>
      <c r="R48" s="15"/>
      <c r="S48" s="15"/>
      <c r="T48" s="15"/>
      <c r="U48" s="15"/>
      <c r="V48" s="15"/>
      <c r="W48" s="15"/>
      <c r="X48" s="15"/>
      <c r="Y48" s="15"/>
      <c r="Z48" s="15"/>
      <c r="AA48" s="15"/>
      <c r="AB48" s="15"/>
      <c r="AC48" s="16"/>
      <c r="AD48" s="16"/>
      <c r="AE48" s="16"/>
      <c r="AF48" s="16"/>
      <c r="AG48" s="16"/>
      <c r="AH48" s="16"/>
      <c r="AI48" s="16"/>
      <c r="AJ48" s="16"/>
      <c r="AK48" s="16"/>
      <c r="AL48" s="17"/>
      <c r="AM48" s="218" t="s">
        <v>406</v>
      </c>
      <c r="AN48" s="18"/>
      <c r="AO48" s="18"/>
      <c r="AP48" s="18"/>
      <c r="AQ48" s="18"/>
      <c r="AR48" s="18"/>
      <c r="AS48" s="18"/>
      <c r="AT48" s="18"/>
      <c r="AU48" s="18"/>
      <c r="AV48" s="18"/>
      <c r="AW48" s="18"/>
      <c r="AX48" s="16"/>
      <c r="AY48" s="19"/>
    </row>
    <row r="49" spans="1:51">
      <c r="A49" s="26"/>
      <c r="B49" s="15"/>
      <c r="C49" s="15"/>
      <c r="D49" s="15"/>
      <c r="E49" s="27"/>
      <c r="F49" s="27"/>
      <c r="G49" s="15"/>
      <c r="H49" s="15"/>
      <c r="I49" s="15"/>
      <c r="J49" s="15"/>
      <c r="K49" s="15"/>
      <c r="L49" s="15"/>
      <c r="M49" s="15"/>
      <c r="N49" s="15"/>
      <c r="O49" s="28"/>
      <c r="P49" s="15"/>
      <c r="Q49" s="15"/>
      <c r="R49" s="15"/>
      <c r="S49" s="15"/>
      <c r="T49" s="15"/>
      <c r="U49" s="15"/>
      <c r="V49" s="15"/>
      <c r="W49" s="15"/>
      <c r="X49" s="15"/>
      <c r="Y49" s="15"/>
      <c r="Z49" s="15"/>
      <c r="AA49" s="15"/>
      <c r="AB49" s="15"/>
      <c r="AC49" s="16"/>
      <c r="AD49" s="16"/>
      <c r="AE49" s="16"/>
      <c r="AF49" s="16"/>
      <c r="AG49" s="16"/>
      <c r="AH49" s="16"/>
      <c r="AI49" s="16"/>
      <c r="AJ49" s="16"/>
      <c r="AK49" s="16"/>
      <c r="AL49" s="17"/>
      <c r="AM49" s="15" t="s">
        <v>407</v>
      </c>
      <c r="AN49" s="18"/>
      <c r="AP49" s="18"/>
      <c r="AQ49" s="18"/>
      <c r="AR49" s="18"/>
      <c r="AS49" s="18"/>
      <c r="AT49" s="18"/>
      <c r="AU49" s="18"/>
      <c r="AV49" s="18"/>
      <c r="AW49" s="18"/>
      <c r="AX49" s="18"/>
      <c r="AY49" s="19"/>
    </row>
    <row r="50" spans="1:51">
      <c r="A50" s="26"/>
      <c r="B50" s="15"/>
      <c r="C50" s="15"/>
      <c r="D50" s="15"/>
      <c r="E50" s="27"/>
      <c r="F50" s="27"/>
      <c r="G50" s="15"/>
      <c r="H50" s="15"/>
      <c r="I50" s="15"/>
      <c r="J50" s="15"/>
      <c r="K50" s="15"/>
      <c r="L50" s="15"/>
      <c r="M50" s="15"/>
      <c r="N50" s="15"/>
      <c r="O50" s="28"/>
      <c r="P50" s="15"/>
      <c r="Q50" s="15"/>
      <c r="R50" s="15"/>
      <c r="S50" s="15"/>
      <c r="T50" s="15"/>
      <c r="U50" s="15"/>
      <c r="V50" s="15"/>
      <c r="W50" s="15"/>
      <c r="X50" s="15"/>
      <c r="Y50" s="15"/>
      <c r="Z50" s="15"/>
      <c r="AA50" s="15"/>
      <c r="AB50" s="15"/>
      <c r="AC50" s="16"/>
      <c r="AD50" s="16"/>
      <c r="AE50" s="16"/>
      <c r="AF50" s="16"/>
      <c r="AG50" s="16"/>
      <c r="AH50" s="16"/>
      <c r="AI50" s="16"/>
      <c r="AJ50" s="16"/>
      <c r="AK50" s="16"/>
      <c r="AL50" s="17"/>
      <c r="AM50" s="15" t="s">
        <v>408</v>
      </c>
      <c r="AN50" s="18"/>
      <c r="AO50" s="18"/>
      <c r="AP50" s="18"/>
      <c r="AQ50" s="18"/>
      <c r="AR50" s="18"/>
      <c r="AS50" s="18"/>
      <c r="AT50" s="18"/>
      <c r="AU50" s="18"/>
      <c r="AV50" s="18"/>
      <c r="AW50" s="18"/>
      <c r="AX50" s="18"/>
      <c r="AY50" s="19"/>
    </row>
    <row r="51" spans="1:51">
      <c r="A51" s="26"/>
      <c r="B51" s="15"/>
      <c r="C51" s="15"/>
      <c r="D51" s="15"/>
      <c r="E51" s="27"/>
      <c r="F51" s="27"/>
      <c r="G51" s="15"/>
      <c r="H51" s="15"/>
      <c r="I51" s="15"/>
      <c r="J51" s="15"/>
      <c r="K51" s="15"/>
      <c r="L51" s="15"/>
      <c r="M51" s="15"/>
      <c r="N51" s="15"/>
      <c r="O51" s="28"/>
      <c r="P51" s="15"/>
      <c r="Q51" s="15"/>
      <c r="R51" s="15"/>
      <c r="S51" s="15"/>
      <c r="T51" s="15"/>
      <c r="U51" s="15"/>
      <c r="V51" s="15"/>
      <c r="W51" s="15"/>
      <c r="X51" s="15"/>
      <c r="Y51" s="15"/>
      <c r="Z51" s="15"/>
      <c r="AA51" s="15"/>
      <c r="AB51" s="15"/>
      <c r="AC51" s="16"/>
      <c r="AD51" s="16"/>
      <c r="AE51" s="16"/>
      <c r="AF51" s="16"/>
      <c r="AG51" s="16"/>
      <c r="AH51" s="16"/>
      <c r="AI51" s="16"/>
      <c r="AJ51" s="16"/>
      <c r="AK51" s="16"/>
      <c r="AL51" s="17"/>
      <c r="AM51" s="15" t="s">
        <v>422</v>
      </c>
      <c r="AN51" s="18"/>
      <c r="AO51" s="18"/>
      <c r="AP51" s="18"/>
      <c r="AQ51" s="18"/>
      <c r="AR51" s="18"/>
      <c r="AS51" s="18"/>
      <c r="AT51" s="18"/>
      <c r="AU51" s="18"/>
      <c r="AV51" s="18"/>
      <c r="AW51" s="18"/>
      <c r="AX51" s="18"/>
      <c r="AY51" s="19"/>
    </row>
    <row r="52" spans="1:51">
      <c r="A52" s="26"/>
      <c r="B52" s="15"/>
      <c r="C52" s="15"/>
      <c r="D52" s="15"/>
      <c r="E52" s="27"/>
      <c r="F52" s="27"/>
      <c r="G52" s="15"/>
      <c r="H52" s="15"/>
      <c r="I52" s="15"/>
      <c r="J52" s="15"/>
      <c r="K52" s="15"/>
      <c r="L52" s="15"/>
      <c r="M52" s="15"/>
      <c r="N52" s="15"/>
      <c r="O52" s="28"/>
      <c r="P52" s="15"/>
      <c r="Q52" s="15"/>
      <c r="R52" s="15"/>
      <c r="S52" s="15"/>
      <c r="T52" s="15"/>
      <c r="U52" s="15"/>
      <c r="V52" s="15"/>
      <c r="W52" s="15"/>
      <c r="X52" s="15"/>
      <c r="Y52" s="15"/>
      <c r="Z52" s="15"/>
      <c r="AA52" s="15"/>
      <c r="AC52" s="16"/>
      <c r="AD52" s="16"/>
      <c r="AE52" s="16"/>
      <c r="AF52" s="16"/>
      <c r="AG52" s="16"/>
      <c r="AH52" s="16"/>
      <c r="AI52" s="16"/>
      <c r="AJ52" s="16"/>
      <c r="AK52" s="16"/>
      <c r="AL52" s="17"/>
      <c r="AM52" s="18"/>
      <c r="AN52" s="18"/>
      <c r="AO52" s="18"/>
      <c r="AP52" s="18"/>
      <c r="AQ52" s="18"/>
      <c r="AR52" s="18"/>
      <c r="AS52" s="18"/>
      <c r="AT52" s="18"/>
      <c r="AU52" s="18"/>
      <c r="AV52" s="18"/>
      <c r="AW52" s="18"/>
      <c r="AX52" s="18"/>
      <c r="AY52" s="19"/>
    </row>
    <row r="53" spans="1:51">
      <c r="A53" s="26"/>
      <c r="B53" s="15"/>
      <c r="C53" s="15"/>
      <c r="D53" s="15"/>
      <c r="E53" s="27"/>
      <c r="F53" s="27"/>
      <c r="G53" s="15"/>
      <c r="H53" s="15"/>
      <c r="I53" s="15"/>
      <c r="J53" s="15"/>
      <c r="K53" s="15"/>
      <c r="L53" s="15"/>
      <c r="M53" s="15"/>
      <c r="N53" s="15"/>
      <c r="O53" s="28"/>
      <c r="P53" s="15"/>
      <c r="Q53" s="15"/>
      <c r="R53" s="15"/>
      <c r="S53" s="15"/>
      <c r="T53" s="15"/>
      <c r="U53" s="15"/>
      <c r="V53" s="15"/>
      <c r="W53" s="15"/>
      <c r="X53" s="15"/>
      <c r="Y53" s="15"/>
      <c r="Z53" s="15"/>
      <c r="AA53" s="15"/>
      <c r="AC53" s="16"/>
      <c r="AD53" s="16"/>
      <c r="AE53" s="16"/>
      <c r="AF53" s="16"/>
      <c r="AG53" s="16"/>
      <c r="AH53" s="16"/>
      <c r="AI53" s="16"/>
      <c r="AJ53" s="16"/>
      <c r="AK53" s="16"/>
      <c r="AL53" s="17"/>
      <c r="AM53" s="18" t="s">
        <v>423</v>
      </c>
      <c r="AN53" s="18"/>
      <c r="AO53" s="18"/>
      <c r="AP53" s="18"/>
      <c r="AQ53" s="18"/>
      <c r="AR53" s="18"/>
      <c r="AS53" s="18"/>
      <c r="AT53" s="18"/>
      <c r="AU53" s="18"/>
      <c r="AV53" s="18"/>
      <c r="AW53" s="18"/>
      <c r="AX53" s="18"/>
      <c r="AY53" s="19"/>
    </row>
    <row r="54" spans="1:51">
      <c r="A54" s="26"/>
      <c r="B54" s="15" t="s">
        <v>391</v>
      </c>
      <c r="C54" s="15"/>
      <c r="D54" s="15"/>
      <c r="E54" s="27"/>
      <c r="F54" s="27"/>
      <c r="G54" s="15"/>
      <c r="H54" s="15"/>
      <c r="I54" s="15"/>
      <c r="J54" s="15"/>
      <c r="K54" s="15"/>
      <c r="L54" s="15"/>
      <c r="M54" s="15"/>
      <c r="N54" s="15"/>
      <c r="O54" s="28"/>
      <c r="P54" s="15"/>
      <c r="Q54" s="15"/>
      <c r="R54" s="15"/>
      <c r="S54" s="15"/>
      <c r="T54" s="15"/>
      <c r="U54" s="15"/>
      <c r="V54" s="15"/>
      <c r="W54" s="15"/>
      <c r="X54" s="15"/>
      <c r="Y54" s="15"/>
      <c r="Z54" s="15"/>
      <c r="AA54" s="15"/>
      <c r="AC54" s="16"/>
      <c r="AD54" s="16"/>
      <c r="AE54" s="16"/>
      <c r="AF54" s="16"/>
      <c r="AG54" s="16"/>
      <c r="AH54" s="16"/>
      <c r="AI54" s="16"/>
      <c r="AJ54" s="16"/>
      <c r="AK54" s="16"/>
      <c r="AL54" s="17"/>
      <c r="AM54" s="18" t="s">
        <v>424</v>
      </c>
      <c r="AN54" s="18"/>
      <c r="AO54" s="18"/>
      <c r="AP54" s="18"/>
      <c r="AQ54" s="18"/>
      <c r="AR54" s="18"/>
      <c r="AS54" s="18"/>
      <c r="AT54" s="18"/>
      <c r="AU54" s="18"/>
      <c r="AV54" s="18"/>
      <c r="AW54" s="18"/>
      <c r="AX54" s="18"/>
      <c r="AY54" s="19"/>
    </row>
    <row r="55" spans="1:51">
      <c r="A55" s="26"/>
      <c r="B55" s="15" t="s">
        <v>425</v>
      </c>
      <c r="C55" s="15"/>
      <c r="D55" s="15"/>
      <c r="E55" s="27"/>
      <c r="F55" s="27"/>
      <c r="G55" s="15"/>
      <c r="H55" s="15"/>
      <c r="I55" s="15"/>
      <c r="J55" s="15"/>
      <c r="K55" s="15"/>
      <c r="L55" s="15"/>
      <c r="M55" s="15"/>
      <c r="N55" s="15"/>
      <c r="O55" s="28"/>
      <c r="P55" s="15"/>
      <c r="Q55" s="15"/>
      <c r="R55" s="15"/>
      <c r="S55" s="15"/>
      <c r="T55" s="15"/>
      <c r="U55" s="15"/>
      <c r="V55" s="15"/>
      <c r="W55" s="15"/>
      <c r="X55" s="15"/>
      <c r="Y55" s="15"/>
      <c r="Z55" s="15"/>
      <c r="AA55" s="15"/>
      <c r="AC55" s="16"/>
      <c r="AD55" s="16"/>
      <c r="AE55" s="16"/>
      <c r="AF55" s="16"/>
      <c r="AG55" s="16"/>
      <c r="AH55" s="16"/>
      <c r="AI55" s="16"/>
      <c r="AJ55" s="16"/>
      <c r="AK55" s="16"/>
      <c r="AL55" s="17"/>
      <c r="AM55" s="18"/>
      <c r="AN55" s="18"/>
      <c r="AO55" s="18"/>
      <c r="AP55" s="18"/>
      <c r="AQ55" s="18"/>
      <c r="AR55" s="18"/>
      <c r="AS55" s="18"/>
      <c r="AT55" s="18"/>
      <c r="AU55" s="18"/>
      <c r="AV55" s="18"/>
      <c r="AW55" s="18"/>
      <c r="AX55" s="18"/>
      <c r="AY55" s="19"/>
    </row>
    <row r="56" spans="1:51">
      <c r="A56" s="26"/>
      <c r="B56" s="15" t="s">
        <v>392</v>
      </c>
      <c r="C56" s="15"/>
      <c r="D56" s="15"/>
      <c r="E56" s="27"/>
      <c r="F56" s="27"/>
      <c r="G56" s="15"/>
      <c r="H56" s="15"/>
      <c r="I56" s="15"/>
      <c r="J56" s="15"/>
      <c r="K56" s="15"/>
      <c r="L56" s="15"/>
      <c r="M56" s="15"/>
      <c r="N56" s="15"/>
      <c r="O56" s="28"/>
      <c r="P56" s="15"/>
      <c r="Q56" s="15"/>
      <c r="R56" s="15"/>
      <c r="S56" s="15"/>
      <c r="T56" s="15"/>
      <c r="U56" s="15"/>
      <c r="V56" s="15"/>
      <c r="W56" s="15"/>
      <c r="X56" s="15"/>
      <c r="Y56" s="15"/>
      <c r="Z56" s="15"/>
      <c r="AA56" s="15"/>
      <c r="AB56" s="15"/>
      <c r="AC56" s="16"/>
      <c r="AD56" s="16"/>
      <c r="AE56" s="16"/>
      <c r="AF56" s="16"/>
      <c r="AG56" s="16"/>
      <c r="AH56" s="16"/>
      <c r="AI56" s="16"/>
      <c r="AJ56" s="16"/>
      <c r="AK56" s="16"/>
      <c r="AL56" s="17"/>
      <c r="AM56" s="30"/>
      <c r="AN56" s="18"/>
      <c r="AO56" s="18"/>
      <c r="AP56" s="18"/>
      <c r="AQ56" s="18"/>
      <c r="AR56" s="18"/>
      <c r="AS56" s="18"/>
      <c r="AT56" s="18"/>
      <c r="AU56" s="18"/>
      <c r="AV56" s="18"/>
      <c r="AW56" s="18"/>
      <c r="AX56" s="18"/>
      <c r="AY56" s="19"/>
    </row>
    <row r="57" spans="1:51">
      <c r="A57" s="26"/>
      <c r="B57" s="1" t="s">
        <v>393</v>
      </c>
      <c r="C57" s="15"/>
      <c r="D57" s="15"/>
      <c r="E57" s="27"/>
      <c r="F57" s="27"/>
      <c r="G57" s="15"/>
      <c r="H57" s="15"/>
      <c r="I57" s="15"/>
      <c r="J57" s="15"/>
      <c r="K57" s="15"/>
      <c r="L57" s="15"/>
      <c r="M57" s="15"/>
      <c r="N57" s="15"/>
      <c r="O57" s="28"/>
      <c r="P57" s="15"/>
      <c r="Q57" s="15"/>
      <c r="R57" s="15"/>
      <c r="S57" s="15"/>
      <c r="T57" s="15"/>
      <c r="U57" s="15"/>
      <c r="V57" s="15"/>
      <c r="W57" s="15"/>
      <c r="X57" s="15"/>
      <c r="Y57" s="15"/>
      <c r="Z57" s="15"/>
      <c r="AA57" s="15"/>
      <c r="AB57" s="15"/>
      <c r="AC57" s="16"/>
      <c r="AD57" s="16"/>
      <c r="AE57" s="16"/>
      <c r="AF57" s="16"/>
      <c r="AG57" s="16"/>
      <c r="AH57" s="16"/>
      <c r="AI57" s="16"/>
      <c r="AJ57" s="16"/>
      <c r="AK57" s="16"/>
      <c r="AL57" s="17"/>
      <c r="AM57" s="18"/>
      <c r="AN57" s="18"/>
      <c r="AO57" s="18"/>
      <c r="AP57" s="18"/>
      <c r="AQ57" s="18"/>
      <c r="AR57" s="18"/>
      <c r="AS57" s="18"/>
      <c r="AT57" s="18"/>
      <c r="AU57" s="18"/>
      <c r="AV57" s="18"/>
      <c r="AW57" s="18"/>
      <c r="AX57" s="18"/>
      <c r="AY57" s="19"/>
    </row>
    <row r="58" spans="1:51">
      <c r="A58" s="26"/>
      <c r="B58" s="15"/>
      <c r="C58" s="15"/>
      <c r="D58" s="15"/>
      <c r="E58" s="27"/>
      <c r="F58" s="27"/>
      <c r="G58" s="15"/>
      <c r="H58" s="15"/>
      <c r="I58" s="15"/>
      <c r="J58" s="15"/>
      <c r="K58" s="15"/>
      <c r="L58" s="15"/>
      <c r="M58" s="15"/>
      <c r="N58" s="15"/>
      <c r="O58" s="28"/>
      <c r="P58" s="15"/>
      <c r="Q58" s="15"/>
      <c r="R58" s="15"/>
      <c r="S58" s="15"/>
      <c r="T58" s="15"/>
      <c r="U58" s="15"/>
      <c r="V58" s="15"/>
      <c r="W58" s="15"/>
      <c r="X58" s="15"/>
      <c r="Y58" s="15"/>
      <c r="Z58" s="15"/>
      <c r="AA58" s="15"/>
      <c r="AB58" s="15"/>
      <c r="AC58" s="16"/>
      <c r="AD58" s="16"/>
      <c r="AE58" s="16"/>
      <c r="AF58" s="16"/>
      <c r="AG58" s="16"/>
      <c r="AH58" s="16"/>
      <c r="AI58" s="16"/>
      <c r="AJ58" s="16"/>
      <c r="AK58" s="16"/>
      <c r="AL58" s="17"/>
      <c r="AM58" s="18"/>
      <c r="AS58" s="18"/>
      <c r="AT58" s="18"/>
      <c r="AU58" s="18"/>
      <c r="AV58" s="18"/>
      <c r="AW58" s="18"/>
      <c r="AX58" s="18"/>
      <c r="AY58" s="19"/>
    </row>
    <row r="59" spans="1:51">
      <c r="A59" s="9"/>
      <c r="B59" s="1" t="s">
        <v>426</v>
      </c>
      <c r="AL59" s="29"/>
      <c r="AX59" s="20"/>
      <c r="AY59" s="10"/>
    </row>
    <row r="60" spans="1:51">
      <c r="A60" s="9"/>
      <c r="AL60" s="29"/>
      <c r="AV60" s="20"/>
      <c r="AW60" s="20"/>
      <c r="AX60" s="20"/>
      <c r="AY60" s="10"/>
    </row>
    <row r="61" spans="1:51">
      <c r="A61" s="9"/>
      <c r="AL61" s="29"/>
      <c r="AV61" s="20"/>
      <c r="AW61" s="20"/>
      <c r="AX61" s="20"/>
      <c r="AY61" s="10"/>
    </row>
    <row r="62" spans="1:51">
      <c r="A62" s="9"/>
      <c r="AL62" s="29"/>
      <c r="AV62" s="20"/>
      <c r="AW62" s="20"/>
      <c r="AX62" s="20"/>
      <c r="AY62" s="10"/>
    </row>
    <row r="63" spans="1:51">
      <c r="A63" s="9"/>
      <c r="AL63" s="29"/>
      <c r="AV63" s="20"/>
      <c r="AW63" s="20"/>
      <c r="AX63" s="20"/>
      <c r="AY63" s="10"/>
    </row>
    <row r="64" spans="1:51">
      <c r="A64" s="9"/>
      <c r="AL64" s="29"/>
      <c r="AN64" s="18"/>
      <c r="AV64" s="20"/>
      <c r="AW64" s="20"/>
      <c r="AX64" s="20"/>
      <c r="AY64" s="10"/>
    </row>
    <row r="65" spans="1:51">
      <c r="A65" s="32"/>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4"/>
      <c r="AM65" s="62"/>
      <c r="AN65" s="62"/>
      <c r="AO65" s="62"/>
      <c r="AP65" s="62"/>
      <c r="AQ65" s="62"/>
      <c r="AR65" s="62"/>
      <c r="AS65" s="62"/>
      <c r="AT65" s="62"/>
      <c r="AU65" s="62"/>
      <c r="AV65" s="33"/>
      <c r="AW65" s="33"/>
      <c r="AX65" s="33"/>
      <c r="AY65" s="35"/>
    </row>
    <row r="66" spans="1:51" ht="16.899999999999999" customHeight="1">
      <c r="A66" s="311" t="s">
        <v>3</v>
      </c>
      <c r="B66" s="312"/>
      <c r="C66" s="312"/>
      <c r="D66" s="312"/>
      <c r="E66" s="312"/>
      <c r="F66" s="312"/>
      <c r="G66" s="312"/>
      <c r="H66" s="312"/>
      <c r="I66" s="312"/>
      <c r="J66" s="312"/>
      <c r="K66" s="312"/>
      <c r="L66" s="312"/>
      <c r="M66" s="312"/>
      <c r="N66" s="312"/>
      <c r="O66" s="313"/>
      <c r="P66" s="314" t="s">
        <v>46</v>
      </c>
      <c r="Q66" s="315"/>
      <c r="R66" s="315"/>
      <c r="S66" s="315"/>
      <c r="T66" s="315"/>
      <c r="U66" s="315"/>
      <c r="V66" s="315"/>
      <c r="W66" s="315"/>
      <c r="X66" s="315"/>
      <c r="Y66" s="315"/>
      <c r="Z66" s="315"/>
      <c r="AA66" s="315"/>
      <c r="AB66" s="315"/>
      <c r="AC66" s="315"/>
      <c r="AD66" s="315"/>
      <c r="AE66" s="315"/>
      <c r="AF66" s="315"/>
      <c r="AG66" s="315"/>
      <c r="AH66" s="315"/>
      <c r="AI66" s="315"/>
      <c r="AJ66" s="315"/>
      <c r="AK66" s="315"/>
      <c r="AL66" s="316"/>
      <c r="AM66" s="317"/>
      <c r="AN66" s="317"/>
      <c r="AO66" s="317"/>
      <c r="AP66" s="317"/>
      <c r="AQ66" s="317"/>
      <c r="AR66" s="317"/>
      <c r="AS66" s="317"/>
      <c r="AT66" s="317"/>
      <c r="AU66" s="317"/>
      <c r="AV66" s="317"/>
      <c r="AW66" s="317"/>
      <c r="AX66" s="317"/>
      <c r="AY66" s="318"/>
    </row>
    <row r="67" spans="1:51">
      <c r="A67" s="26"/>
      <c r="B67" s="15"/>
      <c r="C67" s="15"/>
      <c r="D67" s="15"/>
      <c r="E67" s="27"/>
      <c r="F67" s="27"/>
      <c r="G67" s="15"/>
      <c r="H67" s="15"/>
      <c r="I67" s="15"/>
      <c r="J67" s="15"/>
      <c r="K67" s="15"/>
      <c r="L67" s="15"/>
      <c r="M67" s="15"/>
      <c r="N67" s="15"/>
      <c r="O67" s="28"/>
      <c r="P67" s="15"/>
      <c r="Q67" s="15"/>
      <c r="R67" s="15"/>
      <c r="S67" s="15"/>
      <c r="T67" s="15"/>
      <c r="U67" s="15"/>
      <c r="V67" s="15"/>
      <c r="W67" s="15"/>
      <c r="X67" s="15"/>
      <c r="Y67" s="15"/>
      <c r="Z67" s="15"/>
      <c r="AA67" s="15"/>
      <c r="AB67" s="15"/>
      <c r="AC67" s="16"/>
      <c r="AD67" s="16"/>
      <c r="AE67" s="16"/>
      <c r="AF67" s="16"/>
      <c r="AG67" s="16"/>
      <c r="AH67" s="16"/>
      <c r="AI67" s="16"/>
      <c r="AJ67" s="16"/>
      <c r="AK67" s="16"/>
      <c r="AL67" s="17"/>
      <c r="AM67" s="18"/>
      <c r="AN67" s="18"/>
      <c r="AO67" s="18"/>
      <c r="AP67" s="18"/>
      <c r="AQ67" s="18"/>
      <c r="AR67" s="18"/>
      <c r="AS67" s="18"/>
      <c r="AT67" s="18"/>
      <c r="AU67" s="18"/>
      <c r="AV67" s="18"/>
      <c r="AW67" s="18"/>
      <c r="AX67" s="16"/>
      <c r="AY67" s="19"/>
    </row>
    <row r="68" spans="1:51">
      <c r="A68" s="26"/>
      <c r="B68" s="15"/>
      <c r="C68" s="15"/>
      <c r="D68" s="15"/>
      <c r="E68" s="27"/>
      <c r="F68" s="27"/>
      <c r="G68" s="15"/>
      <c r="H68" s="15"/>
      <c r="I68" s="15"/>
      <c r="J68" s="15"/>
      <c r="K68" s="15"/>
      <c r="L68" s="15"/>
      <c r="M68" s="15"/>
      <c r="N68" s="15"/>
      <c r="O68" s="28"/>
      <c r="P68" s="15"/>
      <c r="Q68" s="15"/>
      <c r="R68" s="15"/>
      <c r="S68" s="15"/>
      <c r="T68" s="15"/>
      <c r="U68" s="15"/>
      <c r="V68" s="15"/>
      <c r="W68" s="15"/>
      <c r="X68" s="15"/>
      <c r="Y68" s="15"/>
      <c r="Z68" s="15"/>
      <c r="AA68" s="15"/>
      <c r="AB68" s="15"/>
      <c r="AC68" s="16"/>
      <c r="AD68" s="16"/>
      <c r="AE68" s="16"/>
      <c r="AF68" s="16"/>
      <c r="AG68" s="16"/>
      <c r="AH68" s="16"/>
      <c r="AI68" s="16"/>
      <c r="AJ68" s="16"/>
      <c r="AK68" s="16"/>
      <c r="AL68" s="17"/>
      <c r="AM68" s="18"/>
      <c r="AN68" s="18"/>
      <c r="AP68" s="18"/>
      <c r="AQ68" s="18"/>
      <c r="AR68" s="18"/>
      <c r="AS68" s="18"/>
      <c r="AT68" s="18"/>
      <c r="AU68" s="18"/>
      <c r="AV68" s="18"/>
      <c r="AW68" s="18"/>
      <c r="AX68" s="18"/>
      <c r="AY68" s="19"/>
    </row>
    <row r="69" spans="1:51">
      <c r="A69" s="26"/>
      <c r="B69" s="15"/>
      <c r="C69" s="15"/>
      <c r="D69" s="15"/>
      <c r="E69" s="27"/>
      <c r="F69" s="27"/>
      <c r="G69" s="15"/>
      <c r="H69" s="15"/>
      <c r="I69" s="15"/>
      <c r="J69" s="15"/>
      <c r="K69" s="15"/>
      <c r="L69" s="15"/>
      <c r="M69" s="15"/>
      <c r="N69" s="15"/>
      <c r="O69" s="28"/>
      <c r="P69" s="15"/>
      <c r="Q69" s="15"/>
      <c r="R69" s="15"/>
      <c r="S69" s="15"/>
      <c r="T69" s="15"/>
      <c r="U69" s="15"/>
      <c r="V69" s="15"/>
      <c r="W69" s="15"/>
      <c r="X69" s="15"/>
      <c r="Y69" s="15"/>
      <c r="Z69" s="15"/>
      <c r="AA69" s="15"/>
      <c r="AB69" s="15"/>
      <c r="AC69" s="16"/>
      <c r="AD69" s="16"/>
      <c r="AE69" s="16"/>
      <c r="AF69" s="16"/>
      <c r="AG69" s="16"/>
      <c r="AH69" s="16"/>
      <c r="AI69" s="16"/>
      <c r="AJ69" s="16"/>
      <c r="AK69" s="16"/>
      <c r="AL69" s="17"/>
      <c r="AN69" s="18"/>
      <c r="AO69" s="18"/>
      <c r="AP69" s="18"/>
      <c r="AQ69" s="18"/>
      <c r="AR69" s="18"/>
      <c r="AS69" s="18"/>
      <c r="AT69" s="18"/>
      <c r="AU69" s="18"/>
      <c r="AV69" s="18"/>
      <c r="AW69" s="18"/>
      <c r="AX69" s="18"/>
      <c r="AY69" s="19"/>
    </row>
    <row r="70" spans="1:51">
      <c r="A70" s="26"/>
      <c r="B70" s="15"/>
      <c r="C70" s="15"/>
      <c r="D70" s="15"/>
      <c r="E70" s="27"/>
      <c r="F70" s="27"/>
      <c r="G70" s="15"/>
      <c r="H70" s="15"/>
      <c r="I70" s="15"/>
      <c r="J70" s="15"/>
      <c r="K70" s="15"/>
      <c r="L70" s="15"/>
      <c r="M70" s="15"/>
      <c r="N70" s="15"/>
      <c r="O70" s="28"/>
      <c r="P70" s="15"/>
      <c r="Q70" s="15"/>
      <c r="R70" s="15"/>
      <c r="S70" s="15"/>
      <c r="T70" s="15"/>
      <c r="U70" s="15"/>
      <c r="V70" s="15"/>
      <c r="W70" s="15"/>
      <c r="X70" s="15"/>
      <c r="Y70" s="15"/>
      <c r="Z70" s="15"/>
      <c r="AA70" s="15"/>
      <c r="AB70" s="15"/>
      <c r="AC70" s="16"/>
      <c r="AD70" s="16"/>
      <c r="AE70" s="16"/>
      <c r="AF70" s="16"/>
      <c r="AG70" s="16"/>
      <c r="AH70" s="16"/>
      <c r="AI70" s="16"/>
      <c r="AJ70" s="16"/>
      <c r="AK70" s="16"/>
      <c r="AL70" s="17"/>
      <c r="AM70" s="18"/>
      <c r="AN70" s="18"/>
      <c r="AO70" s="18"/>
      <c r="AP70" s="18"/>
      <c r="AQ70" s="18"/>
      <c r="AR70" s="18"/>
      <c r="AS70" s="18"/>
      <c r="AT70" s="18"/>
      <c r="AU70" s="18"/>
      <c r="AV70" s="18"/>
      <c r="AW70" s="18"/>
      <c r="AX70" s="18"/>
      <c r="AY70" s="19"/>
    </row>
    <row r="71" spans="1:51">
      <c r="A71" s="26"/>
      <c r="B71" s="15"/>
      <c r="C71" s="15"/>
      <c r="D71" s="15"/>
      <c r="E71" s="27"/>
      <c r="F71" s="27"/>
      <c r="G71" s="15"/>
      <c r="H71" s="15"/>
      <c r="I71" s="15"/>
      <c r="J71" s="15"/>
      <c r="K71" s="15"/>
      <c r="L71" s="15"/>
      <c r="M71" s="15"/>
      <c r="N71" s="15"/>
      <c r="O71" s="28"/>
      <c r="P71" s="15"/>
      <c r="Q71" s="15"/>
      <c r="R71" s="15"/>
      <c r="S71" s="15"/>
      <c r="T71" s="15"/>
      <c r="U71" s="15"/>
      <c r="V71" s="15"/>
      <c r="W71" s="15"/>
      <c r="X71" s="15"/>
      <c r="Y71" s="15"/>
      <c r="Z71" s="15"/>
      <c r="AA71" s="15"/>
      <c r="AB71" s="15"/>
      <c r="AC71" s="16"/>
      <c r="AD71" s="16"/>
      <c r="AE71" s="16"/>
      <c r="AF71" s="16"/>
      <c r="AG71" s="16"/>
      <c r="AH71" s="16"/>
      <c r="AI71" s="16"/>
      <c r="AJ71" s="16"/>
      <c r="AK71" s="16"/>
      <c r="AL71" s="17"/>
      <c r="AM71" s="18"/>
      <c r="AN71" s="18"/>
      <c r="AO71" s="18"/>
      <c r="AP71" s="18"/>
      <c r="AQ71" s="18"/>
      <c r="AR71" s="18"/>
      <c r="AS71" s="18"/>
      <c r="AT71" s="18"/>
      <c r="AU71" s="18"/>
      <c r="AV71" s="18"/>
      <c r="AW71" s="18"/>
      <c r="AX71" s="18"/>
      <c r="AY71" s="19"/>
    </row>
    <row r="72" spans="1:51">
      <c r="A72" s="26"/>
      <c r="B72" s="15"/>
      <c r="C72" s="15"/>
      <c r="D72" s="15"/>
      <c r="E72" s="27"/>
      <c r="F72" s="27"/>
      <c r="G72" s="15"/>
      <c r="H72" s="15"/>
      <c r="I72" s="15"/>
      <c r="J72" s="15"/>
      <c r="K72" s="15"/>
      <c r="L72" s="15"/>
      <c r="M72" s="15"/>
      <c r="N72" s="15"/>
      <c r="O72" s="28"/>
      <c r="P72" s="15"/>
      <c r="Q72" s="15"/>
      <c r="R72" s="15"/>
      <c r="S72" s="15"/>
      <c r="T72" s="15"/>
      <c r="U72" s="15"/>
      <c r="V72" s="15"/>
      <c r="W72" s="15"/>
      <c r="X72" s="15"/>
      <c r="Y72" s="15"/>
      <c r="Z72" s="15"/>
      <c r="AA72" s="15"/>
      <c r="AB72" s="15"/>
      <c r="AC72" s="16"/>
      <c r="AD72" s="16"/>
      <c r="AE72" s="16"/>
      <c r="AF72" s="16"/>
      <c r="AG72" s="16"/>
      <c r="AH72" s="16"/>
      <c r="AI72" s="16"/>
      <c r="AJ72" s="16"/>
      <c r="AK72" s="16"/>
      <c r="AL72" s="17"/>
      <c r="AM72" s="18"/>
      <c r="AN72" s="18"/>
      <c r="AO72" s="18"/>
      <c r="AP72" s="18"/>
      <c r="AQ72" s="18"/>
      <c r="AR72" s="18"/>
      <c r="AS72" s="18"/>
      <c r="AT72" s="18"/>
      <c r="AU72" s="18"/>
      <c r="AV72" s="18"/>
      <c r="AW72" s="18"/>
      <c r="AX72" s="18"/>
      <c r="AY72" s="19"/>
    </row>
    <row r="73" spans="1:51">
      <c r="A73" s="26"/>
      <c r="B73" s="15"/>
      <c r="C73" s="15"/>
      <c r="D73" s="15"/>
      <c r="E73" s="27"/>
      <c r="F73" s="27"/>
      <c r="G73" s="15"/>
      <c r="H73" s="15"/>
      <c r="I73" s="15"/>
      <c r="J73" s="15"/>
      <c r="K73" s="15"/>
      <c r="L73" s="15"/>
      <c r="M73" s="15"/>
      <c r="N73" s="15"/>
      <c r="O73" s="28"/>
      <c r="P73" s="15"/>
      <c r="Q73" s="15"/>
      <c r="R73" s="15"/>
      <c r="S73" s="15"/>
      <c r="T73" s="15"/>
      <c r="U73" s="15"/>
      <c r="V73" s="15"/>
      <c r="W73" s="15"/>
      <c r="X73" s="15"/>
      <c r="Y73" s="15"/>
      <c r="Z73" s="15"/>
      <c r="AA73" s="15"/>
      <c r="AB73" s="15"/>
      <c r="AC73" s="16"/>
      <c r="AD73" s="16"/>
      <c r="AE73" s="16"/>
      <c r="AF73" s="16"/>
      <c r="AG73" s="16"/>
      <c r="AH73" s="16"/>
      <c r="AI73" s="16"/>
      <c r="AJ73" s="16"/>
      <c r="AK73" s="16"/>
      <c r="AL73" s="17"/>
      <c r="AM73" s="18"/>
      <c r="AN73" s="18"/>
      <c r="AO73" s="18"/>
      <c r="AP73" s="18"/>
      <c r="AQ73" s="18"/>
      <c r="AR73" s="18"/>
      <c r="AS73" s="18"/>
      <c r="AT73" s="18"/>
      <c r="AU73" s="18"/>
      <c r="AV73" s="18"/>
      <c r="AW73" s="18"/>
      <c r="AX73" s="18"/>
      <c r="AY73" s="19"/>
    </row>
    <row r="74" spans="1:51">
      <c r="A74" s="26"/>
      <c r="B74" s="15"/>
      <c r="C74" s="15"/>
      <c r="D74" s="15"/>
      <c r="E74" s="27"/>
      <c r="F74" s="27"/>
      <c r="G74" s="15"/>
      <c r="H74" s="15"/>
      <c r="I74" s="15"/>
      <c r="J74" s="15"/>
      <c r="K74" s="15"/>
      <c r="L74" s="15"/>
      <c r="M74" s="15"/>
      <c r="N74" s="15"/>
      <c r="O74" s="28"/>
      <c r="P74" s="15"/>
      <c r="Q74" s="15"/>
      <c r="R74" s="15"/>
      <c r="S74" s="15"/>
      <c r="T74" s="15"/>
      <c r="U74" s="15"/>
      <c r="V74" s="15"/>
      <c r="W74" s="15"/>
      <c r="X74" s="15"/>
      <c r="Y74" s="15"/>
      <c r="Z74" s="15"/>
      <c r="AA74" s="15"/>
      <c r="AB74" s="15"/>
      <c r="AC74" s="16"/>
      <c r="AD74" s="16"/>
      <c r="AE74" s="16"/>
      <c r="AF74" s="16"/>
      <c r="AG74" s="16"/>
      <c r="AH74" s="16"/>
      <c r="AI74" s="16"/>
      <c r="AJ74" s="16"/>
      <c r="AK74" s="16"/>
      <c r="AL74" s="17"/>
      <c r="AM74" s="18"/>
      <c r="AN74" s="18"/>
      <c r="AO74" s="18"/>
      <c r="AP74" s="18"/>
      <c r="AQ74" s="18"/>
      <c r="AR74" s="18"/>
      <c r="AS74" s="18"/>
      <c r="AT74" s="18"/>
      <c r="AU74" s="18"/>
      <c r="AV74" s="18"/>
      <c r="AW74" s="18"/>
      <c r="AX74" s="18"/>
      <c r="AY74" s="19"/>
    </row>
    <row r="75" spans="1:51">
      <c r="A75" s="26"/>
      <c r="B75" s="15"/>
      <c r="C75" s="15"/>
      <c r="D75" s="15"/>
      <c r="E75" s="27"/>
      <c r="F75" s="27"/>
      <c r="G75" s="15"/>
      <c r="H75" s="15"/>
      <c r="I75" s="15"/>
      <c r="J75" s="15"/>
      <c r="K75" s="15"/>
      <c r="L75" s="15"/>
      <c r="M75" s="15"/>
      <c r="N75" s="15"/>
      <c r="O75" s="28"/>
      <c r="P75" s="15"/>
      <c r="Q75" s="15"/>
      <c r="R75" s="15"/>
      <c r="S75" s="15"/>
      <c r="T75" s="15"/>
      <c r="U75" s="15"/>
      <c r="V75" s="15"/>
      <c r="W75" s="15"/>
      <c r="X75" s="15"/>
      <c r="Y75" s="15"/>
      <c r="Z75" s="15"/>
      <c r="AA75" s="15"/>
      <c r="AB75" s="15"/>
      <c r="AC75" s="16"/>
      <c r="AD75" s="16"/>
      <c r="AE75" s="16"/>
      <c r="AF75" s="16"/>
      <c r="AG75" s="16"/>
      <c r="AH75" s="16"/>
      <c r="AI75" s="16"/>
      <c r="AJ75" s="16"/>
      <c r="AK75" s="16"/>
      <c r="AL75" s="17"/>
      <c r="AM75" s="30"/>
      <c r="AN75" s="18"/>
      <c r="AO75" s="18"/>
      <c r="AP75" s="18"/>
      <c r="AQ75" s="18"/>
      <c r="AR75" s="18"/>
      <c r="AS75" s="18"/>
      <c r="AT75" s="18"/>
      <c r="AU75" s="18"/>
      <c r="AV75" s="18"/>
      <c r="AW75" s="18"/>
      <c r="AX75" s="18"/>
      <c r="AY75" s="19"/>
    </row>
    <row r="76" spans="1:51">
      <c r="A76" s="26"/>
      <c r="B76" s="15"/>
      <c r="C76" s="15"/>
      <c r="D76" s="15"/>
      <c r="E76" s="27"/>
      <c r="F76" s="27"/>
      <c r="G76" s="15"/>
      <c r="H76" s="15"/>
      <c r="I76" s="15"/>
      <c r="J76" s="15"/>
      <c r="K76" s="15"/>
      <c r="L76" s="15"/>
      <c r="M76" s="15"/>
      <c r="N76" s="15"/>
      <c r="O76" s="28"/>
      <c r="P76" s="15"/>
      <c r="Q76" s="15"/>
      <c r="R76" s="15"/>
      <c r="S76" s="15"/>
      <c r="T76" s="15"/>
      <c r="U76" s="15"/>
      <c r="V76" s="15"/>
      <c r="W76" s="15"/>
      <c r="X76" s="15"/>
      <c r="Y76" s="15"/>
      <c r="Z76" s="15"/>
      <c r="AA76" s="15"/>
      <c r="AB76" s="15"/>
      <c r="AC76" s="16"/>
      <c r="AD76" s="16"/>
      <c r="AE76" s="16"/>
      <c r="AF76" s="16"/>
      <c r="AG76" s="16"/>
      <c r="AH76" s="16"/>
      <c r="AI76" s="16"/>
      <c r="AJ76" s="16"/>
      <c r="AK76" s="16"/>
      <c r="AL76" s="17"/>
      <c r="AM76" s="18"/>
      <c r="AN76" s="18"/>
      <c r="AO76" s="18"/>
      <c r="AP76" s="18"/>
      <c r="AQ76" s="18"/>
      <c r="AR76" s="18"/>
      <c r="AS76" s="18"/>
      <c r="AT76" s="18"/>
      <c r="AU76" s="18"/>
      <c r="AV76" s="18"/>
      <c r="AW76" s="18"/>
      <c r="AX76" s="18"/>
      <c r="AY76" s="19"/>
    </row>
    <row r="77" spans="1:51">
      <c r="A77" s="26"/>
      <c r="B77" s="15"/>
      <c r="C77" s="15"/>
      <c r="D77" s="15"/>
      <c r="E77" s="27"/>
      <c r="F77" s="27"/>
      <c r="G77" s="15"/>
      <c r="H77" s="15"/>
      <c r="I77" s="15"/>
      <c r="J77" s="15"/>
      <c r="K77" s="15"/>
      <c r="L77" s="15"/>
      <c r="M77" s="15"/>
      <c r="N77" s="15"/>
      <c r="O77" s="28"/>
      <c r="P77" s="15"/>
      <c r="Q77" s="15"/>
      <c r="R77" s="15"/>
      <c r="S77" s="15"/>
      <c r="T77" s="15"/>
      <c r="U77" s="15"/>
      <c r="V77" s="15"/>
      <c r="W77" s="15"/>
      <c r="X77" s="15"/>
      <c r="Y77" s="15"/>
      <c r="Z77" s="15"/>
      <c r="AA77" s="15"/>
      <c r="AB77" s="15"/>
      <c r="AC77" s="16"/>
      <c r="AD77" s="16"/>
      <c r="AE77" s="16"/>
      <c r="AF77" s="16"/>
      <c r="AG77" s="16"/>
      <c r="AH77" s="16"/>
      <c r="AI77" s="16"/>
      <c r="AJ77" s="16"/>
      <c r="AK77" s="16"/>
      <c r="AL77" s="17"/>
      <c r="AM77" s="18"/>
      <c r="AS77" s="18"/>
      <c r="AT77" s="18"/>
      <c r="AU77" s="18"/>
      <c r="AV77" s="18"/>
      <c r="AW77" s="18"/>
      <c r="AX77" s="18"/>
      <c r="AY77" s="19"/>
    </row>
    <row r="78" spans="1:51">
      <c r="A78" s="9"/>
      <c r="AL78" s="29"/>
      <c r="AX78" s="20"/>
      <c r="AY78" s="10"/>
    </row>
    <row r="79" spans="1:51">
      <c r="A79" s="9"/>
      <c r="AL79" s="29"/>
      <c r="AV79" s="20"/>
      <c r="AW79" s="20"/>
      <c r="AX79" s="20"/>
      <c r="AY79" s="10"/>
    </row>
    <row r="80" spans="1:51">
      <c r="A80" s="9"/>
      <c r="AL80" s="29"/>
      <c r="AV80" s="20"/>
      <c r="AW80" s="20"/>
      <c r="AX80" s="20"/>
      <c r="AY80" s="10"/>
    </row>
    <row r="81" spans="1:51">
      <c r="A81" s="9"/>
      <c r="AL81" s="29"/>
      <c r="AM81" s="22" t="s">
        <v>4</v>
      </c>
      <c r="AV81" s="20"/>
      <c r="AW81" s="20"/>
      <c r="AX81" s="20"/>
      <c r="AY81" s="10"/>
    </row>
    <row r="82" spans="1:51">
      <c r="A82" s="9"/>
      <c r="AL82" s="29"/>
      <c r="AV82" s="20"/>
      <c r="AW82" s="20"/>
      <c r="AX82" s="20"/>
      <c r="AY82" s="10"/>
    </row>
    <row r="83" spans="1:51">
      <c r="A83" s="9"/>
      <c r="AL83" s="29"/>
      <c r="AN83" s="18"/>
      <c r="AV83" s="20"/>
      <c r="AW83" s="20"/>
      <c r="AX83" s="20"/>
      <c r="AY83" s="10"/>
    </row>
    <row r="84" spans="1:51">
      <c r="A84" s="32"/>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4"/>
      <c r="AM84" s="62"/>
      <c r="AN84" s="62"/>
      <c r="AO84" s="62"/>
      <c r="AP84" s="62"/>
      <c r="AQ84" s="62"/>
      <c r="AR84" s="62"/>
      <c r="AS84" s="62"/>
      <c r="AT84" s="62"/>
      <c r="AU84" s="62"/>
      <c r="AV84" s="33"/>
      <c r="AW84" s="33"/>
      <c r="AX84" s="33"/>
      <c r="AY84" s="35"/>
    </row>
    <row r="85" spans="1:51" ht="16.899999999999999" customHeight="1">
      <c r="A85" s="311" t="s">
        <v>3</v>
      </c>
      <c r="B85" s="312"/>
      <c r="C85" s="312"/>
      <c r="D85" s="312"/>
      <c r="E85" s="312"/>
      <c r="F85" s="312"/>
      <c r="G85" s="312"/>
      <c r="H85" s="312"/>
      <c r="I85" s="312"/>
      <c r="J85" s="312"/>
      <c r="K85" s="312"/>
      <c r="L85" s="312"/>
      <c r="M85" s="312"/>
      <c r="N85" s="312"/>
      <c r="O85" s="313"/>
      <c r="P85" s="314" t="s">
        <v>47</v>
      </c>
      <c r="Q85" s="315"/>
      <c r="R85" s="315"/>
      <c r="S85" s="315"/>
      <c r="T85" s="315"/>
      <c r="U85" s="315"/>
      <c r="V85" s="315"/>
      <c r="W85" s="315"/>
      <c r="X85" s="315"/>
      <c r="Y85" s="315"/>
      <c r="Z85" s="315"/>
      <c r="AA85" s="315"/>
      <c r="AB85" s="315"/>
      <c r="AC85" s="315"/>
      <c r="AD85" s="315"/>
      <c r="AE85" s="315"/>
      <c r="AF85" s="315"/>
      <c r="AG85" s="315"/>
      <c r="AH85" s="315"/>
      <c r="AI85" s="315"/>
      <c r="AJ85" s="315"/>
      <c r="AK85" s="315"/>
      <c r="AL85" s="316"/>
      <c r="AM85" s="317"/>
      <c r="AN85" s="317"/>
      <c r="AO85" s="317"/>
      <c r="AP85" s="317"/>
      <c r="AQ85" s="317"/>
      <c r="AR85" s="317"/>
      <c r="AS85" s="317"/>
      <c r="AT85" s="317"/>
      <c r="AU85" s="317"/>
      <c r="AV85" s="317"/>
      <c r="AW85" s="317"/>
      <c r="AX85" s="317"/>
      <c r="AY85" s="318"/>
    </row>
    <row r="86" spans="1:51">
      <c r="A86" s="26"/>
      <c r="B86" s="15"/>
      <c r="C86" s="15"/>
      <c r="D86" s="15"/>
      <c r="E86" s="27"/>
      <c r="F86" s="27"/>
      <c r="G86" s="15"/>
      <c r="H86" s="15"/>
      <c r="I86" s="15"/>
      <c r="J86" s="15"/>
      <c r="K86" s="15"/>
      <c r="L86" s="15"/>
      <c r="M86" s="15"/>
      <c r="N86" s="15"/>
      <c r="O86" s="28"/>
      <c r="P86" s="15"/>
      <c r="Q86" s="15"/>
      <c r="R86" s="15"/>
      <c r="S86" s="15"/>
      <c r="T86" s="15"/>
      <c r="U86" s="15"/>
      <c r="V86" s="15"/>
      <c r="W86" s="15"/>
      <c r="X86" s="15"/>
      <c r="Y86" s="15"/>
      <c r="Z86" s="15"/>
      <c r="AA86" s="15"/>
      <c r="AB86" s="15"/>
      <c r="AC86" s="16"/>
      <c r="AD86" s="16"/>
      <c r="AE86" s="16"/>
      <c r="AF86" s="16"/>
      <c r="AG86" s="16"/>
      <c r="AH86" s="16"/>
      <c r="AI86" s="16"/>
      <c r="AJ86" s="16"/>
      <c r="AK86" s="16"/>
      <c r="AL86" s="17"/>
      <c r="AM86" s="31" t="s">
        <v>73</v>
      </c>
      <c r="AN86" s="18"/>
      <c r="AO86" s="18"/>
      <c r="AP86" s="18"/>
      <c r="AQ86" s="18"/>
      <c r="AR86" s="18"/>
      <c r="AS86" s="18"/>
      <c r="AT86" s="18"/>
      <c r="AU86" s="18"/>
      <c r="AV86" s="18"/>
      <c r="AW86" s="18"/>
      <c r="AX86" s="16"/>
      <c r="AY86" s="19"/>
    </row>
    <row r="87" spans="1:51">
      <c r="A87" s="26"/>
      <c r="B87" s="15"/>
      <c r="C87" s="15"/>
      <c r="D87" s="15"/>
      <c r="E87" s="27"/>
      <c r="F87" s="27"/>
      <c r="G87" s="15"/>
      <c r="H87" s="15"/>
      <c r="I87" s="15"/>
      <c r="J87" s="15"/>
      <c r="K87" s="15"/>
      <c r="L87" s="15"/>
      <c r="M87" s="15"/>
      <c r="N87" s="15"/>
      <c r="O87" s="28"/>
      <c r="P87" s="15"/>
      <c r="Q87" s="15"/>
      <c r="R87" s="15"/>
      <c r="S87" s="15"/>
      <c r="T87" s="15"/>
      <c r="U87" s="15"/>
      <c r="V87" s="15"/>
      <c r="W87" s="15"/>
      <c r="X87" s="15"/>
      <c r="Y87" s="15"/>
      <c r="Z87" s="15"/>
      <c r="AA87" s="15"/>
      <c r="AB87" s="15"/>
      <c r="AC87" s="16"/>
      <c r="AD87" s="16"/>
      <c r="AE87" s="16"/>
      <c r="AF87" s="16"/>
      <c r="AG87" s="16"/>
      <c r="AH87" s="16"/>
      <c r="AI87" s="16"/>
      <c r="AJ87" s="16"/>
      <c r="AK87" s="16"/>
      <c r="AL87" s="17"/>
      <c r="AN87" s="18"/>
      <c r="AP87" s="18"/>
      <c r="AQ87" s="18"/>
      <c r="AR87" s="18"/>
      <c r="AS87" s="18"/>
      <c r="AT87" s="18"/>
      <c r="AU87" s="18"/>
      <c r="AV87" s="18"/>
      <c r="AW87" s="18"/>
      <c r="AX87" s="18"/>
      <c r="AY87" s="19"/>
    </row>
    <row r="88" spans="1:51">
      <c r="A88" s="26"/>
      <c r="B88" s="15"/>
      <c r="C88" s="15"/>
      <c r="D88" s="15"/>
      <c r="E88" s="27"/>
      <c r="F88" s="27"/>
      <c r="G88" s="15"/>
      <c r="H88" s="15"/>
      <c r="I88" s="15"/>
      <c r="J88" s="15"/>
      <c r="K88" s="15"/>
      <c r="L88" s="15"/>
      <c r="M88" s="15"/>
      <c r="N88" s="15"/>
      <c r="O88" s="28"/>
      <c r="P88" s="15"/>
      <c r="Q88" s="15"/>
      <c r="R88" s="15"/>
      <c r="S88" s="15"/>
      <c r="T88" s="15"/>
      <c r="U88" s="15"/>
      <c r="V88" s="15"/>
      <c r="W88" s="15"/>
      <c r="X88" s="15"/>
      <c r="Y88" s="15"/>
      <c r="Z88" s="15"/>
      <c r="AA88" s="15"/>
      <c r="AB88" s="15"/>
      <c r="AC88" s="16"/>
      <c r="AD88" s="16"/>
      <c r="AE88" s="16"/>
      <c r="AF88" s="16"/>
      <c r="AG88" s="16"/>
      <c r="AH88" s="16"/>
      <c r="AI88" s="16"/>
      <c r="AJ88" s="16"/>
      <c r="AK88" s="16"/>
      <c r="AL88" s="17"/>
      <c r="AM88" s="52" t="s">
        <v>48</v>
      </c>
      <c r="AN88" s="18"/>
      <c r="AO88" s="18"/>
      <c r="AP88" s="18"/>
      <c r="AQ88" s="18"/>
      <c r="AR88" s="18"/>
      <c r="AS88" s="18"/>
      <c r="AT88" s="18"/>
      <c r="AU88" s="18"/>
      <c r="AV88" s="18"/>
      <c r="AW88" s="18"/>
      <c r="AX88" s="18"/>
      <c r="AY88" s="19"/>
    </row>
    <row r="89" spans="1:51">
      <c r="A89" s="26"/>
      <c r="B89" s="15"/>
      <c r="C89" s="15"/>
      <c r="D89" s="15"/>
      <c r="E89" s="27"/>
      <c r="F89" s="27"/>
      <c r="G89" s="15"/>
      <c r="H89" s="15"/>
      <c r="I89" s="15"/>
      <c r="J89" s="15"/>
      <c r="K89" s="15"/>
      <c r="L89" s="15"/>
      <c r="M89" s="15"/>
      <c r="N89" s="15"/>
      <c r="O89" s="28"/>
      <c r="P89" s="15"/>
      <c r="Q89" s="15"/>
      <c r="R89" s="15"/>
      <c r="S89" s="15"/>
      <c r="T89" s="15"/>
      <c r="U89" s="15"/>
      <c r="V89" s="15"/>
      <c r="W89" s="15"/>
      <c r="X89" s="15"/>
      <c r="Y89" s="15"/>
      <c r="Z89" s="15"/>
      <c r="AA89" s="15"/>
      <c r="AB89" s="15"/>
      <c r="AC89" s="16"/>
      <c r="AD89" s="16"/>
      <c r="AE89" s="16"/>
      <c r="AF89" s="16"/>
      <c r="AG89" s="16"/>
      <c r="AH89" s="16"/>
      <c r="AI89" s="16"/>
      <c r="AJ89" s="16"/>
      <c r="AK89" s="16"/>
      <c r="AL89" s="17"/>
      <c r="AM89" s="18" t="s">
        <v>49</v>
      </c>
      <c r="AN89" s="18"/>
      <c r="AO89" s="18"/>
      <c r="AP89" s="18"/>
      <c r="AQ89" s="18"/>
      <c r="AR89" s="18"/>
      <c r="AS89" s="18"/>
      <c r="AT89" s="18"/>
      <c r="AU89" s="18"/>
      <c r="AV89" s="18"/>
      <c r="AW89" s="18"/>
      <c r="AX89" s="18"/>
      <c r="AY89" s="19"/>
    </row>
    <row r="90" spans="1:51">
      <c r="A90" s="26"/>
      <c r="B90" s="15"/>
      <c r="C90" s="15"/>
      <c r="D90" s="15"/>
      <c r="E90" s="27"/>
      <c r="F90" s="27"/>
      <c r="G90" s="15"/>
      <c r="H90" s="15"/>
      <c r="I90" s="15"/>
      <c r="J90" s="15"/>
      <c r="K90" s="15"/>
      <c r="L90" s="15"/>
      <c r="M90" s="15"/>
      <c r="N90" s="15"/>
      <c r="O90" s="28"/>
      <c r="P90" s="15"/>
      <c r="Q90" s="15"/>
      <c r="R90" s="15"/>
      <c r="S90" s="15"/>
      <c r="T90" s="15"/>
      <c r="U90" s="15"/>
      <c r="V90" s="15"/>
      <c r="W90" s="15"/>
      <c r="X90" s="15"/>
      <c r="Y90" s="15"/>
      <c r="Z90" s="15"/>
      <c r="AA90" s="15"/>
      <c r="AB90" s="15"/>
      <c r="AC90" s="16"/>
      <c r="AD90" s="16"/>
      <c r="AE90" s="16"/>
      <c r="AF90" s="16"/>
      <c r="AG90" s="16"/>
      <c r="AH90" s="16"/>
      <c r="AI90" s="16"/>
      <c r="AJ90" s="16"/>
      <c r="AK90" s="16"/>
      <c r="AL90" s="17"/>
      <c r="AM90" s="18" t="s">
        <v>50</v>
      </c>
      <c r="AN90" s="18"/>
      <c r="AO90" s="18"/>
      <c r="AP90" s="18"/>
      <c r="AQ90" s="18"/>
      <c r="AR90" s="18"/>
      <c r="AS90" s="18"/>
      <c r="AT90" s="18"/>
      <c r="AU90" s="18"/>
      <c r="AV90" s="18"/>
      <c r="AW90" s="18"/>
      <c r="AX90" s="18"/>
      <c r="AY90" s="19"/>
    </row>
    <row r="91" spans="1:51">
      <c r="A91" s="26"/>
      <c r="B91" s="15"/>
      <c r="C91" s="15"/>
      <c r="D91" s="15"/>
      <c r="E91" s="27"/>
      <c r="F91" s="27"/>
      <c r="G91" s="15"/>
      <c r="H91" s="15"/>
      <c r="I91" s="15"/>
      <c r="J91" s="15"/>
      <c r="K91" s="15"/>
      <c r="L91" s="15"/>
      <c r="M91" s="15"/>
      <c r="N91" s="15"/>
      <c r="O91" s="28"/>
      <c r="P91" s="15"/>
      <c r="Q91" s="15"/>
      <c r="R91" s="15"/>
      <c r="S91" s="15"/>
      <c r="T91" s="15"/>
      <c r="U91" s="15"/>
      <c r="V91" s="15"/>
      <c r="W91" s="15"/>
      <c r="X91" s="15"/>
      <c r="Y91" s="15"/>
      <c r="Z91" s="15"/>
      <c r="AA91" s="15"/>
      <c r="AB91" s="15"/>
      <c r="AC91" s="16"/>
      <c r="AD91" s="16"/>
      <c r="AE91" s="16"/>
      <c r="AF91" s="16"/>
      <c r="AG91" s="16"/>
      <c r="AH91" s="16"/>
      <c r="AI91" s="16"/>
      <c r="AJ91" s="16"/>
      <c r="AK91" s="16"/>
      <c r="AL91" s="17"/>
      <c r="AM91" s="52" t="s">
        <v>51</v>
      </c>
      <c r="AN91" s="18"/>
      <c r="AO91" s="18"/>
      <c r="AP91" s="18"/>
      <c r="AQ91" s="18"/>
      <c r="AR91" s="18"/>
      <c r="AS91" s="18"/>
      <c r="AT91" s="18"/>
      <c r="AU91" s="18"/>
      <c r="AV91" s="18"/>
      <c r="AW91" s="18"/>
      <c r="AX91" s="18"/>
      <c r="AY91" s="19"/>
    </row>
    <row r="92" spans="1:51">
      <c r="A92" s="26"/>
      <c r="B92" s="15"/>
      <c r="C92" s="15"/>
      <c r="D92" s="15"/>
      <c r="E92" s="27"/>
      <c r="F92" s="27"/>
      <c r="G92" s="15"/>
      <c r="H92" s="15"/>
      <c r="I92" s="15"/>
      <c r="J92" s="15"/>
      <c r="K92" s="15"/>
      <c r="L92" s="15"/>
      <c r="M92" s="15"/>
      <c r="N92" s="15"/>
      <c r="O92" s="28"/>
      <c r="P92" s="15"/>
      <c r="Q92" s="15"/>
      <c r="R92" s="15"/>
      <c r="S92" s="15"/>
      <c r="T92" s="15"/>
      <c r="U92" s="15"/>
      <c r="V92" s="15"/>
      <c r="W92" s="15"/>
      <c r="X92" s="15"/>
      <c r="Y92" s="15"/>
      <c r="Z92" s="15"/>
      <c r="AA92" s="15"/>
      <c r="AB92" s="15"/>
      <c r="AC92" s="16"/>
      <c r="AD92" s="16"/>
      <c r="AE92" s="16"/>
      <c r="AF92" s="16"/>
      <c r="AG92" s="16"/>
      <c r="AH92" s="16"/>
      <c r="AI92" s="16"/>
      <c r="AJ92" s="16"/>
      <c r="AK92" s="16"/>
      <c r="AL92" s="17"/>
      <c r="AM92" s="55" t="s">
        <v>113</v>
      </c>
      <c r="AN92" s="18"/>
      <c r="AO92" s="18"/>
      <c r="AP92" s="18"/>
      <c r="AQ92" s="18"/>
      <c r="AR92" s="18"/>
      <c r="AS92" s="18"/>
      <c r="AT92" s="18"/>
      <c r="AU92" s="18"/>
      <c r="AV92" s="18"/>
      <c r="AW92" s="18"/>
      <c r="AX92" s="18"/>
      <c r="AY92" s="19"/>
    </row>
    <row r="93" spans="1:51">
      <c r="A93" s="26"/>
      <c r="B93" s="15"/>
      <c r="C93" s="15"/>
      <c r="D93" s="15"/>
      <c r="E93" s="27"/>
      <c r="F93" s="27"/>
      <c r="G93" s="15"/>
      <c r="H93" s="15"/>
      <c r="I93" s="15"/>
      <c r="J93" s="15"/>
      <c r="K93" s="15"/>
      <c r="L93" s="15"/>
      <c r="M93" s="15"/>
      <c r="N93" s="15"/>
      <c r="O93" s="28"/>
      <c r="P93" s="15"/>
      <c r="Q93" s="15"/>
      <c r="R93" s="15"/>
      <c r="S93" s="15"/>
      <c r="T93" s="15"/>
      <c r="U93" s="15"/>
      <c r="V93" s="15"/>
      <c r="W93" s="15"/>
      <c r="X93" s="15"/>
      <c r="Y93" s="15"/>
      <c r="Z93" s="15"/>
      <c r="AA93" s="15"/>
      <c r="AB93" s="15"/>
      <c r="AC93" s="16"/>
      <c r="AD93" s="16"/>
      <c r="AE93" s="16"/>
      <c r="AF93" s="16"/>
      <c r="AG93" s="16"/>
      <c r="AH93" s="16"/>
      <c r="AI93" s="16"/>
      <c r="AJ93" s="16"/>
      <c r="AK93" s="16"/>
      <c r="AL93" s="17"/>
      <c r="AM93" s="20" t="s">
        <v>114</v>
      </c>
      <c r="AN93" s="18"/>
      <c r="AO93" s="18"/>
      <c r="AP93" s="18"/>
      <c r="AQ93" s="18"/>
      <c r="AR93" s="18"/>
      <c r="AS93" s="18"/>
      <c r="AT93" s="18"/>
      <c r="AU93" s="18"/>
      <c r="AV93" s="18"/>
      <c r="AW93" s="18"/>
      <c r="AX93" s="18"/>
      <c r="AY93" s="19"/>
    </row>
    <row r="94" spans="1:51">
      <c r="A94" s="26"/>
      <c r="B94" s="15" t="s">
        <v>336</v>
      </c>
      <c r="C94" s="15"/>
      <c r="D94" s="15"/>
      <c r="E94" s="27"/>
      <c r="F94" s="27"/>
      <c r="G94" s="15"/>
      <c r="H94" s="15"/>
      <c r="I94" s="15"/>
      <c r="J94" s="15"/>
      <c r="K94" s="15"/>
      <c r="L94" s="15"/>
      <c r="M94" s="15"/>
      <c r="N94" s="15"/>
      <c r="O94" s="28"/>
      <c r="P94" s="15"/>
      <c r="Q94" s="15"/>
      <c r="R94" s="15"/>
      <c r="S94" s="15"/>
      <c r="T94" s="15"/>
      <c r="U94" s="15"/>
      <c r="V94" s="15"/>
      <c r="W94" s="15"/>
      <c r="X94" s="15"/>
      <c r="Y94" s="15"/>
      <c r="Z94" s="15"/>
      <c r="AA94" s="15"/>
      <c r="AB94" s="15"/>
      <c r="AC94" s="16"/>
      <c r="AD94" s="16"/>
      <c r="AE94" s="16"/>
      <c r="AF94" s="16"/>
      <c r="AG94" s="16"/>
      <c r="AH94" s="16"/>
      <c r="AI94" s="16"/>
      <c r="AJ94" s="16"/>
      <c r="AK94" s="16"/>
      <c r="AL94" s="17"/>
      <c r="AM94" s="55" t="s">
        <v>115</v>
      </c>
      <c r="AN94" s="18"/>
      <c r="AO94" s="18"/>
      <c r="AP94" s="18"/>
      <c r="AQ94" s="18"/>
      <c r="AR94" s="18"/>
      <c r="AS94" s="18"/>
      <c r="AT94" s="18"/>
      <c r="AU94" s="18"/>
      <c r="AV94" s="18"/>
      <c r="AW94" s="18"/>
      <c r="AX94" s="18"/>
      <c r="AY94" s="19"/>
    </row>
    <row r="95" spans="1:51">
      <c r="A95" s="26"/>
      <c r="B95" s="15"/>
      <c r="C95" s="15"/>
      <c r="D95" s="15"/>
      <c r="E95" s="27"/>
      <c r="F95" s="27"/>
      <c r="G95" s="15"/>
      <c r="H95" s="15"/>
      <c r="I95" s="15"/>
      <c r="J95" s="15"/>
      <c r="K95" s="15"/>
      <c r="L95" s="15"/>
      <c r="M95" s="15"/>
      <c r="N95" s="15"/>
      <c r="O95" s="28"/>
      <c r="P95" s="15"/>
      <c r="Q95" s="15"/>
      <c r="R95" s="15"/>
      <c r="S95" s="15"/>
      <c r="T95" s="15"/>
      <c r="U95" s="15"/>
      <c r="V95" s="15"/>
      <c r="W95" s="15"/>
      <c r="X95" s="15"/>
      <c r="Y95" s="15"/>
      <c r="Z95" s="15"/>
      <c r="AA95" s="15"/>
      <c r="AB95" s="15"/>
      <c r="AC95" s="16"/>
      <c r="AD95" s="16"/>
      <c r="AE95" s="16"/>
      <c r="AF95" s="16"/>
      <c r="AG95" s="16"/>
      <c r="AH95" s="16"/>
      <c r="AI95" s="16"/>
      <c r="AJ95" s="16"/>
      <c r="AK95" s="16"/>
      <c r="AL95" s="17"/>
      <c r="AM95" s="18" t="s">
        <v>52</v>
      </c>
      <c r="AN95" s="18"/>
      <c r="AO95" s="18"/>
      <c r="AP95" s="18"/>
      <c r="AQ95" s="18"/>
      <c r="AR95" s="18"/>
      <c r="AS95" s="18"/>
      <c r="AT95" s="18"/>
      <c r="AU95" s="18"/>
      <c r="AV95" s="18"/>
      <c r="AW95" s="18"/>
      <c r="AX95" s="18"/>
      <c r="AY95" s="19"/>
    </row>
    <row r="96" spans="1:51">
      <c r="A96" s="26"/>
      <c r="B96" s="15"/>
      <c r="C96" s="15"/>
      <c r="D96" s="15"/>
      <c r="E96" s="27"/>
      <c r="F96" s="27"/>
      <c r="G96" s="15"/>
      <c r="H96" s="15"/>
      <c r="I96" s="15"/>
      <c r="J96" s="15"/>
      <c r="K96" s="15"/>
      <c r="L96" s="15"/>
      <c r="M96" s="15"/>
      <c r="N96" s="15"/>
      <c r="O96" s="28"/>
      <c r="P96" s="15"/>
      <c r="Q96" s="15"/>
      <c r="R96" s="15"/>
      <c r="S96" s="15"/>
      <c r="T96" s="15"/>
      <c r="U96" s="15"/>
      <c r="V96" s="15"/>
      <c r="W96" s="15"/>
      <c r="X96" s="15"/>
      <c r="Y96" s="15"/>
      <c r="Z96" s="15"/>
      <c r="AA96" s="15"/>
      <c r="AB96" s="15"/>
      <c r="AC96" s="16"/>
      <c r="AD96" s="16"/>
      <c r="AE96" s="16"/>
      <c r="AF96" s="16"/>
      <c r="AG96" s="16"/>
      <c r="AH96" s="16"/>
      <c r="AI96" s="16"/>
      <c r="AJ96" s="16"/>
      <c r="AK96" s="16"/>
      <c r="AL96" s="17"/>
      <c r="AS96" s="18"/>
      <c r="AT96" s="18"/>
      <c r="AU96" s="18"/>
      <c r="AV96" s="18"/>
      <c r="AW96" s="18"/>
      <c r="AX96" s="18"/>
      <c r="AY96" s="19"/>
    </row>
    <row r="97" spans="1:51">
      <c r="A97" s="9"/>
      <c r="AL97" s="29"/>
      <c r="AX97" s="20"/>
      <c r="AY97" s="10"/>
    </row>
    <row r="98" spans="1:51">
      <c r="A98" s="26"/>
      <c r="B98" s="15"/>
      <c r="C98" s="15"/>
      <c r="D98" s="15"/>
      <c r="E98" s="27"/>
      <c r="F98" s="27"/>
      <c r="G98" s="15"/>
      <c r="H98" s="15"/>
      <c r="I98" s="15"/>
      <c r="J98" s="15"/>
      <c r="K98" s="15"/>
      <c r="L98" s="15"/>
      <c r="M98" s="15"/>
      <c r="N98" s="15"/>
      <c r="O98" s="28"/>
      <c r="P98" s="15"/>
      <c r="Q98" s="15"/>
      <c r="R98" s="15"/>
      <c r="S98" s="15"/>
      <c r="T98" s="15"/>
      <c r="U98" s="15"/>
      <c r="V98" s="15"/>
      <c r="W98" s="15"/>
      <c r="X98" s="15"/>
      <c r="Y98" s="15"/>
      <c r="Z98" s="15"/>
      <c r="AA98" s="15"/>
      <c r="AB98" s="15"/>
      <c r="AC98" s="16"/>
      <c r="AD98" s="16"/>
      <c r="AE98" s="16"/>
      <c r="AF98" s="16"/>
      <c r="AG98" s="16"/>
      <c r="AH98" s="16"/>
      <c r="AI98" s="16"/>
      <c r="AJ98" s="16"/>
      <c r="AK98" s="16"/>
      <c r="AL98" s="17"/>
      <c r="AM98" s="18"/>
      <c r="AN98" s="18"/>
      <c r="AO98" s="18"/>
      <c r="AP98" s="18"/>
      <c r="AQ98" s="18"/>
      <c r="AR98" s="18"/>
      <c r="AS98" s="18"/>
      <c r="AT98" s="18"/>
      <c r="AU98" s="18"/>
      <c r="AV98" s="18"/>
      <c r="AW98" s="18"/>
      <c r="AX98" s="18"/>
      <c r="AY98" s="19"/>
    </row>
    <row r="99" spans="1:51">
      <c r="A99" s="26"/>
      <c r="B99" s="15"/>
      <c r="C99" s="15"/>
      <c r="D99" s="15"/>
      <c r="E99" s="27"/>
      <c r="F99" s="27"/>
      <c r="G99" s="15"/>
      <c r="H99" s="15"/>
      <c r="I99" s="15"/>
      <c r="J99" s="15"/>
      <c r="K99" s="15"/>
      <c r="L99" s="15"/>
      <c r="M99" s="15"/>
      <c r="N99" s="15"/>
      <c r="O99" s="28"/>
      <c r="P99" s="15"/>
      <c r="Q99" s="15"/>
      <c r="R99" s="15"/>
      <c r="S99" s="15"/>
      <c r="T99" s="15"/>
      <c r="U99" s="15"/>
      <c r="V99" s="15"/>
      <c r="W99" s="15"/>
      <c r="X99" s="15"/>
      <c r="Y99" s="15"/>
      <c r="Z99" s="15"/>
      <c r="AA99" s="15"/>
      <c r="AB99" s="15"/>
      <c r="AC99" s="16"/>
      <c r="AD99" s="16"/>
      <c r="AE99" s="16"/>
      <c r="AF99" s="16"/>
      <c r="AG99" s="16"/>
      <c r="AH99" s="16"/>
      <c r="AI99" s="16"/>
      <c r="AJ99" s="16"/>
      <c r="AK99" s="16"/>
      <c r="AL99" s="17"/>
      <c r="AM99" s="30" t="s">
        <v>57</v>
      </c>
      <c r="AN99" s="18"/>
      <c r="AO99" s="18"/>
      <c r="AP99" s="18"/>
      <c r="AQ99" s="18"/>
      <c r="AR99" s="18"/>
      <c r="AS99" s="18"/>
      <c r="AT99" s="18"/>
      <c r="AU99" s="18"/>
      <c r="AV99" s="18"/>
      <c r="AW99" s="18"/>
      <c r="AX99" s="18"/>
      <c r="AY99" s="19"/>
    </row>
    <row r="100" spans="1:51">
      <c r="A100" s="26"/>
      <c r="B100" s="15"/>
      <c r="C100" s="15"/>
      <c r="D100" s="15"/>
      <c r="E100" s="27"/>
      <c r="F100" s="27"/>
      <c r="G100" s="15"/>
      <c r="H100" s="15"/>
      <c r="I100" s="15"/>
      <c r="J100" s="15"/>
      <c r="K100" s="15"/>
      <c r="L100" s="15"/>
      <c r="M100" s="15"/>
      <c r="N100" s="15"/>
      <c r="O100" s="28"/>
      <c r="P100" s="15"/>
      <c r="Q100" s="15"/>
      <c r="R100" s="15"/>
      <c r="S100" s="15"/>
      <c r="T100" s="15"/>
      <c r="U100" s="15"/>
      <c r="V100" s="15"/>
      <c r="W100" s="15"/>
      <c r="X100" s="15"/>
      <c r="Y100" s="15"/>
      <c r="Z100" s="15"/>
      <c r="AA100" s="15"/>
      <c r="AB100" s="15"/>
      <c r="AC100" s="16"/>
      <c r="AD100" s="16"/>
      <c r="AE100" s="16"/>
      <c r="AF100" s="16"/>
      <c r="AG100" s="16"/>
      <c r="AH100" s="16"/>
      <c r="AI100" s="16"/>
      <c r="AJ100" s="16"/>
      <c r="AK100" s="16"/>
      <c r="AL100" s="17"/>
      <c r="AM100" s="18" t="s">
        <v>116</v>
      </c>
      <c r="AN100" s="18"/>
      <c r="AO100" s="18"/>
      <c r="AP100" s="18"/>
      <c r="AQ100" s="18"/>
      <c r="AR100" s="18"/>
      <c r="AS100" s="18"/>
      <c r="AT100" s="18"/>
      <c r="AU100" s="18"/>
      <c r="AV100" s="18"/>
      <c r="AW100" s="18"/>
      <c r="AX100" s="18"/>
      <c r="AY100" s="19"/>
    </row>
    <row r="101" spans="1:51">
      <c r="A101" s="26"/>
      <c r="B101" s="15"/>
      <c r="C101" s="15"/>
      <c r="D101" s="15"/>
      <c r="E101" s="27"/>
      <c r="F101" s="27"/>
      <c r="G101" s="15"/>
      <c r="H101" s="15"/>
      <c r="I101" s="15"/>
      <c r="J101" s="15"/>
      <c r="K101" s="15"/>
      <c r="L101" s="15"/>
      <c r="M101" s="15"/>
      <c r="N101" s="15"/>
      <c r="O101" s="28"/>
      <c r="P101" s="15"/>
      <c r="Q101" s="15"/>
      <c r="R101" s="15"/>
      <c r="S101" s="15"/>
      <c r="T101" s="15"/>
      <c r="U101" s="15"/>
      <c r="V101" s="15"/>
      <c r="W101" s="15"/>
      <c r="X101" s="15"/>
      <c r="Y101" s="15"/>
      <c r="Z101" s="15"/>
      <c r="AA101" s="15"/>
      <c r="AB101" s="15"/>
      <c r="AC101" s="16"/>
      <c r="AD101" s="16"/>
      <c r="AE101" s="16"/>
      <c r="AF101" s="16"/>
      <c r="AG101" s="16"/>
      <c r="AH101" s="16"/>
      <c r="AI101" s="16"/>
      <c r="AJ101" s="16"/>
      <c r="AK101" s="16"/>
      <c r="AL101" s="17"/>
      <c r="AM101" s="71" t="s">
        <v>117</v>
      </c>
      <c r="AS101" s="18"/>
      <c r="AT101" s="18"/>
      <c r="AU101" s="18"/>
      <c r="AV101" s="18"/>
      <c r="AW101" s="18"/>
      <c r="AX101" s="18"/>
      <c r="AY101" s="19"/>
    </row>
    <row r="102" spans="1:51">
      <c r="A102" s="9"/>
      <c r="AL102" s="29"/>
      <c r="AX102" s="20"/>
      <c r="AY102" s="10"/>
    </row>
    <row r="103" spans="1:51">
      <c r="A103" s="9"/>
      <c r="AL103" s="29"/>
      <c r="AM103" s="20" t="s">
        <v>118</v>
      </c>
      <c r="AV103" s="20"/>
      <c r="AW103" s="20"/>
      <c r="AX103" s="20"/>
      <c r="AY103" s="10"/>
    </row>
    <row r="104" spans="1:51">
      <c r="A104" s="9"/>
      <c r="AL104" s="29"/>
      <c r="AV104" s="20"/>
      <c r="AW104" s="20"/>
      <c r="AX104" s="20"/>
      <c r="AY104" s="10"/>
    </row>
    <row r="105" spans="1:51">
      <c r="A105" s="9"/>
      <c r="AL105" s="29"/>
      <c r="AV105" s="20"/>
      <c r="AW105" s="20"/>
      <c r="AX105" s="20"/>
      <c r="AY105" s="10"/>
    </row>
    <row r="106" spans="1:51">
      <c r="A106" s="9"/>
      <c r="AL106" s="29"/>
      <c r="AV106" s="20"/>
      <c r="AW106" s="20"/>
      <c r="AX106" s="20"/>
      <c r="AY106" s="10"/>
    </row>
    <row r="107" spans="1:51">
      <c r="A107" s="9"/>
      <c r="AL107" s="29"/>
      <c r="AN107" s="18"/>
      <c r="AV107" s="20"/>
      <c r="AW107" s="20"/>
      <c r="AX107" s="20"/>
      <c r="AY107" s="10"/>
    </row>
    <row r="108" spans="1:51">
      <c r="A108" s="9"/>
      <c r="AL108" s="29"/>
      <c r="AN108" s="18"/>
      <c r="AV108" s="20"/>
      <c r="AW108" s="20"/>
      <c r="AX108" s="20"/>
      <c r="AY108" s="10"/>
    </row>
    <row r="109" spans="1:51">
      <c r="A109" s="9"/>
      <c r="AL109" s="29"/>
      <c r="AN109" s="18"/>
      <c r="AV109" s="20"/>
      <c r="AW109" s="20"/>
      <c r="AX109" s="20"/>
      <c r="AY109" s="10"/>
    </row>
    <row r="110" spans="1:51">
      <c r="A110" s="9"/>
      <c r="AL110" s="29"/>
      <c r="AN110" s="18"/>
      <c r="AV110" s="20"/>
      <c r="AW110" s="20"/>
      <c r="AX110" s="20"/>
      <c r="AY110" s="10"/>
    </row>
    <row r="111" spans="1:51">
      <c r="A111" s="9"/>
      <c r="AL111" s="29"/>
      <c r="AN111" s="18"/>
      <c r="AV111" s="20"/>
      <c r="AW111" s="20"/>
      <c r="AX111" s="20"/>
      <c r="AY111" s="10"/>
    </row>
    <row r="112" spans="1:51">
      <c r="A112" s="9"/>
      <c r="AL112" s="29"/>
      <c r="AN112" s="18"/>
      <c r="AV112" s="20"/>
      <c r="AW112" s="20"/>
      <c r="AX112" s="20"/>
      <c r="AY112" s="10"/>
    </row>
    <row r="113" spans="1:51" ht="21">
      <c r="A113" s="65" t="s">
        <v>190</v>
      </c>
      <c r="AL113" s="29"/>
      <c r="AN113" s="18"/>
      <c r="AV113" s="20"/>
      <c r="AW113" s="20"/>
      <c r="AX113" s="20"/>
      <c r="AY113" s="10"/>
    </row>
    <row r="114" spans="1:51">
      <c r="A114" s="9"/>
      <c r="AL114" s="29"/>
      <c r="AM114" s="64" t="s">
        <v>75</v>
      </c>
      <c r="AN114" s="18"/>
      <c r="AV114" s="20"/>
      <c r="AW114" s="20"/>
      <c r="AX114" s="20"/>
      <c r="AY114" s="10"/>
    </row>
    <row r="115" spans="1:51">
      <c r="A115" s="9"/>
      <c r="AL115" s="29"/>
      <c r="AM115" s="31" t="s">
        <v>53</v>
      </c>
      <c r="AN115" s="18"/>
      <c r="AV115" s="20"/>
      <c r="AW115" s="20"/>
      <c r="AX115" s="20"/>
      <c r="AY115" s="10"/>
    </row>
    <row r="116" spans="1:51">
      <c r="A116" s="9"/>
      <c r="AL116" s="29"/>
      <c r="AM116" s="63" t="s">
        <v>81</v>
      </c>
      <c r="AN116" s="18"/>
      <c r="AV116" s="20"/>
      <c r="AW116" s="20"/>
      <c r="AX116" s="20"/>
      <c r="AY116" s="10"/>
    </row>
    <row r="117" spans="1:51">
      <c r="A117" s="9"/>
      <c r="AL117" s="29"/>
      <c r="AN117" s="20" t="s">
        <v>76</v>
      </c>
      <c r="AV117" s="20"/>
      <c r="AW117" s="20"/>
      <c r="AX117" s="20"/>
      <c r="AY117" s="10"/>
    </row>
    <row r="118" spans="1:51">
      <c r="A118" s="9"/>
      <c r="AL118" s="29"/>
      <c r="AN118" s="20" t="s">
        <v>77</v>
      </c>
      <c r="AV118" s="20"/>
      <c r="AW118" s="20"/>
      <c r="AX118" s="20"/>
      <c r="AY118" s="10"/>
    </row>
    <row r="119" spans="1:51">
      <c r="A119" s="9"/>
      <c r="AL119" s="29"/>
      <c r="AN119" s="20" t="s">
        <v>78</v>
      </c>
      <c r="AV119" s="20"/>
      <c r="AW119" s="20"/>
      <c r="AX119" s="20"/>
      <c r="AY119" s="10"/>
    </row>
    <row r="120" spans="1:51">
      <c r="A120" s="9"/>
      <c r="B120" s="1" t="s">
        <v>337</v>
      </c>
      <c r="AL120" s="29"/>
      <c r="AN120" s="20" t="s">
        <v>79</v>
      </c>
      <c r="AV120" s="20"/>
      <c r="AW120" s="20"/>
      <c r="AX120" s="20"/>
      <c r="AY120" s="10"/>
    </row>
    <row r="121" spans="1:51">
      <c r="A121" s="9"/>
      <c r="AL121" s="29"/>
      <c r="AN121" s="20" t="s">
        <v>80</v>
      </c>
      <c r="AV121" s="20"/>
      <c r="AW121" s="20"/>
      <c r="AX121" s="20"/>
      <c r="AY121" s="10"/>
    </row>
    <row r="122" spans="1:51">
      <c r="A122" s="9"/>
      <c r="AL122" s="29"/>
      <c r="AN122" s="20" t="s">
        <v>97</v>
      </c>
      <c r="AR122" s="20" t="s">
        <v>98</v>
      </c>
      <c r="AS122" s="20" t="s">
        <v>98</v>
      </c>
      <c r="AV122" s="20"/>
      <c r="AW122" s="20"/>
      <c r="AX122" s="20"/>
      <c r="AY122" s="10"/>
    </row>
    <row r="123" spans="1:51">
      <c r="A123" s="9"/>
      <c r="AL123" s="29"/>
      <c r="AN123" s="20" t="s">
        <v>99</v>
      </c>
      <c r="AR123" s="20" t="s">
        <v>100</v>
      </c>
      <c r="AV123" s="20"/>
      <c r="AW123" s="20"/>
      <c r="AX123" s="20"/>
      <c r="AY123" s="10"/>
    </row>
    <row r="124" spans="1:51">
      <c r="A124" s="9"/>
      <c r="AL124" s="29"/>
      <c r="AN124" s="18" t="s">
        <v>101</v>
      </c>
      <c r="AR124" s="20" t="s">
        <v>102</v>
      </c>
      <c r="AV124" s="20"/>
      <c r="AW124" s="20"/>
      <c r="AX124" s="20"/>
      <c r="AY124" s="10"/>
    </row>
    <row r="125" spans="1:51">
      <c r="A125" s="9"/>
      <c r="AL125" s="29"/>
      <c r="AN125" s="18" t="s">
        <v>103</v>
      </c>
      <c r="AR125" s="20" t="s">
        <v>104</v>
      </c>
      <c r="AV125" s="20"/>
      <c r="AW125" s="20"/>
      <c r="AX125" s="20"/>
      <c r="AY125" s="10"/>
    </row>
    <row r="126" spans="1:51">
      <c r="A126" s="9"/>
      <c r="AL126" s="29"/>
      <c r="AN126" s="93" t="s">
        <v>216</v>
      </c>
      <c r="AV126" s="20"/>
      <c r="AW126" s="20"/>
      <c r="AX126" s="20"/>
      <c r="AY126" s="10"/>
    </row>
    <row r="127" spans="1:51">
      <c r="A127" s="9"/>
      <c r="AL127" s="29"/>
      <c r="AM127" s="63" t="s">
        <v>54</v>
      </c>
      <c r="AN127" s="18"/>
      <c r="AV127" s="20"/>
      <c r="AW127" s="20"/>
      <c r="AX127" s="20"/>
      <c r="AY127" s="10"/>
    </row>
    <row r="128" spans="1:51">
      <c r="A128" s="9"/>
      <c r="AL128" s="29"/>
      <c r="AM128" s="63" t="s">
        <v>55</v>
      </c>
      <c r="AN128" s="18"/>
      <c r="AV128" s="20"/>
      <c r="AW128" s="20"/>
      <c r="AX128" s="20"/>
      <c r="AY128" s="10"/>
    </row>
    <row r="129" spans="1:51">
      <c r="A129" s="9"/>
      <c r="AL129" s="29"/>
      <c r="AM129" s="63" t="s">
        <v>56</v>
      </c>
      <c r="AN129" s="18"/>
      <c r="AV129" s="20"/>
      <c r="AW129" s="20"/>
      <c r="AX129" s="20"/>
      <c r="AY129" s="10"/>
    </row>
    <row r="130" spans="1:51">
      <c r="A130" s="9"/>
      <c r="AL130" s="29"/>
      <c r="AN130" s="18"/>
      <c r="AV130" s="20"/>
      <c r="AW130" s="20"/>
      <c r="AX130" s="20"/>
      <c r="AY130" s="10"/>
    </row>
    <row r="131" spans="1:51">
      <c r="A131" s="9"/>
      <c r="AL131" s="29"/>
      <c r="AM131" s="56" t="s">
        <v>85</v>
      </c>
      <c r="AN131" s="18"/>
      <c r="AV131" s="20"/>
      <c r="AW131" s="20"/>
      <c r="AX131" s="20"/>
      <c r="AY131" s="10"/>
    </row>
    <row r="132" spans="1:51">
      <c r="A132" s="9"/>
      <c r="AL132" s="29"/>
      <c r="AM132" s="20" t="s">
        <v>82</v>
      </c>
      <c r="AN132" s="18"/>
      <c r="AV132" s="20"/>
      <c r="AW132" s="20"/>
      <c r="AX132" s="20"/>
      <c r="AY132" s="10"/>
    </row>
    <row r="133" spans="1:51" ht="21">
      <c r="A133" s="65" t="s">
        <v>189</v>
      </c>
      <c r="AL133" s="29"/>
      <c r="AM133" s="20" t="s">
        <v>83</v>
      </c>
      <c r="AN133" s="18"/>
      <c r="AV133" s="20"/>
      <c r="AW133" s="20"/>
      <c r="AX133" s="20"/>
      <c r="AY133" s="10"/>
    </row>
    <row r="134" spans="1:51" ht="21">
      <c r="A134" s="65" t="s">
        <v>110</v>
      </c>
      <c r="AL134" s="29"/>
      <c r="AM134" s="63" t="s">
        <v>84</v>
      </c>
      <c r="AN134" s="18"/>
      <c r="AV134" s="20"/>
      <c r="AW134" s="20"/>
      <c r="AX134" s="20"/>
      <c r="AY134" s="10"/>
    </row>
    <row r="135" spans="1:51" ht="21">
      <c r="A135" s="65" t="s">
        <v>111</v>
      </c>
      <c r="AL135" s="29"/>
      <c r="AM135" s="63"/>
      <c r="AN135" s="18"/>
      <c r="AV135" s="20"/>
      <c r="AW135" s="20"/>
      <c r="AX135" s="20"/>
      <c r="AY135" s="10"/>
    </row>
    <row r="136" spans="1:51">
      <c r="A136" s="9"/>
      <c r="AL136" s="29"/>
      <c r="AM136" s="20" t="s">
        <v>86</v>
      </c>
      <c r="AN136" s="18"/>
      <c r="AV136" s="20"/>
      <c r="AW136" s="20"/>
      <c r="AX136" s="20"/>
      <c r="AY136" s="10"/>
    </row>
    <row r="137" spans="1:51">
      <c r="A137" s="9"/>
      <c r="AL137" s="29"/>
      <c r="AM137" s="20" t="s">
        <v>87</v>
      </c>
      <c r="AN137" s="18"/>
      <c r="AV137" s="20"/>
      <c r="AW137" s="20"/>
      <c r="AX137" s="20"/>
      <c r="AY137" s="10"/>
    </row>
    <row r="138" spans="1:51">
      <c r="A138" s="9"/>
      <c r="AL138" s="29"/>
      <c r="AN138" s="18"/>
      <c r="AV138" s="20"/>
      <c r="AW138" s="20"/>
      <c r="AX138" s="20"/>
      <c r="AY138" s="10"/>
    </row>
    <row r="139" spans="1:51">
      <c r="A139" s="9"/>
      <c r="AL139" s="29"/>
      <c r="AN139" s="18"/>
      <c r="AV139" s="20"/>
      <c r="AW139" s="20"/>
      <c r="AX139" s="20"/>
      <c r="AY139" s="10"/>
    </row>
    <row r="140" spans="1:51">
      <c r="A140" s="9"/>
      <c r="B140" s="15" t="s">
        <v>338</v>
      </c>
      <c r="AL140" s="29"/>
      <c r="AN140" s="18"/>
      <c r="AV140" s="20"/>
      <c r="AW140" s="20"/>
      <c r="AX140" s="20"/>
      <c r="AY140" s="10"/>
    </row>
    <row r="141" spans="1:51">
      <c r="A141" s="9"/>
      <c r="AL141" s="29"/>
      <c r="AN141" s="18"/>
      <c r="AV141" s="20"/>
      <c r="AW141" s="20"/>
      <c r="AX141" s="20"/>
      <c r="AY141" s="10"/>
    </row>
    <row r="142" spans="1:51">
      <c r="A142" s="9"/>
      <c r="AL142" s="29"/>
      <c r="AN142" s="18"/>
      <c r="AV142" s="20"/>
      <c r="AW142" s="20"/>
      <c r="AX142" s="20"/>
      <c r="AY142" s="10"/>
    </row>
    <row r="143" spans="1:51">
      <c r="A143" s="9"/>
      <c r="AL143" s="29"/>
      <c r="AN143" s="18"/>
      <c r="AO143" s="1"/>
      <c r="AV143" s="20"/>
      <c r="AW143" s="20"/>
      <c r="AX143" s="20"/>
      <c r="AY143" s="10"/>
    </row>
    <row r="144" spans="1:51">
      <c r="A144" s="9"/>
      <c r="AL144" s="29"/>
      <c r="AN144" s="18"/>
      <c r="AV144" s="20"/>
      <c r="AW144" s="20"/>
      <c r="AX144" s="20"/>
      <c r="AY144" s="10"/>
    </row>
    <row r="145" spans="1:51">
      <c r="A145" s="9"/>
      <c r="AL145" s="29"/>
      <c r="AN145" s="18"/>
      <c r="AV145" s="20"/>
      <c r="AW145" s="20"/>
      <c r="AX145" s="20"/>
      <c r="AY145" s="10"/>
    </row>
    <row r="146" spans="1:51">
      <c r="A146" s="9"/>
      <c r="AL146" s="29"/>
      <c r="AN146" s="18"/>
      <c r="AV146" s="20"/>
      <c r="AW146" s="20"/>
      <c r="AX146" s="20"/>
      <c r="AY146" s="10"/>
    </row>
    <row r="147" spans="1:51">
      <c r="A147" s="9"/>
      <c r="AL147" s="29"/>
      <c r="AN147" s="18"/>
      <c r="AV147" s="20"/>
      <c r="AW147" s="20"/>
      <c r="AX147" s="20"/>
      <c r="AY147" s="10"/>
    </row>
    <row r="148" spans="1:51">
      <c r="A148" s="9"/>
      <c r="AL148" s="29"/>
      <c r="AN148" s="18"/>
      <c r="AV148" s="20"/>
      <c r="AW148" s="20"/>
      <c r="AX148" s="20"/>
      <c r="AY148" s="10"/>
    </row>
    <row r="149" spans="1:51">
      <c r="A149" s="32"/>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4"/>
      <c r="AN149" s="62"/>
      <c r="AO149" s="62"/>
      <c r="AP149" s="62"/>
      <c r="AQ149" s="62"/>
      <c r="AR149" s="62"/>
      <c r="AS149" s="62"/>
      <c r="AT149" s="62"/>
      <c r="AU149" s="62"/>
      <c r="AV149" s="33"/>
      <c r="AW149" s="33"/>
      <c r="AX149" s="33"/>
      <c r="AY149" s="35"/>
    </row>
    <row r="150" spans="1:51" ht="16.899999999999999" customHeight="1">
      <c r="A150" s="311" t="s">
        <v>3</v>
      </c>
      <c r="B150" s="312"/>
      <c r="C150" s="312"/>
      <c r="D150" s="312"/>
      <c r="E150" s="312"/>
      <c r="F150" s="312"/>
      <c r="G150" s="312"/>
      <c r="H150" s="312"/>
      <c r="I150" s="312"/>
      <c r="J150" s="312"/>
      <c r="K150" s="312"/>
      <c r="L150" s="312"/>
      <c r="M150" s="312"/>
      <c r="N150" s="312"/>
      <c r="O150" s="313"/>
      <c r="P150" s="314" t="s">
        <v>89</v>
      </c>
      <c r="Q150" s="315"/>
      <c r="R150" s="315"/>
      <c r="S150" s="315"/>
      <c r="T150" s="315"/>
      <c r="U150" s="315"/>
      <c r="V150" s="315"/>
      <c r="W150" s="315"/>
      <c r="X150" s="315"/>
      <c r="Y150" s="315"/>
      <c r="Z150" s="315"/>
      <c r="AA150" s="315"/>
      <c r="AB150" s="315"/>
      <c r="AC150" s="315"/>
      <c r="AD150" s="315"/>
      <c r="AE150" s="315"/>
      <c r="AF150" s="315"/>
      <c r="AG150" s="315"/>
      <c r="AH150" s="315"/>
      <c r="AI150" s="315"/>
      <c r="AJ150" s="315"/>
      <c r="AK150" s="315"/>
      <c r="AL150" s="316"/>
      <c r="AM150" s="18"/>
      <c r="AN150" s="18"/>
      <c r="AO150" s="18"/>
      <c r="AP150" s="18"/>
      <c r="AQ150" s="18"/>
      <c r="AR150" s="18"/>
      <c r="AS150" s="18"/>
      <c r="AT150" s="18"/>
      <c r="AU150" s="18"/>
      <c r="AV150" s="18"/>
      <c r="AW150" s="18"/>
      <c r="AX150" s="18"/>
      <c r="AY150" s="18"/>
    </row>
    <row r="151" spans="1:51">
      <c r="A151" s="26"/>
      <c r="B151" s="15"/>
      <c r="C151" s="15"/>
      <c r="D151" s="15"/>
      <c r="E151" s="27"/>
      <c r="F151" s="27"/>
      <c r="G151" s="15"/>
      <c r="H151" s="15"/>
      <c r="I151" s="15"/>
      <c r="J151" s="15"/>
      <c r="K151" s="15"/>
      <c r="L151" s="15"/>
      <c r="M151" s="15"/>
      <c r="N151" s="15"/>
      <c r="O151" s="28"/>
      <c r="P151" s="15"/>
      <c r="Q151" s="15"/>
      <c r="R151" s="15"/>
      <c r="S151" s="15"/>
      <c r="T151" s="15"/>
      <c r="U151" s="15"/>
      <c r="V151" s="15"/>
      <c r="W151" s="15"/>
      <c r="X151" s="15"/>
      <c r="Y151" s="15"/>
      <c r="Z151" s="15"/>
      <c r="AA151" s="15"/>
      <c r="AB151" s="15"/>
      <c r="AC151" s="16"/>
      <c r="AD151" s="16"/>
      <c r="AE151" s="16"/>
      <c r="AF151" s="16"/>
      <c r="AG151" s="16"/>
      <c r="AH151" s="16"/>
      <c r="AI151" s="16"/>
      <c r="AJ151" s="16"/>
      <c r="AK151" s="16"/>
      <c r="AL151" s="17"/>
      <c r="AN151" s="18"/>
      <c r="AO151" s="18"/>
      <c r="AP151" s="18"/>
      <c r="AQ151" s="18"/>
      <c r="AR151" s="18"/>
      <c r="AS151" s="18"/>
      <c r="AT151" s="18"/>
      <c r="AU151" s="18"/>
      <c r="AV151" s="18"/>
      <c r="AW151" s="18"/>
      <c r="AX151" s="18"/>
      <c r="AY151" s="18"/>
    </row>
    <row r="152" spans="1:51">
      <c r="A152" s="26"/>
      <c r="B152" s="15"/>
      <c r="C152" s="15"/>
      <c r="D152" s="15"/>
      <c r="E152" s="27"/>
      <c r="F152" s="27"/>
      <c r="G152" s="15"/>
      <c r="H152" s="15"/>
      <c r="I152" s="15"/>
      <c r="J152" s="15"/>
      <c r="K152" s="15"/>
      <c r="L152" s="15"/>
      <c r="M152" s="15"/>
      <c r="N152" s="15"/>
      <c r="O152" s="28"/>
      <c r="P152" s="15"/>
      <c r="Q152" s="15"/>
      <c r="R152" s="15"/>
      <c r="S152" s="15"/>
      <c r="T152" s="15"/>
      <c r="U152" s="15"/>
      <c r="V152" s="15"/>
      <c r="W152" s="15"/>
      <c r="X152" s="15"/>
      <c r="Y152" s="15"/>
      <c r="Z152" s="15"/>
      <c r="AA152" s="15"/>
      <c r="AB152" s="15"/>
      <c r="AC152" s="16"/>
      <c r="AD152" s="16"/>
      <c r="AE152" s="16"/>
      <c r="AF152" s="16"/>
      <c r="AG152" s="16"/>
      <c r="AH152" s="16"/>
      <c r="AI152" s="16"/>
      <c r="AJ152" s="16"/>
      <c r="AK152" s="16"/>
      <c r="AL152" s="17"/>
      <c r="AM152" s="20" t="s">
        <v>88</v>
      </c>
      <c r="AN152" s="18"/>
      <c r="AO152" s="18"/>
      <c r="AP152" s="18"/>
      <c r="AQ152" s="18"/>
      <c r="AR152" s="18"/>
      <c r="AS152" s="18"/>
      <c r="AT152" s="18"/>
      <c r="AU152" s="18"/>
      <c r="AV152" s="18"/>
      <c r="AW152" s="18"/>
      <c r="AX152" s="18"/>
      <c r="AY152" s="18"/>
    </row>
    <row r="153" spans="1:51">
      <c r="A153" s="26"/>
      <c r="B153" s="15"/>
      <c r="C153" s="15"/>
      <c r="D153" s="15"/>
      <c r="E153" s="27"/>
      <c r="F153" s="27"/>
      <c r="G153" s="15"/>
      <c r="H153" s="15"/>
      <c r="I153" s="15"/>
      <c r="J153" s="15"/>
      <c r="K153" s="15"/>
      <c r="L153" s="15"/>
      <c r="M153" s="15"/>
      <c r="N153" s="15"/>
      <c r="O153" s="28"/>
      <c r="P153" s="15"/>
      <c r="Q153" s="15"/>
      <c r="R153" s="15"/>
      <c r="S153" s="15"/>
      <c r="T153" s="15"/>
      <c r="U153" s="15"/>
      <c r="V153" s="15"/>
      <c r="W153" s="15"/>
      <c r="X153" s="15"/>
      <c r="Y153" s="15"/>
      <c r="Z153" s="15"/>
      <c r="AA153" s="15"/>
      <c r="AB153" s="15"/>
      <c r="AC153" s="16"/>
      <c r="AD153" s="16"/>
      <c r="AE153" s="16"/>
      <c r="AF153" s="16"/>
      <c r="AG153" s="16"/>
      <c r="AH153" s="16"/>
      <c r="AI153" s="16"/>
      <c r="AJ153" s="16"/>
      <c r="AK153" s="16"/>
      <c r="AL153" s="17"/>
      <c r="AM153" s="18"/>
      <c r="AN153" s="18"/>
      <c r="AO153" s="18"/>
      <c r="AP153" s="18"/>
      <c r="AQ153" s="18"/>
      <c r="AR153" s="18"/>
      <c r="AS153" s="18"/>
      <c r="AT153" s="18"/>
      <c r="AU153" s="18"/>
      <c r="AV153" s="18"/>
      <c r="AW153" s="18"/>
      <c r="AX153" s="18"/>
      <c r="AY153" s="19"/>
    </row>
    <row r="154" spans="1:51">
      <c r="A154" s="26"/>
      <c r="B154" s="15"/>
      <c r="C154" s="15"/>
      <c r="D154" s="15"/>
      <c r="E154" s="27"/>
      <c r="F154" s="27"/>
      <c r="G154" s="15"/>
      <c r="H154" s="15"/>
      <c r="I154" s="15"/>
      <c r="J154" s="15"/>
      <c r="K154" s="15"/>
      <c r="L154" s="15"/>
      <c r="M154" s="15"/>
      <c r="N154" s="15"/>
      <c r="O154" s="28"/>
      <c r="P154" s="15"/>
      <c r="Q154" s="15"/>
      <c r="R154" s="15"/>
      <c r="S154" s="15"/>
      <c r="T154" s="15"/>
      <c r="U154" s="15"/>
      <c r="V154" s="15"/>
      <c r="W154" s="15"/>
      <c r="X154" s="15"/>
      <c r="Y154" s="15"/>
      <c r="Z154" s="15"/>
      <c r="AA154" s="15"/>
      <c r="AB154" s="15"/>
      <c r="AC154" s="16"/>
      <c r="AD154" s="16"/>
      <c r="AE154" s="16"/>
      <c r="AF154" s="16"/>
      <c r="AG154" s="16"/>
      <c r="AH154" s="16"/>
      <c r="AI154" s="16"/>
      <c r="AJ154" s="16"/>
      <c r="AK154" s="16"/>
      <c r="AL154" s="17"/>
      <c r="AM154" s="52" t="s">
        <v>90</v>
      </c>
      <c r="AN154" s="18"/>
      <c r="AO154" s="18"/>
      <c r="AP154" s="18"/>
      <c r="AQ154" s="18"/>
      <c r="AR154" s="18"/>
      <c r="AS154" s="18"/>
      <c r="AT154" s="18"/>
      <c r="AU154" s="18"/>
      <c r="AV154" s="18"/>
      <c r="AW154" s="18"/>
      <c r="AX154" s="18"/>
      <c r="AY154" s="19"/>
    </row>
    <row r="155" spans="1:51">
      <c r="A155" s="26"/>
      <c r="C155" s="15"/>
      <c r="D155" s="15"/>
      <c r="E155" s="27"/>
      <c r="F155" s="27"/>
      <c r="G155" s="15"/>
      <c r="H155" s="15"/>
      <c r="I155" s="15"/>
      <c r="J155" s="15"/>
      <c r="K155" s="15"/>
      <c r="L155" s="15"/>
      <c r="M155" s="15"/>
      <c r="N155" s="15"/>
      <c r="O155" s="28"/>
      <c r="P155" s="15"/>
      <c r="Q155" s="15"/>
      <c r="R155" s="15"/>
      <c r="S155" s="15"/>
      <c r="T155" s="15"/>
      <c r="U155" s="15"/>
      <c r="V155" s="15"/>
      <c r="W155" s="15"/>
      <c r="X155" s="15"/>
      <c r="Y155" s="15"/>
      <c r="Z155" s="15"/>
      <c r="AA155" s="15"/>
      <c r="AB155" s="15"/>
      <c r="AC155" s="16"/>
      <c r="AD155" s="16"/>
      <c r="AE155" s="16"/>
      <c r="AF155" s="16"/>
      <c r="AG155" s="16"/>
      <c r="AH155" s="16"/>
      <c r="AI155" s="16"/>
      <c r="AJ155" s="16"/>
      <c r="AK155" s="16"/>
      <c r="AL155" s="17"/>
      <c r="AM155" s="18" t="s">
        <v>160</v>
      </c>
      <c r="AN155" s="18"/>
      <c r="AO155" s="18"/>
      <c r="AP155" s="18"/>
      <c r="AQ155" s="18"/>
      <c r="AR155" s="18"/>
      <c r="AS155" s="18"/>
      <c r="AT155" s="18"/>
      <c r="AU155" s="18"/>
      <c r="AV155" s="18"/>
      <c r="AW155" s="18"/>
      <c r="AX155" s="18"/>
      <c r="AY155" s="19"/>
    </row>
    <row r="156" spans="1:51">
      <c r="A156" s="26"/>
      <c r="B156" s="15"/>
      <c r="C156" s="15"/>
      <c r="D156" s="15"/>
      <c r="E156" s="27"/>
      <c r="F156" s="27"/>
      <c r="G156" s="15"/>
      <c r="H156" s="15"/>
      <c r="I156" s="15"/>
      <c r="J156" s="15"/>
      <c r="K156" s="15"/>
      <c r="L156" s="15"/>
      <c r="M156" s="15"/>
      <c r="N156" s="15"/>
      <c r="O156" s="28"/>
      <c r="P156" s="15"/>
      <c r="Q156" s="15"/>
      <c r="R156" s="15"/>
      <c r="S156" s="15"/>
      <c r="T156" s="15"/>
      <c r="U156" s="15"/>
      <c r="V156" s="15"/>
      <c r="W156" s="15"/>
      <c r="X156" s="15"/>
      <c r="Y156" s="15"/>
      <c r="Z156" s="15"/>
      <c r="AA156" s="15"/>
      <c r="AC156" s="16"/>
      <c r="AD156" s="16"/>
      <c r="AE156" s="16"/>
      <c r="AF156" s="16"/>
      <c r="AG156" s="16"/>
      <c r="AH156" s="16"/>
      <c r="AI156" s="16"/>
      <c r="AJ156" s="16"/>
      <c r="AK156" s="16"/>
      <c r="AL156" s="17"/>
      <c r="AM156" s="18" t="s">
        <v>91</v>
      </c>
      <c r="AN156" s="18"/>
      <c r="AO156" s="18"/>
      <c r="AP156" s="18"/>
      <c r="AQ156" s="18"/>
      <c r="AR156" s="18"/>
      <c r="AS156" s="18"/>
      <c r="AT156" s="18"/>
      <c r="AU156" s="18"/>
      <c r="AV156" s="18"/>
      <c r="AW156" s="18"/>
      <c r="AX156" s="18"/>
      <c r="AY156" s="19"/>
    </row>
    <row r="157" spans="1:51">
      <c r="A157" s="26"/>
      <c r="B157" s="15"/>
      <c r="C157" s="15"/>
      <c r="D157" s="15"/>
      <c r="E157" s="27"/>
      <c r="F157" s="27"/>
      <c r="G157" s="15"/>
      <c r="H157" s="15"/>
      <c r="I157" s="15"/>
      <c r="J157" s="15"/>
      <c r="K157" s="15"/>
      <c r="L157" s="15"/>
      <c r="M157" s="15"/>
      <c r="N157" s="15"/>
      <c r="O157" s="28"/>
      <c r="P157" s="15"/>
      <c r="Q157" s="15"/>
      <c r="R157" s="15"/>
      <c r="S157" s="15"/>
      <c r="T157" s="15"/>
      <c r="U157" s="15"/>
      <c r="V157" s="15"/>
      <c r="W157" s="15"/>
      <c r="X157" s="15"/>
      <c r="Y157" s="15"/>
      <c r="Z157" s="15"/>
      <c r="AA157" s="15"/>
      <c r="AB157" s="15"/>
      <c r="AC157" s="16"/>
      <c r="AD157" s="16"/>
      <c r="AE157" s="16"/>
      <c r="AF157" s="16"/>
      <c r="AG157" s="16"/>
      <c r="AH157" s="16"/>
      <c r="AI157" s="16"/>
      <c r="AJ157" s="16"/>
      <c r="AK157" s="16"/>
      <c r="AL157" s="17"/>
      <c r="AM157" s="18" t="s">
        <v>92</v>
      </c>
      <c r="AN157" s="18"/>
      <c r="AO157" s="18"/>
      <c r="AP157" s="18"/>
      <c r="AQ157" s="18"/>
      <c r="AR157" s="18"/>
      <c r="AS157" s="18"/>
      <c r="AT157" s="18"/>
      <c r="AU157" s="18"/>
      <c r="AV157" s="18"/>
      <c r="AW157" s="18"/>
      <c r="AX157" s="18"/>
      <c r="AY157" s="19"/>
    </row>
    <row r="158" spans="1:51">
      <c r="A158" s="26"/>
      <c r="B158" s="15"/>
      <c r="C158" s="15"/>
      <c r="D158" s="15"/>
      <c r="E158" s="27"/>
      <c r="F158" s="27"/>
      <c r="G158" s="15"/>
      <c r="H158" s="15"/>
      <c r="I158" s="15"/>
      <c r="J158" s="15"/>
      <c r="K158" s="15"/>
      <c r="L158" s="15"/>
      <c r="M158" s="15"/>
      <c r="N158" s="15"/>
      <c r="O158" s="28"/>
      <c r="P158" s="15"/>
      <c r="Q158" s="15"/>
      <c r="R158" s="15"/>
      <c r="S158" s="15"/>
      <c r="T158" s="15"/>
      <c r="U158" s="15"/>
      <c r="V158" s="15"/>
      <c r="W158" s="15"/>
      <c r="X158" s="15"/>
      <c r="Y158" s="15"/>
      <c r="Z158" s="15"/>
      <c r="AA158" s="15"/>
      <c r="AB158" s="15"/>
      <c r="AC158" s="16"/>
      <c r="AD158" s="16"/>
      <c r="AE158" s="16"/>
      <c r="AF158" s="16"/>
      <c r="AG158" s="16"/>
      <c r="AH158" s="16"/>
      <c r="AI158" s="16"/>
      <c r="AJ158" s="16"/>
      <c r="AK158" s="16"/>
      <c r="AL158" s="17"/>
      <c r="AM158" s="18" t="s">
        <v>93</v>
      </c>
      <c r="AN158" s="18"/>
      <c r="AO158" s="18"/>
      <c r="AP158" s="18"/>
      <c r="AQ158" s="18"/>
      <c r="AR158" s="18"/>
      <c r="AS158" s="18"/>
      <c r="AT158" s="18"/>
      <c r="AU158" s="18"/>
      <c r="AV158" s="18"/>
      <c r="AW158" s="18"/>
      <c r="AX158" s="18"/>
      <c r="AY158" s="19"/>
    </row>
    <row r="159" spans="1:51">
      <c r="A159" s="26"/>
      <c r="B159" s="178" t="s">
        <v>339</v>
      </c>
      <c r="C159" s="15"/>
      <c r="D159" s="15"/>
      <c r="E159" s="27"/>
      <c r="F159" s="27"/>
      <c r="G159" s="15"/>
      <c r="H159" s="15"/>
      <c r="I159" s="15"/>
      <c r="J159" s="15"/>
      <c r="K159" s="15"/>
      <c r="L159" s="15"/>
      <c r="M159" s="15"/>
      <c r="N159" s="15"/>
      <c r="O159" s="28"/>
      <c r="P159" s="15"/>
      <c r="Q159" s="15"/>
      <c r="R159" s="15"/>
      <c r="S159" s="15"/>
      <c r="T159" s="15"/>
      <c r="U159" s="15"/>
      <c r="V159" s="15"/>
      <c r="W159" s="15"/>
      <c r="X159" s="15"/>
      <c r="Y159" s="15"/>
      <c r="Z159" s="15"/>
      <c r="AA159" s="15"/>
      <c r="AB159" s="15"/>
      <c r="AC159" s="16"/>
      <c r="AD159" s="16"/>
      <c r="AE159" s="16"/>
      <c r="AF159" s="16"/>
      <c r="AG159" s="16"/>
      <c r="AH159" s="16"/>
      <c r="AI159" s="16"/>
      <c r="AJ159" s="16"/>
      <c r="AK159" s="16"/>
      <c r="AL159" s="17"/>
      <c r="AM159" s="18" t="s">
        <v>94</v>
      </c>
      <c r="AN159" s="18"/>
      <c r="AO159" s="18"/>
      <c r="AP159" s="18"/>
      <c r="AQ159" s="18"/>
      <c r="AR159" s="18"/>
      <c r="AS159" s="18"/>
      <c r="AT159" s="18"/>
      <c r="AU159" s="18"/>
      <c r="AV159" s="18"/>
      <c r="AW159" s="18"/>
      <c r="AX159" s="18"/>
      <c r="AY159" s="19"/>
    </row>
    <row r="160" spans="1:51">
      <c r="A160" s="26"/>
      <c r="B160" s="15"/>
      <c r="C160" s="15"/>
      <c r="D160" s="15"/>
      <c r="E160" s="27"/>
      <c r="F160" s="27"/>
      <c r="G160" s="15"/>
      <c r="H160" s="15"/>
      <c r="I160" s="15"/>
      <c r="J160" s="15"/>
      <c r="K160" s="15"/>
      <c r="L160" s="15"/>
      <c r="M160" s="15"/>
      <c r="N160" s="15"/>
      <c r="O160" s="28"/>
      <c r="P160" s="15"/>
      <c r="Q160" s="15"/>
      <c r="R160" s="15"/>
      <c r="S160" s="15"/>
      <c r="T160" s="15"/>
      <c r="U160" s="15"/>
      <c r="V160" s="15"/>
      <c r="W160" s="15"/>
      <c r="X160" s="15"/>
      <c r="Y160" s="15"/>
      <c r="Z160" s="15"/>
      <c r="AA160" s="15"/>
      <c r="AB160" s="15"/>
      <c r="AC160" s="16"/>
      <c r="AD160" s="16"/>
      <c r="AE160" s="16"/>
      <c r="AF160" s="16"/>
      <c r="AG160" s="16"/>
      <c r="AH160" s="16"/>
      <c r="AI160" s="16"/>
      <c r="AJ160" s="16"/>
      <c r="AK160" s="16"/>
      <c r="AL160" s="17"/>
      <c r="AM160" s="18"/>
      <c r="AN160" s="18"/>
      <c r="AO160" s="18"/>
      <c r="AP160" s="18"/>
      <c r="AQ160" s="18"/>
      <c r="AR160" s="18"/>
      <c r="AS160" s="18"/>
      <c r="AT160" s="18"/>
      <c r="AU160" s="18"/>
      <c r="AV160" s="18"/>
      <c r="AW160" s="18"/>
      <c r="AX160" s="18"/>
      <c r="AY160" s="19"/>
    </row>
    <row r="161" spans="1:51">
      <c r="A161" s="26"/>
      <c r="B161" s="15"/>
      <c r="C161" s="15"/>
      <c r="D161" s="15"/>
      <c r="E161" s="27"/>
      <c r="F161" s="27"/>
      <c r="G161" s="15"/>
      <c r="H161" s="15"/>
      <c r="I161" s="15"/>
      <c r="J161" s="15"/>
      <c r="K161" s="15"/>
      <c r="L161" s="15"/>
      <c r="M161" s="15"/>
      <c r="N161" s="15"/>
      <c r="O161" s="28"/>
      <c r="P161" s="15"/>
      <c r="Q161" s="15"/>
      <c r="R161" s="15"/>
      <c r="S161" s="15"/>
      <c r="T161" s="15"/>
      <c r="U161" s="15"/>
      <c r="V161" s="15"/>
      <c r="W161" s="15"/>
      <c r="X161" s="15"/>
      <c r="Y161" s="15"/>
      <c r="Z161" s="15"/>
      <c r="AA161" s="15"/>
      <c r="AB161" s="15"/>
      <c r="AC161" s="16"/>
      <c r="AD161" s="16"/>
      <c r="AE161" s="16"/>
      <c r="AF161" s="16"/>
      <c r="AG161" s="16"/>
      <c r="AH161" s="16"/>
      <c r="AI161" s="16"/>
      <c r="AJ161" s="16"/>
      <c r="AK161" s="16"/>
      <c r="AL161" s="17"/>
      <c r="AM161" s="18" t="s">
        <v>96</v>
      </c>
      <c r="AS161" s="18"/>
      <c r="AT161" s="18"/>
      <c r="AU161" s="18"/>
      <c r="AV161" s="18"/>
      <c r="AW161" s="18"/>
      <c r="AX161" s="18"/>
      <c r="AY161" s="19"/>
    </row>
    <row r="162" spans="1:51">
      <c r="A162" s="9"/>
      <c r="AL162" s="29"/>
      <c r="AM162" s="77" t="s">
        <v>133</v>
      </c>
      <c r="AX162" s="20"/>
      <c r="AY162" s="10"/>
    </row>
    <row r="163" spans="1:51">
      <c r="A163" s="9"/>
      <c r="AL163" s="29"/>
      <c r="AM163" s="18" t="s">
        <v>159</v>
      </c>
      <c r="AV163" s="20"/>
      <c r="AW163" s="20"/>
      <c r="AX163" s="20"/>
      <c r="AY163" s="10"/>
    </row>
    <row r="164" spans="1:51">
      <c r="A164" s="9"/>
      <c r="AL164" s="29"/>
      <c r="AM164" s="18" t="s">
        <v>161</v>
      </c>
      <c r="AV164" s="20"/>
      <c r="AW164" s="20"/>
      <c r="AX164" s="20"/>
      <c r="AY164" s="10"/>
    </row>
    <row r="165" spans="1:51">
      <c r="A165" s="9"/>
      <c r="B165" s="66"/>
      <c r="AL165" s="29"/>
      <c r="AM165" s="67"/>
      <c r="AV165" s="20"/>
      <c r="AW165" s="20"/>
      <c r="AX165" s="20"/>
      <c r="AY165" s="10"/>
    </row>
    <row r="166" spans="1:51">
      <c r="A166" s="9"/>
      <c r="AL166" s="29"/>
      <c r="AM166" s="18"/>
      <c r="AV166" s="20"/>
      <c r="AW166" s="20"/>
      <c r="AX166" s="20"/>
      <c r="AY166" s="10"/>
    </row>
    <row r="167" spans="1:51">
      <c r="A167" s="9"/>
      <c r="AL167" s="29"/>
      <c r="AM167" s="18"/>
      <c r="AV167" s="20"/>
      <c r="AW167" s="20"/>
      <c r="AX167" s="20"/>
      <c r="AY167" s="10"/>
    </row>
    <row r="168" spans="1:51">
      <c r="A168" s="9"/>
      <c r="AL168" s="29"/>
      <c r="AM168" s="67" t="s">
        <v>349</v>
      </c>
      <c r="AV168" s="20"/>
      <c r="AW168" s="20"/>
      <c r="AX168" s="20"/>
      <c r="AY168" s="10"/>
    </row>
    <row r="169" spans="1:51">
      <c r="A169" s="9"/>
      <c r="AL169" s="29"/>
      <c r="AM169" s="18" t="s">
        <v>344</v>
      </c>
      <c r="AQ169" s="20" t="s">
        <v>345</v>
      </c>
      <c r="AT169" s="20" t="s">
        <v>347</v>
      </c>
      <c r="AV169" s="20"/>
      <c r="AW169" s="20" t="s">
        <v>348</v>
      </c>
      <c r="AX169" s="20"/>
      <c r="AY169" s="10"/>
    </row>
    <row r="170" spans="1:51">
      <c r="A170" s="9"/>
      <c r="AL170" s="29"/>
      <c r="AM170" s="18"/>
      <c r="AN170" s="20" t="s">
        <v>120</v>
      </c>
      <c r="AR170" s="20" t="s">
        <v>346</v>
      </c>
      <c r="AV170" s="20"/>
      <c r="AW170" s="20"/>
      <c r="AX170" s="20"/>
      <c r="AY170" s="10"/>
    </row>
    <row r="171" spans="1:51">
      <c r="A171" s="9"/>
      <c r="AL171" s="29"/>
      <c r="AM171" s="18"/>
      <c r="AN171" s="20" t="s">
        <v>119</v>
      </c>
      <c r="AV171" s="20"/>
      <c r="AW171" s="20"/>
      <c r="AX171" s="20"/>
      <c r="AY171" s="10"/>
    </row>
    <row r="172" spans="1:51">
      <c r="A172" s="9"/>
      <c r="AL172" s="29"/>
      <c r="AM172" s="18"/>
      <c r="AN172" s="20" t="s">
        <v>107</v>
      </c>
      <c r="AV172" s="20"/>
      <c r="AW172" s="20"/>
      <c r="AX172" s="20"/>
      <c r="AY172" s="10"/>
    </row>
    <row r="173" spans="1:51">
      <c r="B173" s="179" t="s">
        <v>340</v>
      </c>
      <c r="AL173" s="29"/>
      <c r="AM173" s="18"/>
      <c r="AN173" s="20" t="s">
        <v>109</v>
      </c>
      <c r="AV173" s="20"/>
      <c r="AW173" s="20"/>
      <c r="AX173" s="20"/>
      <c r="AY173" s="10"/>
    </row>
    <row r="174" spans="1:51">
      <c r="A174" s="9"/>
      <c r="B174" s="1" t="s">
        <v>341</v>
      </c>
      <c r="AL174" s="29"/>
      <c r="AM174" s="18"/>
      <c r="AN174" s="20" t="s">
        <v>106</v>
      </c>
      <c r="AV174" s="20"/>
      <c r="AW174" s="20"/>
      <c r="AX174" s="20"/>
      <c r="AY174" s="10"/>
    </row>
    <row r="175" spans="1:51">
      <c r="A175" s="9"/>
      <c r="AL175" s="29"/>
      <c r="AM175" s="18"/>
      <c r="AV175" s="20"/>
      <c r="AW175" s="20"/>
      <c r="AX175" s="20"/>
      <c r="AY175" s="10"/>
    </row>
    <row r="176" spans="1:51">
      <c r="A176" s="9"/>
      <c r="AL176" s="29"/>
      <c r="AM176" s="18"/>
      <c r="AV176" s="20"/>
      <c r="AW176" s="20"/>
      <c r="AX176" s="20"/>
      <c r="AY176" s="10"/>
    </row>
    <row r="177" spans="1:51">
      <c r="A177" s="9"/>
      <c r="AL177" s="29"/>
      <c r="AM177" s="18"/>
      <c r="AV177" s="20"/>
      <c r="AW177" s="20"/>
      <c r="AX177" s="20"/>
      <c r="AY177" s="10"/>
    </row>
    <row r="178" spans="1:51">
      <c r="A178" s="9"/>
      <c r="AL178" s="29"/>
      <c r="AM178" s="18"/>
      <c r="AV178" s="20"/>
      <c r="AW178" s="20"/>
      <c r="AX178" s="20"/>
      <c r="AY178" s="10"/>
    </row>
    <row r="179" spans="1:51">
      <c r="A179" s="9"/>
      <c r="AL179" s="29"/>
      <c r="AM179" s="67" t="s">
        <v>162</v>
      </c>
      <c r="AV179" s="20"/>
      <c r="AW179" s="20"/>
      <c r="AX179" s="20"/>
      <c r="AY179" s="10"/>
    </row>
    <row r="180" spans="1:51">
      <c r="A180" s="9"/>
      <c r="AL180" s="29"/>
      <c r="AM180" s="18" t="s">
        <v>124</v>
      </c>
      <c r="AV180" s="20"/>
      <c r="AW180" s="20"/>
      <c r="AX180" s="20"/>
      <c r="AY180" s="10"/>
    </row>
    <row r="181" spans="1:51">
      <c r="A181" s="9"/>
      <c r="AL181" s="29"/>
      <c r="AM181" s="74" t="s">
        <v>125</v>
      </c>
      <c r="AN181" s="20" t="s">
        <v>126</v>
      </c>
      <c r="AV181" s="20"/>
      <c r="AW181" s="20"/>
      <c r="AX181" s="20"/>
      <c r="AY181" s="10"/>
    </row>
    <row r="182" spans="1:51">
      <c r="A182" s="9"/>
      <c r="AL182" s="29"/>
      <c r="AM182" s="74" t="s">
        <v>95</v>
      </c>
      <c r="AN182" s="20" t="s">
        <v>127</v>
      </c>
      <c r="AV182" s="20"/>
      <c r="AW182" s="20"/>
      <c r="AX182" s="20"/>
      <c r="AY182" s="10"/>
    </row>
    <row r="183" spans="1:51">
      <c r="A183" s="9"/>
      <c r="AL183" s="29"/>
      <c r="AM183" s="18"/>
      <c r="AN183" s="20" t="s">
        <v>128</v>
      </c>
      <c r="AV183" s="20"/>
      <c r="AW183" s="20"/>
      <c r="AX183" s="20"/>
      <c r="AY183" s="10"/>
    </row>
    <row r="184" spans="1:51">
      <c r="A184" s="84"/>
      <c r="AL184" s="29"/>
      <c r="AM184" s="18"/>
      <c r="AN184" s="20" t="s">
        <v>129</v>
      </c>
      <c r="AV184" s="20"/>
      <c r="AW184" s="20"/>
      <c r="AX184" s="20"/>
      <c r="AY184" s="10"/>
    </row>
    <row r="185" spans="1:51">
      <c r="A185" s="84"/>
      <c r="AL185" s="29"/>
      <c r="AM185" s="18"/>
      <c r="AV185" s="20"/>
      <c r="AW185" s="20"/>
      <c r="AX185" s="20"/>
      <c r="AY185" s="10"/>
    </row>
    <row r="186" spans="1:51">
      <c r="A186" s="84"/>
      <c r="AL186" s="29"/>
      <c r="AM186" s="18"/>
      <c r="AV186" s="20"/>
      <c r="AW186" s="20"/>
      <c r="AX186" s="20"/>
      <c r="AY186" s="10"/>
    </row>
    <row r="187" spans="1:51">
      <c r="A187" s="9"/>
      <c r="AL187" s="29"/>
      <c r="AM187" s="30" t="s">
        <v>163</v>
      </c>
      <c r="AV187" s="20"/>
      <c r="AW187" s="20"/>
      <c r="AX187" s="20"/>
      <c r="AY187" s="10"/>
    </row>
    <row r="188" spans="1:51">
      <c r="A188" s="9"/>
      <c r="AL188" s="29"/>
      <c r="AM188" s="18" t="s">
        <v>134</v>
      </c>
      <c r="AV188" s="20"/>
      <c r="AW188" s="20"/>
      <c r="AX188" s="20"/>
      <c r="AY188" s="10"/>
    </row>
    <row r="189" spans="1:51">
      <c r="A189" s="9"/>
      <c r="AL189" s="29"/>
      <c r="AM189" s="18"/>
      <c r="AN189" s="20" t="s">
        <v>135</v>
      </c>
      <c r="AV189" s="20"/>
      <c r="AW189" s="20"/>
      <c r="AX189" s="20"/>
      <c r="AY189" s="10"/>
    </row>
    <row r="190" spans="1:51">
      <c r="A190" s="9"/>
      <c r="AL190" s="29"/>
      <c r="AM190" s="18"/>
      <c r="AN190" s="20" t="s">
        <v>136</v>
      </c>
      <c r="AV190" s="20"/>
      <c r="AW190" s="20"/>
      <c r="AX190" s="20"/>
      <c r="AY190" s="10"/>
    </row>
    <row r="191" spans="1:51">
      <c r="A191" s="9"/>
      <c r="AL191" s="29"/>
      <c r="AN191" s="18" t="s">
        <v>137</v>
      </c>
      <c r="AV191" s="20"/>
      <c r="AW191" s="20"/>
      <c r="AX191" s="20"/>
      <c r="AY191" s="10"/>
    </row>
    <row r="192" spans="1:51">
      <c r="A192" s="9" t="s">
        <v>215</v>
      </c>
      <c r="AL192" s="29"/>
      <c r="AM192" s="90" t="s">
        <v>214</v>
      </c>
      <c r="AV192" s="20"/>
      <c r="AW192" s="20"/>
      <c r="AX192" s="20"/>
      <c r="AY192" s="10"/>
    </row>
    <row r="193" spans="1:51">
      <c r="A193" s="9" t="s">
        <v>354</v>
      </c>
      <c r="AL193" s="29"/>
      <c r="AM193" s="91" t="s">
        <v>217</v>
      </c>
      <c r="AV193" s="20"/>
      <c r="AW193" s="20"/>
      <c r="AX193" s="20"/>
      <c r="AY193" s="10"/>
    </row>
    <row r="194" spans="1:51">
      <c r="A194" s="9"/>
      <c r="AL194" s="29"/>
      <c r="AM194" s="92" t="s">
        <v>218</v>
      </c>
      <c r="AV194" s="20"/>
      <c r="AW194" s="20"/>
      <c r="AX194" s="20"/>
      <c r="AY194" s="10"/>
    </row>
    <row r="195" spans="1:51">
      <c r="A195" s="9"/>
      <c r="AL195" s="29"/>
      <c r="AM195" s="94" t="s">
        <v>220</v>
      </c>
      <c r="AV195" s="20"/>
      <c r="AW195" s="20"/>
      <c r="AX195" s="20"/>
      <c r="AY195" s="10"/>
    </row>
    <row r="196" spans="1:51">
      <c r="A196" s="9"/>
      <c r="AL196" s="29"/>
      <c r="AM196" s="94" t="s">
        <v>221</v>
      </c>
      <c r="AV196" s="20"/>
      <c r="AW196" s="20"/>
      <c r="AX196" s="20"/>
      <c r="AY196" s="10"/>
    </row>
    <row r="197" spans="1:51">
      <c r="A197" s="9"/>
      <c r="AL197" s="29"/>
      <c r="AM197" s="92" t="s">
        <v>222</v>
      </c>
      <c r="AV197" s="20"/>
      <c r="AW197" s="20"/>
      <c r="AX197" s="20"/>
      <c r="AY197" s="10"/>
    </row>
    <row r="198" spans="1:51">
      <c r="A198" s="9"/>
      <c r="AL198" s="29"/>
      <c r="AM198" s="92"/>
      <c r="AV198" s="20"/>
      <c r="AW198" s="20"/>
      <c r="AX198" s="20"/>
      <c r="AY198" s="10"/>
    </row>
    <row r="199" spans="1:51">
      <c r="A199" s="9"/>
      <c r="AL199" s="29"/>
      <c r="AM199" s="92"/>
      <c r="AV199" s="20"/>
      <c r="AW199" s="20"/>
      <c r="AX199" s="20"/>
      <c r="AY199" s="10"/>
    </row>
    <row r="200" spans="1:51">
      <c r="A200" s="9"/>
      <c r="AL200" s="29"/>
      <c r="AM200" s="92"/>
      <c r="AV200" s="20"/>
      <c r="AW200" s="20"/>
      <c r="AX200" s="20"/>
      <c r="AY200" s="10"/>
    </row>
    <row r="201" spans="1:51">
      <c r="A201" s="32"/>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4"/>
      <c r="AN201" s="62"/>
      <c r="AO201" s="62"/>
      <c r="AP201" s="62"/>
      <c r="AQ201" s="62"/>
      <c r="AR201" s="62"/>
      <c r="AS201" s="62"/>
      <c r="AT201" s="62"/>
      <c r="AU201" s="62"/>
      <c r="AV201" s="33"/>
      <c r="AW201" s="33"/>
      <c r="AX201" s="33"/>
      <c r="AY201" s="35"/>
    </row>
    <row r="202" spans="1:51" ht="16.899999999999999" customHeight="1">
      <c r="A202" s="311" t="s">
        <v>3</v>
      </c>
      <c r="B202" s="312"/>
      <c r="C202" s="312"/>
      <c r="D202" s="312"/>
      <c r="E202" s="312"/>
      <c r="F202" s="312"/>
      <c r="G202" s="312"/>
      <c r="H202" s="312"/>
      <c r="I202" s="312"/>
      <c r="J202" s="312"/>
      <c r="K202" s="312"/>
      <c r="L202" s="312"/>
      <c r="M202" s="312"/>
      <c r="N202" s="312"/>
      <c r="O202" s="313"/>
      <c r="P202" s="314" t="s">
        <v>191</v>
      </c>
      <c r="Q202" s="315"/>
      <c r="R202" s="315"/>
      <c r="S202" s="315"/>
      <c r="T202" s="315"/>
      <c r="U202" s="315"/>
      <c r="V202" s="315"/>
      <c r="W202" s="315"/>
      <c r="X202" s="315"/>
      <c r="Y202" s="315"/>
      <c r="Z202" s="315"/>
      <c r="AA202" s="315"/>
      <c r="AB202" s="315"/>
      <c r="AC202" s="315"/>
      <c r="AD202" s="315"/>
      <c r="AE202" s="315"/>
      <c r="AF202" s="315"/>
      <c r="AG202" s="315"/>
      <c r="AH202" s="315"/>
      <c r="AI202" s="315"/>
      <c r="AJ202" s="315"/>
      <c r="AK202" s="315"/>
      <c r="AL202" s="316"/>
      <c r="AM202" s="317"/>
      <c r="AN202" s="317"/>
      <c r="AO202" s="317"/>
      <c r="AP202" s="317"/>
      <c r="AQ202" s="317"/>
      <c r="AR202" s="317"/>
      <c r="AS202" s="317"/>
      <c r="AT202" s="317"/>
      <c r="AU202" s="317"/>
      <c r="AV202" s="317"/>
      <c r="AW202" s="317"/>
      <c r="AX202" s="317"/>
      <c r="AY202" s="318"/>
    </row>
    <row r="203" spans="1:51">
      <c r="A203" s="26"/>
      <c r="B203" s="15"/>
      <c r="C203" s="15"/>
      <c r="D203" s="15"/>
      <c r="E203" s="27"/>
      <c r="F203" s="27"/>
      <c r="G203" s="15"/>
      <c r="H203" s="15"/>
      <c r="I203" s="15"/>
      <c r="J203" s="15"/>
      <c r="K203" s="15"/>
      <c r="L203" s="15"/>
      <c r="M203" s="15"/>
      <c r="N203" s="15"/>
      <c r="O203" s="28"/>
      <c r="P203" s="15"/>
      <c r="Q203" s="15"/>
      <c r="R203" s="15"/>
      <c r="S203" s="15"/>
      <c r="T203" s="15"/>
      <c r="U203" s="15"/>
      <c r="V203" s="15"/>
      <c r="W203" s="15"/>
      <c r="X203" s="15"/>
      <c r="Y203" s="15"/>
      <c r="Z203" s="15"/>
      <c r="AA203" s="15"/>
      <c r="AB203" s="15"/>
      <c r="AC203" s="16"/>
      <c r="AD203" s="16"/>
      <c r="AE203" s="16"/>
      <c r="AF203" s="16"/>
      <c r="AG203" s="16"/>
      <c r="AH203" s="16"/>
      <c r="AI203" s="16"/>
      <c r="AJ203" s="16"/>
      <c r="AK203" s="16"/>
      <c r="AL203" s="17"/>
      <c r="AM203" s="18" t="s">
        <v>192</v>
      </c>
      <c r="AN203" s="18"/>
      <c r="AO203" s="18"/>
      <c r="AP203" s="18"/>
      <c r="AQ203" s="18"/>
      <c r="AR203" s="18"/>
      <c r="AS203" s="18"/>
      <c r="AT203" s="18"/>
      <c r="AU203" s="18"/>
      <c r="AV203" s="18"/>
      <c r="AW203" s="18"/>
      <c r="AX203" s="16"/>
      <c r="AY203" s="19"/>
    </row>
    <row r="204" spans="1:51">
      <c r="A204" s="26"/>
      <c r="B204" s="15"/>
      <c r="C204" s="15"/>
      <c r="D204" s="15"/>
      <c r="E204" s="27"/>
      <c r="F204" s="27"/>
      <c r="G204" s="15"/>
      <c r="H204" s="15"/>
      <c r="I204" s="15"/>
      <c r="J204" s="15"/>
      <c r="K204" s="15"/>
      <c r="L204" s="15"/>
      <c r="M204" s="15"/>
      <c r="N204" s="15"/>
      <c r="O204" s="28"/>
      <c r="P204" s="15"/>
      <c r="Q204" s="15"/>
      <c r="R204" s="15"/>
      <c r="S204" s="15"/>
      <c r="T204" s="15"/>
      <c r="U204" s="15"/>
      <c r="V204" s="15"/>
      <c r="W204" s="15"/>
      <c r="X204" s="15"/>
      <c r="Y204" s="15"/>
      <c r="Z204" s="15"/>
      <c r="AA204" s="15"/>
      <c r="AB204" s="15"/>
      <c r="AC204" s="16"/>
      <c r="AD204" s="16"/>
      <c r="AE204" s="16"/>
      <c r="AF204" s="16"/>
      <c r="AG204" s="16"/>
      <c r="AH204" s="16"/>
      <c r="AI204" s="16"/>
      <c r="AJ204" s="16"/>
      <c r="AK204" s="16"/>
      <c r="AL204" s="17"/>
      <c r="AM204" s="86" t="s">
        <v>195</v>
      </c>
      <c r="AP204" s="18"/>
      <c r="AQ204" s="18"/>
      <c r="AR204" s="18"/>
      <c r="AS204" s="18"/>
      <c r="AT204" s="18"/>
      <c r="AU204" s="18"/>
      <c r="AV204" s="18"/>
      <c r="AW204" s="18"/>
      <c r="AX204" s="18"/>
      <c r="AY204" s="19"/>
    </row>
    <row r="205" spans="1:51">
      <c r="A205" s="26"/>
      <c r="B205" s="15"/>
      <c r="C205" s="15"/>
      <c r="D205" s="15"/>
      <c r="E205" s="27"/>
      <c r="F205" s="27"/>
      <c r="G205" s="15"/>
      <c r="H205" s="15"/>
      <c r="I205" s="15"/>
      <c r="J205" s="15"/>
      <c r="K205" s="15"/>
      <c r="L205" s="15"/>
      <c r="M205" s="15"/>
      <c r="N205" s="15"/>
      <c r="O205" s="28"/>
      <c r="P205" s="15"/>
      <c r="Q205" s="15"/>
      <c r="R205" s="15"/>
      <c r="S205" s="15"/>
      <c r="T205" s="15"/>
      <c r="U205" s="15"/>
      <c r="V205" s="15"/>
      <c r="W205" s="15"/>
      <c r="X205" s="15"/>
      <c r="Y205" s="15"/>
      <c r="Z205" s="15"/>
      <c r="AA205" s="15"/>
      <c r="AB205" s="15"/>
      <c r="AC205" s="16"/>
      <c r="AD205" s="16"/>
      <c r="AE205" s="16"/>
      <c r="AF205" s="16"/>
      <c r="AG205" s="16"/>
      <c r="AH205" s="16"/>
      <c r="AI205" s="16"/>
      <c r="AJ205" s="16"/>
      <c r="AK205" s="16"/>
      <c r="AL205" s="17"/>
      <c r="AN205" s="87" t="s">
        <v>197</v>
      </c>
      <c r="AO205" s="18"/>
      <c r="AP205" s="18"/>
      <c r="AQ205" s="18"/>
      <c r="AR205" s="18"/>
      <c r="AS205" s="18"/>
      <c r="AT205" s="18"/>
      <c r="AU205" s="18"/>
      <c r="AV205" s="18"/>
      <c r="AW205" s="18"/>
      <c r="AX205" s="18"/>
      <c r="AY205" s="19"/>
    </row>
    <row r="206" spans="1:51">
      <c r="A206" s="26"/>
      <c r="B206" s="15"/>
      <c r="C206" s="15"/>
      <c r="D206" s="15"/>
      <c r="E206" s="27"/>
      <c r="F206" s="27"/>
      <c r="G206" s="15"/>
      <c r="H206" s="15"/>
      <c r="I206" s="15"/>
      <c r="J206" s="15"/>
      <c r="K206" s="15"/>
      <c r="L206" s="15"/>
      <c r="M206" s="15"/>
      <c r="N206" s="15"/>
      <c r="O206" s="28"/>
      <c r="P206" s="15"/>
      <c r="Q206" s="15"/>
      <c r="R206" s="15"/>
      <c r="S206" s="15"/>
      <c r="T206" s="15"/>
      <c r="U206" s="15"/>
      <c r="V206" s="15"/>
      <c r="W206" s="15"/>
      <c r="X206" s="15"/>
      <c r="Y206" s="15"/>
      <c r="Z206" s="15"/>
      <c r="AA206" s="15"/>
      <c r="AB206" s="15"/>
      <c r="AC206" s="16"/>
      <c r="AD206" s="16"/>
      <c r="AE206" s="16"/>
      <c r="AF206" s="16"/>
      <c r="AG206" s="16"/>
      <c r="AH206" s="16"/>
      <c r="AI206" s="16"/>
      <c r="AJ206" s="16"/>
      <c r="AK206" s="16"/>
      <c r="AL206" s="17"/>
      <c r="AN206" s="87" t="s">
        <v>194</v>
      </c>
      <c r="AO206" s="18"/>
      <c r="AP206" s="18"/>
      <c r="AQ206" s="18"/>
      <c r="AR206" s="18"/>
      <c r="AS206" s="18"/>
      <c r="AT206" s="18"/>
      <c r="AU206" s="18"/>
      <c r="AV206" s="18"/>
      <c r="AW206" s="18"/>
      <c r="AX206" s="18"/>
      <c r="AY206" s="19"/>
    </row>
    <row r="207" spans="1:51">
      <c r="A207" s="88"/>
      <c r="B207" s="15"/>
      <c r="C207" s="15"/>
      <c r="D207" s="15"/>
      <c r="E207" s="27"/>
      <c r="F207" s="27"/>
      <c r="G207" s="15"/>
      <c r="H207" s="15"/>
      <c r="I207" s="15"/>
      <c r="J207" s="15"/>
      <c r="K207" s="15"/>
      <c r="L207" s="15"/>
      <c r="M207" s="15"/>
      <c r="N207" s="15"/>
      <c r="O207" s="28"/>
      <c r="P207" s="15"/>
      <c r="Q207" s="15"/>
      <c r="R207" s="15"/>
      <c r="S207" s="15"/>
      <c r="T207" s="15"/>
      <c r="U207" s="15"/>
      <c r="V207" s="15"/>
      <c r="W207" s="15"/>
      <c r="X207" s="15"/>
      <c r="Y207" s="15"/>
      <c r="Z207" s="15"/>
      <c r="AA207" s="15"/>
      <c r="AB207" s="15"/>
      <c r="AC207" s="16"/>
      <c r="AD207" s="16"/>
      <c r="AE207" s="16"/>
      <c r="AF207" s="16"/>
      <c r="AG207" s="16"/>
      <c r="AH207" s="16"/>
      <c r="AI207" s="16"/>
      <c r="AJ207" s="16"/>
      <c r="AK207" s="16"/>
      <c r="AL207" s="17"/>
      <c r="AN207" s="87"/>
      <c r="AO207" s="18"/>
      <c r="AP207" s="18"/>
      <c r="AQ207" s="18"/>
      <c r="AR207" s="18"/>
      <c r="AS207" s="18"/>
      <c r="AT207" s="18"/>
      <c r="AU207" s="18"/>
      <c r="AV207" s="18"/>
      <c r="AW207" s="18"/>
      <c r="AX207" s="18"/>
      <c r="AY207" s="19"/>
    </row>
    <row r="208" spans="1:51">
      <c r="B208" s="15"/>
      <c r="C208" s="15"/>
      <c r="D208" s="15"/>
      <c r="E208" s="27"/>
      <c r="F208" s="27"/>
      <c r="G208" s="15"/>
      <c r="H208" s="15"/>
      <c r="I208" s="15"/>
      <c r="J208" s="15"/>
      <c r="K208" s="15"/>
      <c r="L208" s="15"/>
      <c r="M208" s="15"/>
      <c r="N208" s="15"/>
      <c r="O208" s="28"/>
      <c r="P208" s="15"/>
      <c r="Q208" s="15"/>
      <c r="R208" s="15"/>
      <c r="S208" s="15"/>
      <c r="T208" s="15"/>
      <c r="U208" s="15"/>
      <c r="V208" s="15"/>
      <c r="W208" s="15"/>
      <c r="X208" s="15"/>
      <c r="Y208" s="15"/>
      <c r="Z208" s="15"/>
      <c r="AA208" s="15"/>
      <c r="AB208" s="15"/>
      <c r="AC208" s="16"/>
      <c r="AD208" s="16"/>
      <c r="AE208" s="16"/>
      <c r="AF208" s="16"/>
      <c r="AG208" s="16"/>
      <c r="AH208" s="16"/>
      <c r="AI208" s="16"/>
      <c r="AJ208" s="16"/>
      <c r="AK208" s="16"/>
      <c r="AL208" s="17"/>
      <c r="AM208" s="86" t="s">
        <v>196</v>
      </c>
      <c r="AN208" s="85"/>
      <c r="AO208" s="18"/>
      <c r="AP208" s="18"/>
      <c r="AQ208" s="18"/>
      <c r="AR208" s="18"/>
      <c r="AS208" s="18"/>
      <c r="AT208" s="18"/>
      <c r="AU208" s="18"/>
      <c r="AV208" s="18"/>
      <c r="AW208" s="18"/>
      <c r="AX208" s="18"/>
      <c r="AY208" s="19"/>
    </row>
    <row r="209" spans="1:51">
      <c r="B209" s="15"/>
      <c r="C209" s="15"/>
      <c r="D209" s="15"/>
      <c r="E209" s="27"/>
      <c r="F209" s="27"/>
      <c r="G209" s="15"/>
      <c r="H209" s="15"/>
      <c r="I209" s="15"/>
      <c r="J209" s="15"/>
      <c r="K209" s="15"/>
      <c r="L209" s="15"/>
      <c r="M209" s="15"/>
      <c r="N209" s="15"/>
      <c r="O209" s="28"/>
      <c r="P209" s="15"/>
      <c r="Q209" s="15"/>
      <c r="R209" s="15"/>
      <c r="S209" s="15"/>
      <c r="T209" s="15"/>
      <c r="U209" s="15"/>
      <c r="V209" s="15"/>
      <c r="W209" s="15"/>
      <c r="X209" s="15"/>
      <c r="Y209" s="15"/>
      <c r="Z209" s="15"/>
      <c r="AA209" s="15"/>
      <c r="AB209" s="15"/>
      <c r="AC209" s="16"/>
      <c r="AD209" s="16"/>
      <c r="AE209" s="16"/>
      <c r="AF209" s="16"/>
      <c r="AG209" s="16"/>
      <c r="AH209" s="16"/>
      <c r="AI209" s="16"/>
      <c r="AJ209" s="16"/>
      <c r="AK209" s="16"/>
      <c r="AL209" s="17"/>
      <c r="AN209" s="69" t="s">
        <v>108</v>
      </c>
      <c r="AO209" s="18"/>
      <c r="AP209" s="18"/>
      <c r="AQ209" s="18"/>
      <c r="AR209" s="18"/>
      <c r="AS209" s="18"/>
      <c r="AT209" s="18"/>
      <c r="AU209" s="18"/>
      <c r="AV209" s="18"/>
      <c r="AW209" s="18"/>
      <c r="AX209" s="18"/>
      <c r="AY209" s="19"/>
    </row>
    <row r="210" spans="1:51">
      <c r="B210" s="15"/>
      <c r="C210" s="15"/>
      <c r="D210" s="15"/>
      <c r="E210" s="27"/>
      <c r="F210" s="27"/>
      <c r="G210" s="15"/>
      <c r="H210" s="15"/>
      <c r="I210" s="15"/>
      <c r="J210" s="15"/>
      <c r="K210" s="15"/>
      <c r="L210" s="15"/>
      <c r="M210" s="15"/>
      <c r="N210" s="15"/>
      <c r="O210" s="28"/>
      <c r="P210" s="15"/>
      <c r="Q210" s="15"/>
      <c r="R210" s="15"/>
      <c r="S210" s="15"/>
      <c r="T210" s="15"/>
      <c r="U210" s="15"/>
      <c r="V210" s="15"/>
      <c r="W210" s="15"/>
      <c r="X210" s="15"/>
      <c r="Y210" s="15"/>
      <c r="Z210" s="15"/>
      <c r="AA210" s="15"/>
      <c r="AB210" s="15"/>
      <c r="AC210" s="16"/>
      <c r="AD210" s="16"/>
      <c r="AE210" s="16"/>
      <c r="AF210" s="16"/>
      <c r="AG210" s="16"/>
      <c r="AH210" s="16"/>
      <c r="AI210" s="16"/>
      <c r="AJ210" s="16"/>
      <c r="AK210" s="16"/>
      <c r="AL210" s="17"/>
      <c r="AM210" s="52"/>
      <c r="AN210" s="69" t="s">
        <v>107</v>
      </c>
      <c r="AO210" s="18"/>
      <c r="AP210" s="18"/>
      <c r="AQ210" s="18"/>
      <c r="AR210" s="18"/>
      <c r="AS210" s="18"/>
      <c r="AT210" s="18"/>
      <c r="AU210" s="18"/>
      <c r="AV210" s="18"/>
      <c r="AW210" s="18"/>
      <c r="AX210" s="18"/>
      <c r="AY210" s="19"/>
    </row>
    <row r="211" spans="1:51">
      <c r="B211" s="15"/>
      <c r="C211" s="15"/>
      <c r="D211" s="15"/>
      <c r="E211" s="27"/>
      <c r="F211" s="27"/>
      <c r="G211" s="15"/>
      <c r="H211" s="15"/>
      <c r="I211" s="15"/>
      <c r="J211" s="15"/>
      <c r="K211" s="15"/>
      <c r="L211" s="15"/>
      <c r="M211" s="15"/>
      <c r="N211" s="15"/>
      <c r="O211" s="28"/>
      <c r="P211" s="15"/>
      <c r="Q211" s="15"/>
      <c r="R211" s="15"/>
      <c r="S211" s="15"/>
      <c r="T211" s="15"/>
      <c r="U211" s="15"/>
      <c r="V211" s="15"/>
      <c r="W211" s="15"/>
      <c r="X211" s="15"/>
      <c r="Y211" s="15"/>
      <c r="Z211" s="15"/>
      <c r="AA211" s="15"/>
      <c r="AB211" s="15"/>
      <c r="AC211" s="16"/>
      <c r="AD211" s="16"/>
      <c r="AE211" s="16"/>
      <c r="AF211" s="16"/>
      <c r="AG211" s="16"/>
      <c r="AH211" s="16"/>
      <c r="AI211" s="16"/>
      <c r="AJ211" s="16"/>
      <c r="AK211" s="16"/>
      <c r="AL211" s="17"/>
      <c r="AM211" s="31"/>
      <c r="AN211" s="69" t="s">
        <v>109</v>
      </c>
      <c r="AO211" s="18"/>
      <c r="AP211" s="18"/>
      <c r="AQ211" s="18"/>
      <c r="AR211" s="18"/>
      <c r="AS211" s="18"/>
      <c r="AT211" s="18"/>
      <c r="AU211" s="18"/>
      <c r="AV211" s="18"/>
      <c r="AW211" s="18"/>
      <c r="AX211" s="18"/>
      <c r="AY211" s="19"/>
    </row>
    <row r="212" spans="1:51">
      <c r="A212" s="26"/>
      <c r="B212" s="15"/>
      <c r="C212" s="15"/>
      <c r="D212" s="15"/>
      <c r="E212" s="27"/>
      <c r="F212" s="27"/>
      <c r="G212" s="15"/>
      <c r="H212" s="15"/>
      <c r="I212" s="15"/>
      <c r="J212" s="15"/>
      <c r="K212" s="15"/>
      <c r="L212" s="15"/>
      <c r="M212" s="15"/>
      <c r="N212" s="15"/>
      <c r="O212" s="28"/>
      <c r="P212" s="15"/>
      <c r="Q212" s="15"/>
      <c r="R212" s="15"/>
      <c r="S212" s="15"/>
      <c r="T212" s="15"/>
      <c r="U212" s="15"/>
      <c r="V212" s="15"/>
      <c r="W212" s="15"/>
      <c r="X212" s="15"/>
      <c r="Y212" s="15"/>
      <c r="Z212" s="15"/>
      <c r="AA212" s="15"/>
      <c r="AB212" s="15"/>
      <c r="AC212" s="16"/>
      <c r="AD212" s="16"/>
      <c r="AE212" s="16"/>
      <c r="AF212" s="16"/>
      <c r="AG212" s="16"/>
      <c r="AH212" s="16"/>
      <c r="AI212" s="16"/>
      <c r="AJ212" s="16"/>
      <c r="AK212" s="16"/>
      <c r="AL212" s="17"/>
      <c r="AM212" s="31"/>
      <c r="AN212" s="69" t="s">
        <v>106</v>
      </c>
      <c r="AO212" s="18"/>
      <c r="AP212" s="18"/>
      <c r="AQ212" s="18"/>
      <c r="AR212" s="18"/>
      <c r="AS212" s="18"/>
      <c r="AT212" s="18"/>
      <c r="AU212" s="18"/>
      <c r="AV212" s="18"/>
      <c r="AW212" s="18"/>
      <c r="AX212" s="18"/>
      <c r="AY212" s="19"/>
    </row>
    <row r="213" spans="1:51">
      <c r="B213" s="15"/>
      <c r="C213" s="198" t="s">
        <v>375</v>
      </c>
      <c r="D213" s="15"/>
      <c r="E213" s="27"/>
      <c r="F213" s="27"/>
      <c r="G213" s="15"/>
      <c r="H213" s="15"/>
      <c r="I213" s="15"/>
      <c r="J213" s="15"/>
      <c r="K213" s="15"/>
      <c r="L213" s="15"/>
      <c r="M213" s="15"/>
      <c r="N213" s="15"/>
      <c r="O213" s="28"/>
      <c r="P213" s="15"/>
      <c r="Q213" s="15"/>
      <c r="R213" s="15"/>
      <c r="S213" s="15"/>
      <c r="T213" s="15"/>
      <c r="U213" s="15"/>
      <c r="V213" s="15"/>
      <c r="W213" s="15"/>
      <c r="X213" s="15"/>
      <c r="Y213" s="15"/>
      <c r="Z213" s="15"/>
      <c r="AA213" s="15"/>
      <c r="AB213" s="15"/>
      <c r="AC213" s="16"/>
      <c r="AD213" s="16"/>
      <c r="AE213" s="16"/>
      <c r="AF213" s="16"/>
      <c r="AG213" s="16"/>
      <c r="AH213" s="16"/>
      <c r="AI213" s="16"/>
      <c r="AJ213" s="16"/>
      <c r="AK213" s="16"/>
      <c r="AL213" s="17"/>
      <c r="AO213" s="18"/>
      <c r="AP213" s="18"/>
      <c r="AQ213" s="18"/>
      <c r="AR213" s="18"/>
      <c r="AS213" s="18"/>
      <c r="AT213" s="18"/>
      <c r="AU213" s="18"/>
      <c r="AV213" s="18"/>
      <c r="AW213" s="18"/>
      <c r="AX213" s="18"/>
      <c r="AY213" s="19"/>
    </row>
    <row r="214" spans="1:51">
      <c r="A214" s="26"/>
      <c r="B214" s="15"/>
      <c r="C214" s="15"/>
      <c r="D214" s="15"/>
      <c r="E214" s="27"/>
      <c r="F214" s="27"/>
      <c r="G214" s="15"/>
      <c r="H214" s="15"/>
      <c r="I214" s="15"/>
      <c r="J214" s="15"/>
      <c r="K214" s="15"/>
      <c r="L214" s="15"/>
      <c r="M214" s="15"/>
      <c r="N214" s="15"/>
      <c r="O214" s="28"/>
      <c r="P214" s="15"/>
      <c r="Q214" s="15"/>
      <c r="R214" s="15"/>
      <c r="S214" s="15"/>
      <c r="T214" s="15"/>
      <c r="U214" s="15"/>
      <c r="V214" s="15"/>
      <c r="W214" s="15"/>
      <c r="X214" s="15"/>
      <c r="Y214" s="15"/>
      <c r="Z214" s="15"/>
      <c r="AA214" s="15"/>
      <c r="AB214" s="15"/>
      <c r="AC214" s="16"/>
      <c r="AD214" s="16"/>
      <c r="AE214" s="16"/>
      <c r="AF214" s="16"/>
      <c r="AG214" s="16"/>
      <c r="AH214" s="16"/>
      <c r="AI214" s="16"/>
      <c r="AJ214" s="16"/>
      <c r="AK214" s="16"/>
      <c r="AL214" s="17"/>
      <c r="AM214" s="20" t="s">
        <v>198</v>
      </c>
      <c r="AN214" s="18"/>
      <c r="AO214" s="18"/>
      <c r="AP214" s="18"/>
      <c r="AQ214" s="18"/>
      <c r="AR214" s="18"/>
      <c r="AS214" s="18"/>
      <c r="AT214" s="18"/>
      <c r="AU214" s="18"/>
      <c r="AV214" s="18"/>
      <c r="AW214" s="18"/>
      <c r="AX214" s="18"/>
      <c r="AY214" s="19"/>
    </row>
    <row r="215" spans="1:51">
      <c r="A215" s="26"/>
      <c r="B215" s="15"/>
      <c r="C215" s="15"/>
      <c r="D215" s="15"/>
      <c r="E215" s="27"/>
      <c r="F215" s="27"/>
      <c r="G215" s="15"/>
      <c r="H215" s="15"/>
      <c r="I215" s="15"/>
      <c r="J215" s="15"/>
      <c r="K215" s="15"/>
      <c r="L215" s="15"/>
      <c r="M215" s="15"/>
      <c r="N215" s="15"/>
      <c r="O215" s="28"/>
      <c r="P215" s="15"/>
      <c r="Q215" s="15"/>
      <c r="R215" s="15"/>
      <c r="S215" s="15"/>
      <c r="T215" s="15"/>
      <c r="U215" s="15"/>
      <c r="V215" s="15"/>
      <c r="W215" s="15"/>
      <c r="X215" s="15"/>
      <c r="Y215" s="15"/>
      <c r="Z215" s="15"/>
      <c r="AA215" s="15"/>
      <c r="AB215" s="15"/>
      <c r="AC215" s="16"/>
      <c r="AD215" s="16"/>
      <c r="AE215" s="16"/>
      <c r="AF215" s="16"/>
      <c r="AG215" s="16"/>
      <c r="AH215" s="16"/>
      <c r="AI215" s="16"/>
      <c r="AJ215" s="16"/>
      <c r="AK215" s="16"/>
      <c r="AL215" s="17"/>
      <c r="AN215" s="18"/>
      <c r="AO215" s="18"/>
      <c r="AP215" s="18"/>
      <c r="AQ215" s="18"/>
      <c r="AR215" s="18"/>
      <c r="AS215" s="18"/>
      <c r="AT215" s="18"/>
      <c r="AU215" s="18"/>
      <c r="AV215" s="18"/>
      <c r="AW215" s="18"/>
      <c r="AX215" s="18"/>
      <c r="AY215" s="19"/>
    </row>
    <row r="216" spans="1:51">
      <c r="A216" s="26"/>
      <c r="B216" s="15"/>
      <c r="C216" s="15"/>
      <c r="D216" s="15"/>
      <c r="E216" s="27"/>
      <c r="F216" s="27"/>
      <c r="G216" s="15"/>
      <c r="H216" s="15"/>
      <c r="I216" s="15"/>
      <c r="J216" s="15"/>
      <c r="K216" s="15"/>
      <c r="L216" s="15"/>
      <c r="M216" s="15"/>
      <c r="N216" s="15"/>
      <c r="O216" s="28"/>
      <c r="P216" s="15"/>
      <c r="Q216" s="15"/>
      <c r="R216" s="15"/>
      <c r="S216" s="15"/>
      <c r="T216" s="15"/>
      <c r="U216" s="15"/>
      <c r="V216" s="15"/>
      <c r="W216" s="15"/>
      <c r="X216" s="15"/>
      <c r="Y216" s="15"/>
      <c r="Z216" s="15"/>
      <c r="AA216" s="15"/>
      <c r="AB216" s="15"/>
      <c r="AC216" s="16"/>
      <c r="AD216" s="16"/>
      <c r="AE216" s="16"/>
      <c r="AF216" s="16"/>
      <c r="AG216" s="16"/>
      <c r="AH216" s="16"/>
      <c r="AI216" s="16"/>
      <c r="AJ216" s="16"/>
      <c r="AK216" s="16"/>
      <c r="AL216" s="17"/>
      <c r="AN216" s="18"/>
      <c r="AO216" s="18"/>
      <c r="AP216" s="18"/>
      <c r="AQ216" s="18"/>
      <c r="AR216" s="18"/>
      <c r="AS216" s="18"/>
      <c r="AT216" s="18"/>
      <c r="AU216" s="18"/>
      <c r="AV216" s="18"/>
      <c r="AW216" s="18"/>
      <c r="AX216" s="18"/>
      <c r="AY216" s="19"/>
    </row>
    <row r="217" spans="1:51">
      <c r="A217" s="26"/>
      <c r="B217" s="15"/>
      <c r="C217" s="15"/>
      <c r="D217" s="15"/>
      <c r="E217" s="27"/>
      <c r="F217" s="27"/>
      <c r="G217" s="15"/>
      <c r="H217" s="15"/>
      <c r="I217" s="15"/>
      <c r="J217" s="15"/>
      <c r="K217" s="15"/>
      <c r="L217" s="15"/>
      <c r="M217" s="15"/>
      <c r="N217" s="15"/>
      <c r="O217" s="28"/>
      <c r="P217" s="15"/>
      <c r="Q217" s="15"/>
      <c r="R217" s="15"/>
      <c r="S217" s="15"/>
      <c r="T217" s="15"/>
      <c r="U217" s="15"/>
      <c r="V217" s="15"/>
      <c r="W217" s="15"/>
      <c r="X217" s="15"/>
      <c r="Y217" s="15"/>
      <c r="Z217" s="15"/>
      <c r="AA217" s="15"/>
      <c r="AB217" s="15"/>
      <c r="AC217" s="16"/>
      <c r="AD217" s="16"/>
      <c r="AE217" s="16"/>
      <c r="AF217" s="16"/>
      <c r="AG217" s="16"/>
      <c r="AH217" s="16"/>
      <c r="AI217" s="16"/>
      <c r="AJ217" s="16"/>
      <c r="AK217" s="16"/>
      <c r="AL217" s="17"/>
      <c r="AM217" s="18"/>
      <c r="AS217" s="18"/>
      <c r="AT217" s="18"/>
      <c r="AU217" s="18"/>
      <c r="AV217" s="18"/>
      <c r="AW217" s="18"/>
      <c r="AX217" s="18"/>
      <c r="AY217" s="19"/>
    </row>
    <row r="218" spans="1:51">
      <c r="A218" s="9"/>
      <c r="AL218" s="29"/>
      <c r="AM218" s="18" t="s">
        <v>193</v>
      </c>
      <c r="AX218" s="20"/>
      <c r="AY218" s="10"/>
    </row>
    <row r="219" spans="1:51">
      <c r="A219" s="9"/>
      <c r="AL219" s="29"/>
      <c r="AM219" s="77" t="s">
        <v>199</v>
      </c>
      <c r="AV219" s="20"/>
      <c r="AW219" s="20"/>
      <c r="AX219" s="20"/>
      <c r="AY219" s="10"/>
    </row>
    <row r="220" spans="1:51">
      <c r="A220" s="26"/>
      <c r="AL220" s="29"/>
      <c r="AM220" s="20">
        <v>1</v>
      </c>
      <c r="AN220" s="90" t="s">
        <v>200</v>
      </c>
      <c r="AV220" s="20"/>
      <c r="AW220" s="89" t="s">
        <v>207</v>
      </c>
      <c r="AX220" s="20"/>
      <c r="AY220" s="10"/>
    </row>
    <row r="221" spans="1:51">
      <c r="A221" s="9"/>
      <c r="AL221" s="29"/>
      <c r="AM221" s="20">
        <v>2</v>
      </c>
      <c r="AN221" s="90" t="s">
        <v>201</v>
      </c>
      <c r="AV221" s="20"/>
      <c r="AW221" s="89" t="s">
        <v>208</v>
      </c>
      <c r="AX221" s="20"/>
      <c r="AY221" s="10"/>
    </row>
    <row r="222" spans="1:51">
      <c r="A222" s="9"/>
      <c r="AL222" s="29"/>
      <c r="AM222" s="20">
        <v>3</v>
      </c>
      <c r="AN222" s="90" t="s">
        <v>206</v>
      </c>
      <c r="AV222" s="20"/>
      <c r="AW222" s="89" t="s">
        <v>209</v>
      </c>
      <c r="AX222" s="20"/>
      <c r="AY222" s="10"/>
    </row>
    <row r="223" spans="1:51">
      <c r="A223" s="9"/>
      <c r="AL223" s="29"/>
      <c r="AM223" s="20">
        <v>4</v>
      </c>
      <c r="AN223" s="90" t="s">
        <v>203</v>
      </c>
      <c r="AV223" s="20"/>
      <c r="AW223" s="89" t="s">
        <v>210</v>
      </c>
      <c r="AX223" s="20"/>
      <c r="AY223" s="10"/>
    </row>
    <row r="224" spans="1:51">
      <c r="A224" s="9"/>
      <c r="AL224" s="29"/>
      <c r="AM224" s="20">
        <v>5</v>
      </c>
      <c r="AN224" s="90" t="s">
        <v>205</v>
      </c>
      <c r="AV224" s="20"/>
      <c r="AW224" s="89"/>
      <c r="AX224" s="20"/>
      <c r="AY224" s="10"/>
    </row>
    <row r="225" spans="1:51">
      <c r="A225" s="9"/>
      <c r="AL225" s="29"/>
      <c r="AM225" s="20">
        <v>6</v>
      </c>
      <c r="AN225" s="90" t="s">
        <v>204</v>
      </c>
      <c r="AV225" s="20"/>
      <c r="AW225" s="89"/>
      <c r="AX225" s="20"/>
      <c r="AY225" s="10"/>
    </row>
    <row r="226" spans="1:51">
      <c r="A226" s="9"/>
      <c r="AL226" s="29"/>
      <c r="AM226" s="31" t="s">
        <v>379</v>
      </c>
      <c r="AV226" s="20"/>
      <c r="AW226" s="89"/>
      <c r="AX226" s="20"/>
      <c r="AY226" s="10"/>
    </row>
    <row r="227" spans="1:51">
      <c r="A227" s="9"/>
      <c r="AL227" s="29"/>
      <c r="AV227" s="20"/>
      <c r="AW227" s="20"/>
      <c r="AX227" s="20"/>
      <c r="AY227" s="10"/>
    </row>
    <row r="228" spans="1:51">
      <c r="A228" s="9"/>
      <c r="AL228" s="29"/>
      <c r="AM228" s="31" t="s">
        <v>376</v>
      </c>
      <c r="AV228" s="20"/>
      <c r="AW228" s="20"/>
      <c r="AX228" s="20"/>
      <c r="AY228" s="10"/>
    </row>
    <row r="229" spans="1:51">
      <c r="A229" s="9"/>
      <c r="AL229" s="29"/>
      <c r="AM229" s="20" t="s">
        <v>377</v>
      </c>
      <c r="AV229" s="20"/>
      <c r="AW229" s="20"/>
      <c r="AX229" s="20"/>
      <c r="AY229" s="10"/>
    </row>
    <row r="230" spans="1:51">
      <c r="A230" s="9"/>
      <c r="AL230" s="29"/>
      <c r="AM230" s="62" t="s">
        <v>378</v>
      </c>
      <c r="AN230" s="18"/>
      <c r="AV230" s="20"/>
      <c r="AW230" s="20"/>
      <c r="AX230" s="20"/>
      <c r="AY230" s="10"/>
    </row>
    <row r="231" spans="1:51">
      <c r="A231" s="9"/>
      <c r="AL231" s="29"/>
      <c r="AN231" s="18"/>
      <c r="AV231" s="20"/>
      <c r="AW231" s="20"/>
      <c r="AX231" s="20"/>
      <c r="AY231" s="10"/>
    </row>
    <row r="232" spans="1:51">
      <c r="A232" s="9"/>
      <c r="AL232" s="29"/>
      <c r="AM232" s="216" t="s">
        <v>405</v>
      </c>
      <c r="AN232" s="18"/>
      <c r="AV232" s="20"/>
      <c r="AW232" s="20"/>
      <c r="AX232" s="20"/>
      <c r="AY232" s="10"/>
    </row>
    <row r="233" spans="1:51">
      <c r="A233" s="9"/>
      <c r="AL233" s="29"/>
      <c r="AM233" s="217" t="s">
        <v>419</v>
      </c>
      <c r="AN233" s="18"/>
      <c r="AV233" s="20"/>
      <c r="AW233" s="20"/>
      <c r="AX233" s="20"/>
      <c r="AY233" s="10"/>
    </row>
    <row r="234" spans="1:51">
      <c r="A234" s="9"/>
      <c r="AL234" s="29"/>
      <c r="AM234" s="217" t="s">
        <v>420</v>
      </c>
      <c r="AN234" s="18"/>
      <c r="AV234" s="20"/>
      <c r="AW234" s="20"/>
      <c r="AX234" s="20"/>
      <c r="AY234" s="10"/>
    </row>
    <row r="235" spans="1:51">
      <c r="A235" s="9"/>
      <c r="AL235" s="29"/>
      <c r="AN235" s="18"/>
      <c r="AV235" s="20"/>
      <c r="AW235" s="20"/>
      <c r="AX235" s="20"/>
      <c r="AY235" s="10"/>
    </row>
    <row r="236" spans="1:51">
      <c r="A236" s="32"/>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4"/>
      <c r="AM236" s="62"/>
      <c r="AN236" s="62"/>
      <c r="AO236" s="62"/>
      <c r="AP236" s="62"/>
      <c r="AQ236" s="62"/>
      <c r="AR236" s="62"/>
      <c r="AS236" s="62"/>
      <c r="AT236" s="62"/>
      <c r="AU236" s="62"/>
      <c r="AV236" s="33"/>
      <c r="AW236" s="33"/>
      <c r="AX236" s="33"/>
      <c r="AY236" s="35"/>
    </row>
    <row r="237" spans="1:51" ht="16.899999999999999" customHeight="1">
      <c r="A237" s="311" t="s">
        <v>3</v>
      </c>
      <c r="B237" s="312"/>
      <c r="C237" s="312"/>
      <c r="D237" s="312"/>
      <c r="E237" s="312"/>
      <c r="F237" s="312"/>
      <c r="G237" s="312"/>
      <c r="H237" s="312"/>
      <c r="I237" s="312"/>
      <c r="J237" s="312"/>
      <c r="K237" s="312"/>
      <c r="L237" s="312"/>
      <c r="M237" s="312"/>
      <c r="N237" s="312"/>
      <c r="O237" s="313"/>
      <c r="P237" s="314" t="s">
        <v>211</v>
      </c>
      <c r="Q237" s="315"/>
      <c r="R237" s="315"/>
      <c r="S237" s="315"/>
      <c r="T237" s="315"/>
      <c r="U237" s="315"/>
      <c r="V237" s="315"/>
      <c r="W237" s="315"/>
      <c r="X237" s="315"/>
      <c r="Y237" s="315"/>
      <c r="Z237" s="315"/>
      <c r="AA237" s="315"/>
      <c r="AB237" s="315"/>
      <c r="AC237" s="315"/>
      <c r="AD237" s="315"/>
      <c r="AE237" s="315"/>
      <c r="AF237" s="315"/>
      <c r="AG237" s="315"/>
      <c r="AH237" s="315"/>
      <c r="AI237" s="315"/>
      <c r="AJ237" s="315"/>
      <c r="AK237" s="315"/>
      <c r="AL237" s="316"/>
      <c r="AM237" s="317"/>
      <c r="AN237" s="317"/>
      <c r="AO237" s="317"/>
      <c r="AP237" s="317"/>
      <c r="AQ237" s="317"/>
      <c r="AR237" s="317"/>
      <c r="AS237" s="317"/>
      <c r="AT237" s="317"/>
      <c r="AU237" s="317"/>
      <c r="AV237" s="317"/>
      <c r="AW237" s="317"/>
      <c r="AX237" s="317"/>
      <c r="AY237" s="318"/>
    </row>
    <row r="238" spans="1:51">
      <c r="A238" s="26"/>
      <c r="B238" s="15"/>
      <c r="C238" s="15"/>
      <c r="D238" s="15"/>
      <c r="E238" s="27"/>
      <c r="F238" s="27"/>
      <c r="G238" s="15"/>
      <c r="H238" s="15"/>
      <c r="I238" s="15"/>
      <c r="J238" s="15"/>
      <c r="K238" s="15"/>
      <c r="L238" s="15"/>
      <c r="M238" s="15"/>
      <c r="N238" s="15"/>
      <c r="O238" s="28"/>
      <c r="P238" s="15"/>
      <c r="Q238" s="15"/>
      <c r="R238" s="15"/>
      <c r="S238" s="15"/>
      <c r="T238" s="15"/>
      <c r="U238" s="15"/>
      <c r="V238" s="15"/>
      <c r="W238" s="15"/>
      <c r="X238" s="15"/>
      <c r="Y238" s="15"/>
      <c r="Z238" s="15"/>
      <c r="AA238" s="15"/>
      <c r="AB238" s="15"/>
      <c r="AC238" s="16"/>
      <c r="AD238" s="16"/>
      <c r="AE238" s="16"/>
      <c r="AF238" s="16"/>
      <c r="AG238" s="16"/>
      <c r="AH238" s="16"/>
      <c r="AI238" s="16"/>
      <c r="AJ238" s="16"/>
      <c r="AK238" s="16"/>
      <c r="AL238" s="17"/>
      <c r="AM238" s="18"/>
      <c r="AN238" s="18"/>
      <c r="AO238" s="18"/>
      <c r="AP238" s="18"/>
      <c r="AQ238" s="18"/>
      <c r="AR238" s="18"/>
      <c r="AS238" s="18"/>
      <c r="AT238" s="18"/>
      <c r="AU238" s="18"/>
      <c r="AV238" s="18"/>
      <c r="AW238" s="18"/>
      <c r="AX238" s="16"/>
      <c r="AY238" s="19"/>
    </row>
    <row r="239" spans="1:51">
      <c r="A239" s="26"/>
      <c r="B239" s="15"/>
      <c r="C239" s="15"/>
      <c r="D239" s="15"/>
      <c r="E239" s="27"/>
      <c r="F239" s="27"/>
      <c r="G239" s="15"/>
      <c r="H239" s="15"/>
      <c r="I239" s="15"/>
      <c r="J239" s="15"/>
      <c r="K239" s="15"/>
      <c r="L239" s="15"/>
      <c r="M239" s="15"/>
      <c r="N239" s="15"/>
      <c r="O239" s="28"/>
      <c r="P239" s="15"/>
      <c r="Q239" s="15"/>
      <c r="R239" s="15"/>
      <c r="S239" s="15"/>
      <c r="T239" s="15"/>
      <c r="U239" s="15"/>
      <c r="V239" s="15"/>
      <c r="W239" s="15"/>
      <c r="X239" s="15"/>
      <c r="Y239" s="15"/>
      <c r="Z239" s="15"/>
      <c r="AA239" s="15"/>
      <c r="AB239" s="15"/>
      <c r="AC239" s="16"/>
      <c r="AD239" s="16"/>
      <c r="AE239" s="16"/>
      <c r="AF239" s="16"/>
      <c r="AG239" s="16"/>
      <c r="AH239" s="16"/>
      <c r="AI239" s="16"/>
      <c r="AJ239" s="16"/>
      <c r="AK239" s="16"/>
      <c r="AL239" s="17"/>
      <c r="AM239" s="18"/>
      <c r="AN239" s="18"/>
      <c r="AP239" s="18"/>
      <c r="AQ239" s="18"/>
      <c r="AR239" s="18"/>
      <c r="AS239" s="18"/>
      <c r="AT239" s="18"/>
      <c r="AU239" s="18"/>
      <c r="AV239" s="18"/>
      <c r="AW239" s="18"/>
      <c r="AX239" s="18"/>
      <c r="AY239" s="19"/>
    </row>
    <row r="240" spans="1:51">
      <c r="A240" s="26"/>
      <c r="B240" s="15"/>
      <c r="C240" s="15"/>
      <c r="D240" s="15"/>
      <c r="E240" s="27"/>
      <c r="F240" s="27"/>
      <c r="G240" s="15"/>
      <c r="H240" s="15"/>
      <c r="I240" s="15"/>
      <c r="J240" s="15"/>
      <c r="K240" s="15"/>
      <c r="L240" s="15"/>
      <c r="M240" s="15"/>
      <c r="N240" s="15"/>
      <c r="O240" s="28"/>
      <c r="P240" s="15"/>
      <c r="Q240" s="15"/>
      <c r="R240" s="15"/>
      <c r="S240" s="15"/>
      <c r="T240" s="15"/>
      <c r="U240" s="15"/>
      <c r="V240" s="15"/>
      <c r="W240" s="15"/>
      <c r="X240" s="15"/>
      <c r="Y240" s="15"/>
      <c r="Z240" s="15"/>
      <c r="AA240" s="15"/>
      <c r="AB240" s="15"/>
      <c r="AC240" s="16"/>
      <c r="AD240" s="16"/>
      <c r="AE240" s="16"/>
      <c r="AF240" s="16"/>
      <c r="AG240" s="16"/>
      <c r="AH240" s="16"/>
      <c r="AI240" s="16"/>
      <c r="AJ240" s="16"/>
      <c r="AK240" s="16"/>
      <c r="AL240" s="17"/>
      <c r="AM240" s="90" t="s">
        <v>421</v>
      </c>
      <c r="AN240" s="18"/>
      <c r="AO240" s="18"/>
      <c r="AP240" s="18"/>
      <c r="AQ240" s="18"/>
      <c r="AR240" s="18"/>
      <c r="AS240" s="18"/>
      <c r="AT240" s="18"/>
      <c r="AU240" s="18"/>
      <c r="AV240" s="18"/>
      <c r="AW240" s="18"/>
      <c r="AX240" s="18"/>
      <c r="AY240" s="19"/>
    </row>
    <row r="241" spans="1:51">
      <c r="A241" s="26"/>
      <c r="B241" s="15"/>
      <c r="C241" s="15"/>
      <c r="D241" s="15"/>
      <c r="E241" s="27"/>
      <c r="F241" s="27"/>
      <c r="G241" s="15"/>
      <c r="H241" s="15"/>
      <c r="I241" s="15"/>
      <c r="J241" s="15"/>
      <c r="K241" s="15"/>
      <c r="L241" s="15"/>
      <c r="M241" s="15"/>
      <c r="N241" s="15"/>
      <c r="O241" s="28"/>
      <c r="P241" s="15"/>
      <c r="Q241" s="15"/>
      <c r="R241" s="15"/>
      <c r="S241" s="15"/>
      <c r="T241" s="15"/>
      <c r="U241" s="15"/>
      <c r="V241" s="15"/>
      <c r="W241" s="15"/>
      <c r="X241" s="15"/>
      <c r="Y241" s="15"/>
      <c r="Z241" s="15"/>
      <c r="AA241" s="15"/>
      <c r="AB241" s="15"/>
      <c r="AC241" s="16"/>
      <c r="AD241" s="16"/>
      <c r="AE241" s="16"/>
      <c r="AF241" s="16"/>
      <c r="AG241" s="16"/>
      <c r="AH241" s="16"/>
      <c r="AI241" s="16"/>
      <c r="AJ241" s="16"/>
      <c r="AK241" s="16"/>
      <c r="AL241" s="17"/>
      <c r="AM241" s="18" t="s">
        <v>382</v>
      </c>
      <c r="AN241" s="18"/>
      <c r="AO241" s="18"/>
      <c r="AP241" s="18"/>
      <c r="AQ241" s="18"/>
      <c r="AR241" s="18"/>
      <c r="AS241" s="18"/>
      <c r="AT241" s="18"/>
      <c r="AU241" s="18"/>
      <c r="AV241" s="18"/>
      <c r="AW241" s="18"/>
      <c r="AX241" s="18"/>
      <c r="AY241" s="19"/>
    </row>
    <row r="242" spans="1:51">
      <c r="A242" s="26"/>
      <c r="B242" s="15"/>
      <c r="C242" s="15"/>
      <c r="D242" s="15"/>
      <c r="E242" s="27"/>
      <c r="F242" s="27"/>
      <c r="G242" s="15"/>
      <c r="H242" s="15"/>
      <c r="I242" s="15"/>
      <c r="J242" s="15"/>
      <c r="K242" s="15"/>
      <c r="L242" s="15"/>
      <c r="M242" s="15"/>
      <c r="N242" s="15"/>
      <c r="O242" s="28"/>
      <c r="P242" s="15"/>
      <c r="Q242" s="15"/>
      <c r="R242" s="15"/>
      <c r="S242" s="15"/>
      <c r="T242" s="15"/>
      <c r="U242" s="15"/>
      <c r="V242" s="15"/>
      <c r="W242" s="15"/>
      <c r="X242" s="15"/>
      <c r="Y242" s="15"/>
      <c r="Z242" s="15"/>
      <c r="AA242" s="15"/>
      <c r="AB242" s="15"/>
      <c r="AC242" s="16"/>
      <c r="AD242" s="16"/>
      <c r="AE242" s="16"/>
      <c r="AF242" s="16"/>
      <c r="AG242" s="16"/>
      <c r="AH242" s="16"/>
      <c r="AI242" s="16"/>
      <c r="AJ242" s="16"/>
      <c r="AK242" s="16"/>
      <c r="AL242" s="17"/>
      <c r="AM242" s="18"/>
      <c r="AN242" s="18"/>
      <c r="AO242" s="18"/>
      <c r="AP242" s="18"/>
      <c r="AQ242" s="18"/>
      <c r="AR242" s="18"/>
      <c r="AS242" s="18"/>
      <c r="AT242" s="18"/>
      <c r="AU242" s="18"/>
      <c r="AV242" s="18"/>
      <c r="AW242" s="18"/>
      <c r="AX242" s="18"/>
      <c r="AY242" s="19"/>
    </row>
    <row r="243" spans="1:51">
      <c r="A243" s="26"/>
      <c r="B243" s="15"/>
      <c r="C243" s="15"/>
      <c r="D243" s="15"/>
      <c r="E243" s="27"/>
      <c r="F243" s="27"/>
      <c r="G243" s="15"/>
      <c r="H243" s="15"/>
      <c r="I243" s="15"/>
      <c r="J243" s="15"/>
      <c r="K243" s="15"/>
      <c r="L243" s="15"/>
      <c r="M243" s="15"/>
      <c r="N243" s="15"/>
      <c r="O243" s="28"/>
      <c r="P243" s="15"/>
      <c r="Q243" s="15"/>
      <c r="R243" s="15"/>
      <c r="S243" s="15"/>
      <c r="T243" s="15"/>
      <c r="U243" s="15"/>
      <c r="V243" s="15"/>
      <c r="W243" s="15"/>
      <c r="X243" s="15"/>
      <c r="Y243" s="15"/>
      <c r="Z243" s="15"/>
      <c r="AA243" s="15"/>
      <c r="AB243" s="15"/>
      <c r="AC243" s="16"/>
      <c r="AD243" s="16"/>
      <c r="AE243" s="16"/>
      <c r="AF243" s="16"/>
      <c r="AG243" s="16"/>
      <c r="AH243" s="16"/>
      <c r="AI243" s="16"/>
      <c r="AJ243" s="16"/>
      <c r="AK243" s="16"/>
      <c r="AL243" s="17"/>
      <c r="AM243" s="18"/>
      <c r="AN243" s="18"/>
      <c r="AO243" s="18"/>
      <c r="AP243" s="18"/>
      <c r="AQ243" s="18"/>
      <c r="AR243" s="18"/>
      <c r="AS243" s="18"/>
      <c r="AT243" s="18"/>
      <c r="AU243" s="18"/>
      <c r="AV243" s="18"/>
      <c r="AW243" s="18"/>
      <c r="AX243" s="18"/>
      <c r="AY243" s="19"/>
    </row>
    <row r="244" spans="1:51">
      <c r="A244" s="26"/>
      <c r="B244" s="15"/>
      <c r="C244" s="15"/>
      <c r="D244" s="15"/>
      <c r="E244" s="27"/>
      <c r="F244" s="27"/>
      <c r="G244" s="15"/>
      <c r="H244" s="15"/>
      <c r="I244" s="15"/>
      <c r="J244" s="15"/>
      <c r="K244" s="15"/>
      <c r="L244" s="15"/>
      <c r="M244" s="15"/>
      <c r="N244" s="15"/>
      <c r="O244" s="28"/>
      <c r="P244" s="15"/>
      <c r="Q244" s="15"/>
      <c r="R244" s="15"/>
      <c r="S244" s="15"/>
      <c r="T244" s="15"/>
      <c r="U244" s="15"/>
      <c r="V244" s="15"/>
      <c r="W244" s="15"/>
      <c r="X244" s="15"/>
      <c r="Y244" s="15"/>
      <c r="Z244" s="15"/>
      <c r="AA244" s="15"/>
      <c r="AB244" s="15"/>
      <c r="AC244" s="16"/>
      <c r="AD244" s="16"/>
      <c r="AE244" s="16"/>
      <c r="AF244" s="16"/>
      <c r="AG244" s="16"/>
      <c r="AH244" s="16"/>
      <c r="AI244" s="16"/>
      <c r="AJ244" s="16"/>
      <c r="AK244" s="16"/>
      <c r="AL244" s="17"/>
      <c r="AM244" s="18"/>
      <c r="AN244" s="18"/>
      <c r="AO244" s="18"/>
      <c r="AP244" s="18"/>
      <c r="AQ244" s="18"/>
      <c r="AR244" s="18"/>
      <c r="AS244" s="18"/>
      <c r="AT244" s="18"/>
      <c r="AU244" s="18"/>
      <c r="AV244" s="18"/>
      <c r="AW244" s="18"/>
      <c r="AX244" s="18"/>
      <c r="AY244" s="19"/>
    </row>
    <row r="245" spans="1:51">
      <c r="A245" s="26"/>
      <c r="B245" s="15"/>
      <c r="C245" s="15"/>
      <c r="D245" s="15"/>
      <c r="E245" s="27"/>
      <c r="F245" s="27"/>
      <c r="G245" s="15"/>
      <c r="H245" s="15"/>
      <c r="I245" s="15"/>
      <c r="J245" s="15"/>
      <c r="K245" s="15"/>
      <c r="L245" s="15"/>
      <c r="M245" s="15"/>
      <c r="N245" s="15"/>
      <c r="O245" s="28"/>
      <c r="P245" s="15"/>
      <c r="Q245" s="15"/>
      <c r="R245" s="15"/>
      <c r="S245" s="15"/>
      <c r="T245" s="15"/>
      <c r="U245" s="15"/>
      <c r="V245" s="15"/>
      <c r="W245" s="15"/>
      <c r="X245" s="15"/>
      <c r="Y245" s="15"/>
      <c r="Z245" s="15"/>
      <c r="AA245" s="15"/>
      <c r="AB245" s="15"/>
      <c r="AC245" s="16"/>
      <c r="AD245" s="16"/>
      <c r="AE245" s="16"/>
      <c r="AF245" s="16"/>
      <c r="AG245" s="16"/>
      <c r="AH245" s="16"/>
      <c r="AI245" s="16"/>
      <c r="AJ245" s="16"/>
      <c r="AK245" s="16"/>
      <c r="AL245" s="17"/>
      <c r="AM245" s="18"/>
      <c r="AN245" s="18"/>
      <c r="AO245" s="18"/>
      <c r="AP245" s="18"/>
      <c r="AQ245" s="18"/>
      <c r="AR245" s="18"/>
      <c r="AS245" s="18"/>
      <c r="AT245" s="18"/>
      <c r="AU245" s="18"/>
      <c r="AV245" s="18"/>
      <c r="AW245" s="18"/>
      <c r="AX245" s="18"/>
      <c r="AY245" s="19"/>
    </row>
    <row r="246" spans="1:51">
      <c r="A246" s="26"/>
      <c r="B246" s="15"/>
      <c r="C246" s="15"/>
      <c r="D246" s="15"/>
      <c r="E246" s="27"/>
      <c r="F246" s="27"/>
      <c r="G246" s="15"/>
      <c r="H246" s="15"/>
      <c r="I246" s="15"/>
      <c r="J246" s="15"/>
      <c r="K246" s="15"/>
      <c r="L246" s="15"/>
      <c r="M246" s="15"/>
      <c r="N246" s="15"/>
      <c r="O246" s="28"/>
      <c r="P246" s="15"/>
      <c r="Q246" s="15"/>
      <c r="R246" s="15"/>
      <c r="S246" s="15"/>
      <c r="T246" s="15"/>
      <c r="U246" s="15"/>
      <c r="V246" s="15"/>
      <c r="W246" s="15"/>
      <c r="X246" s="15"/>
      <c r="Y246" s="15"/>
      <c r="Z246" s="15"/>
      <c r="AA246" s="15"/>
      <c r="AB246" s="15"/>
      <c r="AC246" s="16"/>
      <c r="AD246" s="16"/>
      <c r="AE246" s="16"/>
      <c r="AF246" s="16"/>
      <c r="AG246" s="16"/>
      <c r="AH246" s="16"/>
      <c r="AI246" s="16"/>
      <c r="AJ246" s="16"/>
      <c r="AK246" s="16"/>
      <c r="AL246" s="17"/>
      <c r="AM246" s="18"/>
      <c r="AN246" s="18"/>
      <c r="AO246" s="18"/>
      <c r="AP246" s="18"/>
      <c r="AQ246" s="18"/>
      <c r="AR246" s="18"/>
      <c r="AS246" s="18"/>
      <c r="AT246" s="18"/>
      <c r="AU246" s="18"/>
      <c r="AV246" s="18"/>
      <c r="AW246" s="18"/>
      <c r="AX246" s="18"/>
      <c r="AY246" s="19"/>
    </row>
    <row r="247" spans="1:51">
      <c r="A247" s="26"/>
      <c r="B247" s="15"/>
      <c r="C247" s="15" t="s">
        <v>381</v>
      </c>
      <c r="D247" s="15"/>
      <c r="E247" s="27"/>
      <c r="F247" s="27"/>
      <c r="G247" s="15"/>
      <c r="H247" s="15"/>
      <c r="I247" s="15"/>
      <c r="J247" s="15"/>
      <c r="K247" s="15"/>
      <c r="L247" s="15"/>
      <c r="M247" s="15"/>
      <c r="N247" s="15"/>
      <c r="O247" s="28"/>
      <c r="P247" s="15"/>
      <c r="Q247" s="15"/>
      <c r="R247" s="15"/>
      <c r="S247" s="15"/>
      <c r="T247" s="15"/>
      <c r="U247" s="15"/>
      <c r="V247" s="15"/>
      <c r="W247" s="15"/>
      <c r="X247" s="15"/>
      <c r="Y247" s="15"/>
      <c r="Z247" s="15"/>
      <c r="AA247" s="15"/>
      <c r="AB247" s="15"/>
      <c r="AC247" s="16"/>
      <c r="AD247" s="16"/>
      <c r="AE247" s="16"/>
      <c r="AF247" s="16"/>
      <c r="AG247" s="16"/>
      <c r="AH247" s="16"/>
      <c r="AI247" s="16"/>
      <c r="AJ247" s="16"/>
      <c r="AK247" s="16"/>
      <c r="AL247" s="17"/>
      <c r="AM247" s="18"/>
      <c r="AN247" s="18"/>
      <c r="AO247" s="18"/>
      <c r="AP247" s="18"/>
      <c r="AQ247" s="18"/>
      <c r="AR247" s="18"/>
      <c r="AS247" s="18"/>
      <c r="AT247" s="18"/>
      <c r="AU247" s="18"/>
      <c r="AV247" s="18"/>
      <c r="AW247" s="18"/>
      <c r="AX247" s="18"/>
      <c r="AY247" s="19"/>
    </row>
    <row r="248" spans="1:51">
      <c r="A248" s="26"/>
      <c r="B248" s="15"/>
      <c r="C248" s="15"/>
      <c r="D248" s="15"/>
      <c r="E248" s="27"/>
      <c r="F248" s="27"/>
      <c r="G248" s="15"/>
      <c r="H248" s="15"/>
      <c r="I248" s="15"/>
      <c r="J248" s="15"/>
      <c r="K248" s="15"/>
      <c r="L248" s="15"/>
      <c r="M248" s="15"/>
      <c r="N248" s="15"/>
      <c r="O248" s="28"/>
      <c r="P248" s="15"/>
      <c r="Q248" s="15"/>
      <c r="R248" s="15"/>
      <c r="S248" s="15"/>
      <c r="T248" s="15"/>
      <c r="U248" s="15"/>
      <c r="V248" s="15"/>
      <c r="W248" s="15"/>
      <c r="X248" s="15"/>
      <c r="Y248" s="15"/>
      <c r="Z248" s="15"/>
      <c r="AA248" s="15"/>
      <c r="AB248" s="15"/>
      <c r="AC248" s="16"/>
      <c r="AD248" s="16"/>
      <c r="AE248" s="16"/>
      <c r="AF248" s="16"/>
      <c r="AG248" s="16"/>
      <c r="AH248" s="16"/>
      <c r="AI248" s="16"/>
      <c r="AJ248" s="16"/>
      <c r="AK248" s="16"/>
      <c r="AL248" s="17"/>
      <c r="AM248" s="18"/>
      <c r="AN248" s="18"/>
      <c r="AO248" s="18"/>
      <c r="AP248" s="18"/>
      <c r="AQ248" s="18"/>
      <c r="AR248" s="18"/>
      <c r="AS248" s="18"/>
      <c r="AT248" s="18"/>
      <c r="AU248" s="18"/>
      <c r="AV248" s="18"/>
      <c r="AW248" s="18"/>
      <c r="AX248" s="18"/>
      <c r="AY248" s="19"/>
    </row>
    <row r="249" spans="1:51">
      <c r="A249" s="26"/>
      <c r="B249" s="15"/>
      <c r="C249" s="15"/>
      <c r="D249" s="15"/>
      <c r="E249" s="27"/>
      <c r="F249" s="27"/>
      <c r="G249" s="15"/>
      <c r="H249" s="15"/>
      <c r="I249" s="15"/>
      <c r="J249" s="15"/>
      <c r="K249" s="15"/>
      <c r="L249" s="15"/>
      <c r="M249" s="15"/>
      <c r="N249" s="15"/>
      <c r="O249" s="28"/>
      <c r="P249" s="15"/>
      <c r="Q249" s="15"/>
      <c r="R249" s="15"/>
      <c r="S249" s="15"/>
      <c r="T249" s="15"/>
      <c r="U249" s="15"/>
      <c r="V249" s="15"/>
      <c r="W249" s="15"/>
      <c r="X249" s="15"/>
      <c r="Y249" s="15"/>
      <c r="Z249" s="15"/>
      <c r="AA249" s="15"/>
      <c r="AB249" s="15"/>
      <c r="AC249" s="16"/>
      <c r="AD249" s="16"/>
      <c r="AE249" s="16"/>
      <c r="AF249" s="16"/>
      <c r="AG249" s="16"/>
      <c r="AH249" s="16"/>
      <c r="AI249" s="16"/>
      <c r="AJ249" s="16"/>
      <c r="AK249" s="16"/>
      <c r="AL249" s="17"/>
      <c r="AM249" s="30"/>
      <c r="AN249" s="18"/>
      <c r="AO249" s="18"/>
      <c r="AP249" s="18"/>
      <c r="AQ249" s="18"/>
      <c r="AR249" s="18"/>
      <c r="AS249" s="18"/>
      <c r="AT249" s="18"/>
      <c r="AU249" s="18"/>
      <c r="AV249" s="18"/>
      <c r="AW249" s="18"/>
      <c r="AX249" s="18"/>
      <c r="AY249" s="19"/>
    </row>
    <row r="250" spans="1:51">
      <c r="A250" s="26"/>
      <c r="B250" s="15"/>
      <c r="C250" s="15"/>
      <c r="D250" s="15"/>
      <c r="E250" s="27"/>
      <c r="F250" s="27"/>
      <c r="G250" s="15"/>
      <c r="H250" s="15"/>
      <c r="I250" s="15"/>
      <c r="J250" s="15"/>
      <c r="K250" s="15"/>
      <c r="L250" s="15"/>
      <c r="M250" s="15"/>
      <c r="N250" s="15"/>
      <c r="O250" s="28"/>
      <c r="P250" s="15"/>
      <c r="Q250" s="15"/>
      <c r="R250" s="15"/>
      <c r="S250" s="15"/>
      <c r="T250" s="15"/>
      <c r="U250" s="15"/>
      <c r="V250" s="15"/>
      <c r="W250" s="15"/>
      <c r="X250" s="15"/>
      <c r="Y250" s="15"/>
      <c r="Z250" s="15"/>
      <c r="AA250" s="15"/>
      <c r="AB250" s="15"/>
      <c r="AC250" s="16"/>
      <c r="AD250" s="16"/>
      <c r="AE250" s="16"/>
      <c r="AF250" s="16"/>
      <c r="AG250" s="16"/>
      <c r="AH250" s="16"/>
      <c r="AI250" s="16"/>
      <c r="AJ250" s="16"/>
      <c r="AK250" s="16"/>
      <c r="AL250" s="17"/>
      <c r="AM250" s="18"/>
      <c r="AN250" s="18"/>
      <c r="AO250" s="18"/>
      <c r="AP250" s="18"/>
      <c r="AQ250" s="18"/>
      <c r="AR250" s="18"/>
      <c r="AS250" s="18"/>
      <c r="AT250" s="18"/>
      <c r="AU250" s="18"/>
      <c r="AV250" s="18"/>
      <c r="AW250" s="18"/>
      <c r="AX250" s="18"/>
      <c r="AY250" s="19"/>
    </row>
    <row r="251" spans="1:51">
      <c r="A251" s="26"/>
      <c r="B251" s="15"/>
      <c r="C251" s="15"/>
      <c r="D251" s="15"/>
      <c r="E251" s="27"/>
      <c r="F251" s="27"/>
      <c r="G251" s="15"/>
      <c r="H251" s="15"/>
      <c r="I251" s="15"/>
      <c r="J251" s="15"/>
      <c r="K251" s="15"/>
      <c r="L251" s="15"/>
      <c r="M251" s="15"/>
      <c r="N251" s="15"/>
      <c r="O251" s="28"/>
      <c r="P251" s="15"/>
      <c r="Q251" s="15"/>
      <c r="R251" s="15"/>
      <c r="S251" s="15"/>
      <c r="T251" s="15"/>
      <c r="U251" s="15"/>
      <c r="V251" s="15"/>
      <c r="W251" s="15"/>
      <c r="X251" s="15"/>
      <c r="Y251" s="15"/>
      <c r="Z251" s="15"/>
      <c r="AA251" s="15"/>
      <c r="AB251" s="15"/>
      <c r="AC251" s="16"/>
      <c r="AD251" s="16"/>
      <c r="AE251" s="16"/>
      <c r="AF251" s="16"/>
      <c r="AG251" s="16"/>
      <c r="AH251" s="16"/>
      <c r="AI251" s="16"/>
      <c r="AJ251" s="16"/>
      <c r="AK251" s="16"/>
      <c r="AL251" s="17"/>
      <c r="AM251" s="18"/>
      <c r="AS251" s="18"/>
      <c r="AT251" s="18"/>
      <c r="AU251" s="18"/>
      <c r="AV251" s="18"/>
      <c r="AW251" s="18"/>
      <c r="AX251" s="18"/>
      <c r="AY251" s="19"/>
    </row>
    <row r="252" spans="1:51">
      <c r="A252" s="9"/>
      <c r="AL252" s="29"/>
      <c r="AX252" s="20"/>
      <c r="AY252" s="10"/>
    </row>
    <row r="253" spans="1:51">
      <c r="A253" s="9"/>
      <c r="AL253" s="29"/>
      <c r="AV253" s="20"/>
      <c r="AW253" s="20"/>
      <c r="AX253" s="20"/>
      <c r="AY253" s="10"/>
    </row>
    <row r="254" spans="1:51">
      <c r="A254" s="9"/>
      <c r="AL254" s="29"/>
      <c r="AV254" s="20"/>
      <c r="AW254" s="20"/>
      <c r="AX254" s="20"/>
      <c r="AY254" s="10"/>
    </row>
    <row r="255" spans="1:51">
      <c r="A255" s="9"/>
      <c r="AL255" s="29"/>
      <c r="AV255" s="20"/>
      <c r="AW255" s="20"/>
      <c r="AX255" s="20"/>
      <c r="AY255" s="10"/>
    </row>
    <row r="256" spans="1:51">
      <c r="A256" s="9"/>
      <c r="AL256" s="29"/>
      <c r="AV256" s="20"/>
      <c r="AW256" s="20"/>
      <c r="AX256" s="20"/>
      <c r="AY256" s="10"/>
    </row>
    <row r="257" spans="1:51">
      <c r="A257" s="9"/>
      <c r="AL257" s="29"/>
      <c r="AN257" s="18"/>
      <c r="AV257" s="20"/>
      <c r="AW257" s="20"/>
      <c r="AX257" s="20"/>
      <c r="AY257" s="10"/>
    </row>
    <row r="258" spans="1:51">
      <c r="A258" s="9"/>
      <c r="AL258" s="29"/>
      <c r="AN258" s="18"/>
      <c r="AV258" s="20"/>
      <c r="AW258" s="20"/>
      <c r="AX258" s="20"/>
      <c r="AY258" s="10"/>
    </row>
    <row r="259" spans="1:51">
      <c r="A259" s="9"/>
      <c r="AL259" s="29"/>
      <c r="AN259" s="18"/>
      <c r="AV259" s="20"/>
      <c r="AW259" s="20"/>
      <c r="AX259" s="20"/>
      <c r="AY259" s="10"/>
    </row>
    <row r="260" spans="1:51">
      <c r="A260" s="9"/>
      <c r="AL260" s="29"/>
      <c r="AN260" s="18"/>
      <c r="AV260" s="20"/>
      <c r="AW260" s="20"/>
      <c r="AX260" s="20"/>
      <c r="AY260" s="10"/>
    </row>
    <row r="261" spans="1:51">
      <c r="A261" s="9"/>
      <c r="AL261" s="29"/>
      <c r="AN261" s="18"/>
      <c r="AV261" s="20"/>
      <c r="AW261" s="20"/>
      <c r="AX261" s="20"/>
      <c r="AY261" s="10"/>
    </row>
    <row r="262" spans="1:51">
      <c r="A262" s="9"/>
      <c r="AL262" s="29"/>
      <c r="AN262" s="18"/>
      <c r="AV262" s="20"/>
      <c r="AW262" s="20"/>
      <c r="AX262" s="20"/>
      <c r="AY262" s="10"/>
    </row>
    <row r="263" spans="1:51">
      <c r="A263" s="9"/>
      <c r="AL263" s="29"/>
      <c r="AN263" s="18"/>
      <c r="AV263" s="20"/>
      <c r="AW263" s="20"/>
      <c r="AX263" s="20"/>
      <c r="AY263" s="10"/>
    </row>
    <row r="264" spans="1:51">
      <c r="A264" s="9"/>
      <c r="AL264" s="29"/>
      <c r="AN264" s="18"/>
      <c r="AV264" s="20"/>
      <c r="AW264" s="20"/>
      <c r="AX264" s="20"/>
      <c r="AY264" s="10"/>
    </row>
    <row r="265" spans="1:51">
      <c r="A265" s="9"/>
      <c r="AL265" s="29"/>
      <c r="AN265" s="18"/>
      <c r="AV265" s="20"/>
      <c r="AW265" s="20"/>
      <c r="AX265" s="20"/>
      <c r="AY265" s="10"/>
    </row>
    <row r="266" spans="1:51">
      <c r="A266" s="9"/>
      <c r="AL266" s="29"/>
      <c r="AN266" s="18"/>
      <c r="AV266" s="20"/>
      <c r="AW266" s="20"/>
      <c r="AX266" s="20"/>
      <c r="AY266" s="10"/>
    </row>
    <row r="267" spans="1:51">
      <c r="A267" s="32"/>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4"/>
      <c r="AM267" s="62"/>
      <c r="AN267" s="62"/>
      <c r="AO267" s="62"/>
      <c r="AP267" s="62"/>
      <c r="AQ267" s="62"/>
      <c r="AR267" s="62"/>
      <c r="AS267" s="62"/>
      <c r="AT267" s="62"/>
      <c r="AU267" s="62"/>
      <c r="AV267" s="33"/>
      <c r="AW267" s="33"/>
      <c r="AX267" s="33"/>
      <c r="AY267" s="35"/>
    </row>
    <row r="268" spans="1:51" ht="16.899999999999999" customHeight="1">
      <c r="A268" s="311" t="s">
        <v>3</v>
      </c>
      <c r="B268" s="312"/>
      <c r="C268" s="312"/>
      <c r="D268" s="312"/>
      <c r="E268" s="312"/>
      <c r="F268" s="312"/>
      <c r="G268" s="312"/>
      <c r="H268" s="312"/>
      <c r="I268" s="312"/>
      <c r="J268" s="312"/>
      <c r="K268" s="312"/>
      <c r="L268" s="312"/>
      <c r="M268" s="312"/>
      <c r="N268" s="312"/>
      <c r="O268" s="313"/>
      <c r="P268" s="314"/>
      <c r="Q268" s="315"/>
      <c r="R268" s="315"/>
      <c r="S268" s="315"/>
      <c r="T268" s="315"/>
      <c r="U268" s="315"/>
      <c r="V268" s="315"/>
      <c r="W268" s="315"/>
      <c r="X268" s="315"/>
      <c r="Y268" s="315"/>
      <c r="Z268" s="315"/>
      <c r="AA268" s="315"/>
      <c r="AB268" s="315"/>
      <c r="AC268" s="315"/>
      <c r="AD268" s="315"/>
      <c r="AE268" s="315"/>
      <c r="AF268" s="315"/>
      <c r="AG268" s="315"/>
      <c r="AH268" s="315"/>
      <c r="AI268" s="315"/>
      <c r="AJ268" s="315"/>
      <c r="AK268" s="315"/>
      <c r="AL268" s="316"/>
      <c r="AM268" s="317"/>
      <c r="AN268" s="317"/>
      <c r="AO268" s="317"/>
      <c r="AP268" s="317"/>
      <c r="AQ268" s="317"/>
      <c r="AR268" s="317"/>
      <c r="AS268" s="317"/>
      <c r="AT268" s="317"/>
      <c r="AU268" s="317"/>
      <c r="AV268" s="317"/>
      <c r="AW268" s="317"/>
      <c r="AX268" s="317"/>
      <c r="AY268" s="318"/>
    </row>
    <row r="269" spans="1:51">
      <c r="A269" s="26"/>
      <c r="B269" s="15"/>
      <c r="C269" s="15"/>
      <c r="D269" s="15"/>
      <c r="E269" s="27"/>
      <c r="F269" s="27"/>
      <c r="G269" s="15"/>
      <c r="H269" s="15"/>
      <c r="I269" s="15"/>
      <c r="J269" s="15"/>
      <c r="K269" s="15"/>
      <c r="L269" s="15"/>
      <c r="M269" s="15"/>
      <c r="N269" s="15"/>
      <c r="O269" s="28"/>
      <c r="P269" s="15"/>
      <c r="Q269" s="15"/>
      <c r="R269" s="15"/>
      <c r="S269" s="15"/>
      <c r="T269" s="15"/>
      <c r="U269" s="15"/>
      <c r="V269" s="15"/>
      <c r="W269" s="15"/>
      <c r="X269" s="15"/>
      <c r="Y269" s="15"/>
      <c r="Z269" s="15"/>
      <c r="AA269" s="15"/>
      <c r="AB269" s="15"/>
      <c r="AC269" s="16"/>
      <c r="AD269" s="16"/>
      <c r="AE269" s="16"/>
      <c r="AF269" s="16"/>
      <c r="AG269" s="16"/>
      <c r="AH269" s="16"/>
      <c r="AI269" s="16"/>
      <c r="AJ269" s="16"/>
      <c r="AK269" s="16"/>
      <c r="AL269" s="17"/>
      <c r="AM269" s="18"/>
      <c r="AN269" s="18"/>
      <c r="AO269" s="18"/>
      <c r="AP269" s="18"/>
      <c r="AQ269" s="18"/>
      <c r="AR269" s="18"/>
      <c r="AS269" s="18"/>
      <c r="AT269" s="18"/>
      <c r="AU269" s="18"/>
      <c r="AV269" s="18"/>
      <c r="AW269" s="18"/>
      <c r="AX269" s="16"/>
      <c r="AY269" s="19"/>
    </row>
    <row r="270" spans="1:51">
      <c r="A270" s="26"/>
      <c r="B270" s="15"/>
      <c r="C270" s="15"/>
      <c r="D270" s="15"/>
      <c r="E270" s="27"/>
      <c r="F270" s="27"/>
      <c r="G270" s="15"/>
      <c r="H270" s="15"/>
      <c r="I270" s="15"/>
      <c r="J270" s="15"/>
      <c r="K270" s="15"/>
      <c r="L270" s="15"/>
      <c r="M270" s="15"/>
      <c r="N270" s="15"/>
      <c r="O270" s="28"/>
      <c r="P270" s="15"/>
      <c r="Q270" s="15"/>
      <c r="R270" s="15"/>
      <c r="S270" s="15"/>
      <c r="T270" s="15"/>
      <c r="U270" s="15"/>
      <c r="V270" s="15"/>
      <c r="W270" s="15"/>
      <c r="X270" s="15"/>
      <c r="Y270" s="15"/>
      <c r="Z270" s="15"/>
      <c r="AA270" s="15"/>
      <c r="AB270" s="15"/>
      <c r="AC270" s="16"/>
      <c r="AD270" s="16"/>
      <c r="AE270" s="16"/>
      <c r="AF270" s="16"/>
      <c r="AG270" s="16"/>
      <c r="AH270" s="16"/>
      <c r="AI270" s="16"/>
      <c r="AJ270" s="16"/>
      <c r="AK270" s="16"/>
      <c r="AL270" s="17"/>
      <c r="AM270" s="18"/>
      <c r="AN270" s="18"/>
      <c r="AP270" s="18"/>
      <c r="AQ270" s="18"/>
      <c r="AR270" s="18"/>
      <c r="AS270" s="18"/>
      <c r="AT270" s="18"/>
      <c r="AU270" s="18"/>
      <c r="AV270" s="18"/>
      <c r="AW270" s="18"/>
      <c r="AX270" s="18"/>
      <c r="AY270" s="19"/>
    </row>
    <row r="271" spans="1:51">
      <c r="A271" s="26"/>
      <c r="B271" s="15"/>
      <c r="C271" s="15"/>
      <c r="D271" s="15"/>
      <c r="E271" s="27"/>
      <c r="F271" s="27"/>
      <c r="G271" s="15"/>
      <c r="H271" s="15"/>
      <c r="I271" s="15"/>
      <c r="J271" s="15"/>
      <c r="K271" s="15"/>
      <c r="L271" s="15"/>
      <c r="M271" s="15"/>
      <c r="N271" s="15"/>
      <c r="O271" s="28"/>
      <c r="P271" s="15"/>
      <c r="Q271" s="15"/>
      <c r="R271" s="15"/>
      <c r="S271" s="15"/>
      <c r="T271" s="15"/>
      <c r="U271" s="15"/>
      <c r="V271" s="15"/>
      <c r="W271" s="15"/>
      <c r="X271" s="15"/>
      <c r="Y271" s="15"/>
      <c r="Z271" s="15"/>
      <c r="AA271" s="15"/>
      <c r="AB271" s="15"/>
      <c r="AC271" s="16"/>
      <c r="AD271" s="16"/>
      <c r="AE271" s="16"/>
      <c r="AF271" s="16"/>
      <c r="AG271" s="16"/>
      <c r="AH271" s="16"/>
      <c r="AI271" s="16"/>
      <c r="AJ271" s="16"/>
      <c r="AK271" s="16"/>
      <c r="AL271" s="17"/>
      <c r="AN271" s="18"/>
      <c r="AO271" s="18"/>
      <c r="AP271" s="18"/>
      <c r="AQ271" s="18"/>
      <c r="AR271" s="18"/>
      <c r="AS271" s="18"/>
      <c r="AT271" s="18"/>
      <c r="AU271" s="18"/>
      <c r="AV271" s="18"/>
      <c r="AW271" s="18"/>
      <c r="AX271" s="18"/>
      <c r="AY271" s="19"/>
    </row>
    <row r="272" spans="1:51">
      <c r="A272" s="26"/>
      <c r="B272" s="15"/>
      <c r="C272" s="15"/>
      <c r="D272" s="15"/>
      <c r="E272" s="27"/>
      <c r="F272" s="27"/>
      <c r="G272" s="15"/>
      <c r="H272" s="15"/>
      <c r="I272" s="15"/>
      <c r="J272" s="15"/>
      <c r="K272" s="15"/>
      <c r="L272" s="15"/>
      <c r="M272" s="15"/>
      <c r="N272" s="15"/>
      <c r="O272" s="28"/>
      <c r="P272" s="15"/>
      <c r="Q272" s="15"/>
      <c r="R272" s="15"/>
      <c r="S272" s="15"/>
      <c r="T272" s="15"/>
      <c r="U272" s="15"/>
      <c r="V272" s="15"/>
      <c r="W272" s="15"/>
      <c r="X272" s="15"/>
      <c r="Y272" s="15"/>
      <c r="Z272" s="15"/>
      <c r="AA272" s="15"/>
      <c r="AB272" s="15"/>
      <c r="AC272" s="16"/>
      <c r="AD272" s="16"/>
      <c r="AE272" s="16"/>
      <c r="AF272" s="16"/>
      <c r="AG272" s="16"/>
      <c r="AH272" s="16"/>
      <c r="AI272" s="16"/>
      <c r="AJ272" s="16"/>
      <c r="AK272" s="16"/>
      <c r="AL272" s="17"/>
      <c r="AM272" s="18"/>
      <c r="AN272" s="18"/>
      <c r="AO272" s="18"/>
      <c r="AP272" s="18"/>
      <c r="AQ272" s="18"/>
      <c r="AR272" s="18"/>
      <c r="AS272" s="18"/>
      <c r="AT272" s="18"/>
      <c r="AU272" s="18"/>
      <c r="AV272" s="18"/>
      <c r="AW272" s="18"/>
      <c r="AX272" s="18"/>
      <c r="AY272" s="19"/>
    </row>
    <row r="273" spans="1:51">
      <c r="A273" s="26"/>
      <c r="B273" s="15"/>
      <c r="C273" s="15"/>
      <c r="D273" s="15"/>
      <c r="E273" s="27"/>
      <c r="F273" s="27"/>
      <c r="G273" s="15"/>
      <c r="H273" s="15"/>
      <c r="I273" s="15"/>
      <c r="J273" s="15"/>
      <c r="K273" s="15"/>
      <c r="L273" s="15"/>
      <c r="M273" s="15"/>
      <c r="N273" s="15"/>
      <c r="O273" s="28"/>
      <c r="P273" s="15"/>
      <c r="Q273" s="15"/>
      <c r="R273" s="15"/>
      <c r="S273" s="15"/>
      <c r="T273" s="15"/>
      <c r="U273" s="15"/>
      <c r="V273" s="15"/>
      <c r="W273" s="15"/>
      <c r="X273" s="15"/>
      <c r="Y273" s="15"/>
      <c r="Z273" s="15"/>
      <c r="AA273" s="15"/>
      <c r="AB273" s="15"/>
      <c r="AC273" s="16"/>
      <c r="AD273" s="16"/>
      <c r="AE273" s="16"/>
      <c r="AF273" s="16"/>
      <c r="AG273" s="16"/>
      <c r="AH273" s="16"/>
      <c r="AI273" s="16"/>
      <c r="AJ273" s="16"/>
      <c r="AK273" s="16"/>
      <c r="AL273" s="17"/>
      <c r="AM273" s="18"/>
      <c r="AN273" s="18"/>
      <c r="AO273" s="18"/>
      <c r="AP273" s="18"/>
      <c r="AQ273" s="18"/>
      <c r="AR273" s="18"/>
      <c r="AS273" s="18"/>
      <c r="AT273" s="18"/>
      <c r="AU273" s="18"/>
      <c r="AV273" s="18"/>
      <c r="AW273" s="18"/>
      <c r="AX273" s="18"/>
      <c r="AY273" s="19"/>
    </row>
    <row r="274" spans="1:51">
      <c r="A274" s="26"/>
      <c r="B274" s="15"/>
      <c r="C274" s="15"/>
      <c r="D274" s="15"/>
      <c r="E274" s="27"/>
      <c r="F274" s="27"/>
      <c r="G274" s="15"/>
      <c r="H274" s="15"/>
      <c r="I274" s="15"/>
      <c r="J274" s="15"/>
      <c r="K274" s="15"/>
      <c r="L274" s="15"/>
      <c r="M274" s="15"/>
      <c r="N274" s="15"/>
      <c r="O274" s="28"/>
      <c r="P274" s="15"/>
      <c r="Q274" s="15"/>
      <c r="R274" s="15"/>
      <c r="S274" s="15"/>
      <c r="T274" s="15"/>
      <c r="U274" s="15"/>
      <c r="V274" s="15"/>
      <c r="W274" s="15"/>
      <c r="X274" s="15"/>
      <c r="Y274" s="15"/>
      <c r="Z274" s="15"/>
      <c r="AA274" s="15"/>
      <c r="AB274" s="15"/>
      <c r="AC274" s="16"/>
      <c r="AD274" s="16"/>
      <c r="AE274" s="16"/>
      <c r="AF274" s="16"/>
      <c r="AG274" s="16"/>
      <c r="AH274" s="16"/>
      <c r="AI274" s="16"/>
      <c r="AJ274" s="16"/>
      <c r="AK274" s="16"/>
      <c r="AL274" s="17"/>
      <c r="AM274" s="18"/>
      <c r="AN274" s="18"/>
      <c r="AO274" s="18"/>
      <c r="AP274" s="18"/>
      <c r="AQ274" s="18"/>
      <c r="AR274" s="18"/>
      <c r="AS274" s="18"/>
      <c r="AT274" s="18"/>
      <c r="AU274" s="18"/>
      <c r="AV274" s="18"/>
      <c r="AW274" s="18"/>
      <c r="AX274" s="18"/>
      <c r="AY274" s="19"/>
    </row>
    <row r="275" spans="1:51">
      <c r="A275" s="26"/>
      <c r="B275" s="15"/>
      <c r="C275" s="15"/>
      <c r="D275" s="15"/>
      <c r="E275" s="27"/>
      <c r="F275" s="27"/>
      <c r="G275" s="15"/>
      <c r="H275" s="15"/>
      <c r="I275" s="15"/>
      <c r="J275" s="15"/>
      <c r="K275" s="15"/>
      <c r="L275" s="15"/>
      <c r="M275" s="15"/>
      <c r="N275" s="15"/>
      <c r="O275" s="28"/>
      <c r="P275" s="15"/>
      <c r="Q275" s="15"/>
      <c r="R275" s="15"/>
      <c r="S275" s="15"/>
      <c r="T275" s="15"/>
      <c r="U275" s="15"/>
      <c r="V275" s="15"/>
      <c r="W275" s="15"/>
      <c r="X275" s="15"/>
      <c r="Y275" s="15"/>
      <c r="Z275" s="15"/>
      <c r="AA275" s="15"/>
      <c r="AB275" s="15"/>
      <c r="AC275" s="16"/>
      <c r="AD275" s="16"/>
      <c r="AE275" s="16"/>
      <c r="AF275" s="16"/>
      <c r="AG275" s="16"/>
      <c r="AH275" s="16"/>
      <c r="AI275" s="16"/>
      <c r="AJ275" s="16"/>
      <c r="AK275" s="16"/>
      <c r="AL275" s="17"/>
      <c r="AM275" s="18"/>
      <c r="AN275" s="18"/>
      <c r="AO275" s="18"/>
      <c r="AP275" s="18"/>
      <c r="AQ275" s="18"/>
      <c r="AR275" s="18"/>
      <c r="AS275" s="18"/>
      <c r="AT275" s="18"/>
      <c r="AU275" s="18"/>
      <c r="AV275" s="18"/>
      <c r="AW275" s="18"/>
      <c r="AX275" s="18"/>
      <c r="AY275" s="19"/>
    </row>
    <row r="276" spans="1:51">
      <c r="A276" s="26"/>
      <c r="B276" s="15"/>
      <c r="C276" s="15"/>
      <c r="D276" s="15"/>
      <c r="E276" s="27"/>
      <c r="F276" s="27"/>
      <c r="G276" s="15"/>
      <c r="H276" s="15"/>
      <c r="I276" s="15"/>
      <c r="J276" s="15"/>
      <c r="K276" s="15"/>
      <c r="L276" s="15"/>
      <c r="M276" s="15"/>
      <c r="N276" s="15"/>
      <c r="O276" s="28"/>
      <c r="P276" s="15"/>
      <c r="Q276" s="15"/>
      <c r="R276" s="15"/>
      <c r="S276" s="15"/>
      <c r="T276" s="15"/>
      <c r="U276" s="15"/>
      <c r="V276" s="15"/>
      <c r="W276" s="15"/>
      <c r="X276" s="15"/>
      <c r="Y276" s="15"/>
      <c r="Z276" s="15"/>
      <c r="AA276" s="15"/>
      <c r="AB276" s="15"/>
      <c r="AC276" s="16"/>
      <c r="AD276" s="16"/>
      <c r="AE276" s="16"/>
      <c r="AF276" s="16"/>
      <c r="AG276" s="16"/>
      <c r="AH276" s="16"/>
      <c r="AI276" s="16"/>
      <c r="AJ276" s="16"/>
      <c r="AK276" s="16"/>
      <c r="AL276" s="17"/>
      <c r="AM276" s="18"/>
      <c r="AN276" s="18"/>
      <c r="AO276" s="18"/>
      <c r="AP276" s="18"/>
      <c r="AQ276" s="18"/>
      <c r="AR276" s="18"/>
      <c r="AS276" s="18"/>
      <c r="AT276" s="18"/>
      <c r="AU276" s="18"/>
      <c r="AV276" s="18"/>
      <c r="AW276" s="18"/>
      <c r="AX276" s="18"/>
      <c r="AY276" s="19"/>
    </row>
    <row r="277" spans="1:51">
      <c r="A277" s="26"/>
      <c r="B277" s="15"/>
      <c r="C277" s="15"/>
      <c r="D277" s="15"/>
      <c r="E277" s="27"/>
      <c r="F277" s="27"/>
      <c r="G277" s="15"/>
      <c r="H277" s="15"/>
      <c r="I277" s="15"/>
      <c r="J277" s="15"/>
      <c r="K277" s="15"/>
      <c r="L277" s="15"/>
      <c r="M277" s="15"/>
      <c r="N277" s="15"/>
      <c r="O277" s="28"/>
      <c r="P277" s="15"/>
      <c r="Q277" s="15"/>
      <c r="R277" s="15"/>
      <c r="S277" s="15"/>
      <c r="T277" s="15"/>
      <c r="U277" s="15"/>
      <c r="V277" s="15"/>
      <c r="W277" s="15"/>
      <c r="X277" s="15"/>
      <c r="Y277" s="15"/>
      <c r="Z277" s="15"/>
      <c r="AA277" s="15"/>
      <c r="AB277" s="15"/>
      <c r="AC277" s="16"/>
      <c r="AD277" s="16"/>
      <c r="AE277" s="16"/>
      <c r="AF277" s="16"/>
      <c r="AG277" s="16"/>
      <c r="AH277" s="16"/>
      <c r="AI277" s="16"/>
      <c r="AJ277" s="16"/>
      <c r="AK277" s="16"/>
      <c r="AL277" s="17"/>
      <c r="AM277" s="30"/>
      <c r="AN277" s="18"/>
      <c r="AO277" s="18"/>
      <c r="AP277" s="18"/>
      <c r="AQ277" s="18"/>
      <c r="AR277" s="18"/>
      <c r="AS277" s="18"/>
      <c r="AT277" s="18"/>
      <c r="AU277" s="18"/>
      <c r="AV277" s="18"/>
      <c r="AW277" s="18"/>
      <c r="AX277" s="18"/>
      <c r="AY277" s="19"/>
    </row>
    <row r="278" spans="1:51">
      <c r="A278" s="26"/>
      <c r="B278" s="15"/>
      <c r="C278" s="15"/>
      <c r="D278" s="15"/>
      <c r="E278" s="27"/>
      <c r="F278" s="27"/>
      <c r="G278" s="15"/>
      <c r="H278" s="15"/>
      <c r="I278" s="15"/>
      <c r="J278" s="15"/>
      <c r="K278" s="15"/>
      <c r="L278" s="15"/>
      <c r="M278" s="15"/>
      <c r="N278" s="15"/>
      <c r="O278" s="28"/>
      <c r="P278" s="15"/>
      <c r="Q278" s="15"/>
      <c r="R278" s="15"/>
      <c r="S278" s="15"/>
      <c r="T278" s="15"/>
      <c r="U278" s="15"/>
      <c r="V278" s="15"/>
      <c r="W278" s="15"/>
      <c r="X278" s="15"/>
      <c r="Y278" s="15"/>
      <c r="Z278" s="15"/>
      <c r="AA278" s="15"/>
      <c r="AB278" s="15"/>
      <c r="AC278" s="16"/>
      <c r="AD278" s="16"/>
      <c r="AE278" s="16"/>
      <c r="AF278" s="16"/>
      <c r="AG278" s="16"/>
      <c r="AH278" s="16"/>
      <c r="AI278" s="16"/>
      <c r="AJ278" s="16"/>
      <c r="AK278" s="16"/>
      <c r="AL278" s="17"/>
      <c r="AM278" s="18"/>
      <c r="AN278" s="18"/>
      <c r="AO278" s="18"/>
      <c r="AP278" s="18"/>
      <c r="AQ278" s="18"/>
      <c r="AR278" s="18"/>
      <c r="AS278" s="18"/>
      <c r="AT278" s="18"/>
      <c r="AU278" s="18"/>
      <c r="AV278" s="18"/>
      <c r="AW278" s="18"/>
      <c r="AX278" s="18"/>
      <c r="AY278" s="19"/>
    </row>
    <row r="279" spans="1:51">
      <c r="A279" s="26"/>
      <c r="B279" s="15"/>
      <c r="C279" s="15"/>
      <c r="D279" s="15"/>
      <c r="E279" s="27"/>
      <c r="F279" s="27"/>
      <c r="G279" s="15"/>
      <c r="H279" s="15"/>
      <c r="I279" s="15"/>
      <c r="J279" s="15"/>
      <c r="K279" s="15"/>
      <c r="L279" s="15"/>
      <c r="M279" s="15"/>
      <c r="N279" s="15"/>
      <c r="O279" s="28"/>
      <c r="P279" s="15"/>
      <c r="Q279" s="15"/>
      <c r="R279" s="15"/>
      <c r="S279" s="15"/>
      <c r="T279" s="15"/>
      <c r="U279" s="15"/>
      <c r="V279" s="15"/>
      <c r="W279" s="15"/>
      <c r="X279" s="15"/>
      <c r="Y279" s="15"/>
      <c r="Z279" s="15"/>
      <c r="AA279" s="15"/>
      <c r="AB279" s="15"/>
      <c r="AC279" s="16"/>
      <c r="AD279" s="16"/>
      <c r="AE279" s="16"/>
      <c r="AF279" s="16"/>
      <c r="AG279" s="16"/>
      <c r="AH279" s="16"/>
      <c r="AI279" s="16"/>
      <c r="AJ279" s="16"/>
      <c r="AK279" s="16"/>
      <c r="AL279" s="17"/>
      <c r="AM279" s="18"/>
      <c r="AS279" s="18"/>
      <c r="AT279" s="18"/>
      <c r="AU279" s="18"/>
      <c r="AV279" s="18"/>
      <c r="AW279" s="18"/>
      <c r="AX279" s="18"/>
      <c r="AY279" s="19"/>
    </row>
    <row r="280" spans="1:51">
      <c r="A280" s="9"/>
      <c r="AL280" s="29"/>
      <c r="AX280" s="20"/>
      <c r="AY280" s="10"/>
    </row>
    <row r="281" spans="1:51">
      <c r="A281" s="9"/>
      <c r="AL281" s="29"/>
      <c r="AV281" s="20"/>
      <c r="AW281" s="20"/>
      <c r="AX281" s="20"/>
      <c r="AY281" s="10"/>
    </row>
    <row r="282" spans="1:51">
      <c r="A282" s="9"/>
      <c r="AL282" s="29"/>
      <c r="AV282" s="20"/>
      <c r="AW282" s="20"/>
      <c r="AX282" s="20"/>
      <c r="AY282" s="10"/>
    </row>
    <row r="283" spans="1:51">
      <c r="A283" s="9"/>
      <c r="AL283" s="29"/>
      <c r="AM283" s="22" t="s">
        <v>4</v>
      </c>
      <c r="AV283" s="20"/>
      <c r="AW283" s="20"/>
      <c r="AX283" s="20"/>
      <c r="AY283" s="10"/>
    </row>
    <row r="284" spans="1:51">
      <c r="A284" s="9"/>
      <c r="AL284" s="29"/>
      <c r="AV284" s="20"/>
      <c r="AW284" s="20"/>
      <c r="AX284" s="20"/>
      <c r="AY284" s="10"/>
    </row>
    <row r="285" spans="1:51">
      <c r="A285" s="9"/>
      <c r="AL285" s="29"/>
      <c r="AN285" s="18"/>
      <c r="AV285" s="20"/>
      <c r="AW285" s="20"/>
      <c r="AX285" s="20"/>
      <c r="AY285" s="10"/>
    </row>
    <row r="286" spans="1:51">
      <c r="A286" s="32"/>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4"/>
      <c r="AM286" s="62"/>
      <c r="AN286" s="62"/>
      <c r="AO286" s="62"/>
      <c r="AP286" s="62"/>
      <c r="AQ286" s="62"/>
      <c r="AR286" s="62"/>
      <c r="AS286" s="62"/>
      <c r="AT286" s="62"/>
      <c r="AU286" s="62"/>
      <c r="AV286" s="33"/>
      <c r="AW286" s="33"/>
      <c r="AX286" s="33"/>
      <c r="AY286" s="35"/>
    </row>
    <row r="287" spans="1:51" ht="16.899999999999999" customHeight="1">
      <c r="A287" s="311" t="s">
        <v>3</v>
      </c>
      <c r="B287" s="312"/>
      <c r="C287" s="312"/>
      <c r="D287" s="312"/>
      <c r="E287" s="312"/>
      <c r="F287" s="312"/>
      <c r="G287" s="312"/>
      <c r="H287" s="312"/>
      <c r="I287" s="312"/>
      <c r="J287" s="312"/>
      <c r="K287" s="312"/>
      <c r="L287" s="312"/>
      <c r="M287" s="312"/>
      <c r="N287" s="312"/>
      <c r="O287" s="313"/>
      <c r="P287" s="314"/>
      <c r="Q287" s="315"/>
      <c r="R287" s="315"/>
      <c r="S287" s="315"/>
      <c r="T287" s="315"/>
      <c r="U287" s="315"/>
      <c r="V287" s="315"/>
      <c r="W287" s="315"/>
      <c r="X287" s="315"/>
      <c r="Y287" s="315"/>
      <c r="Z287" s="315"/>
      <c r="AA287" s="315"/>
      <c r="AB287" s="315"/>
      <c r="AC287" s="315"/>
      <c r="AD287" s="315"/>
      <c r="AE287" s="315"/>
      <c r="AF287" s="315"/>
      <c r="AG287" s="315"/>
      <c r="AH287" s="315"/>
      <c r="AI287" s="315"/>
      <c r="AJ287" s="315"/>
      <c r="AK287" s="315"/>
      <c r="AL287" s="316"/>
      <c r="AM287" s="317"/>
      <c r="AN287" s="317"/>
      <c r="AO287" s="317"/>
      <c r="AP287" s="317"/>
      <c r="AQ287" s="317"/>
      <c r="AR287" s="317"/>
      <c r="AS287" s="317"/>
      <c r="AT287" s="317"/>
      <c r="AU287" s="317"/>
      <c r="AV287" s="317"/>
      <c r="AW287" s="317"/>
      <c r="AX287" s="317"/>
      <c r="AY287" s="318"/>
    </row>
    <row r="288" spans="1:51">
      <c r="A288" s="26"/>
      <c r="B288" s="15"/>
      <c r="C288" s="15"/>
      <c r="D288" s="15"/>
      <c r="E288" s="27"/>
      <c r="F288" s="27"/>
      <c r="G288" s="15"/>
      <c r="H288" s="15"/>
      <c r="I288" s="15"/>
      <c r="J288" s="15"/>
      <c r="K288" s="15"/>
      <c r="L288" s="15"/>
      <c r="M288" s="15"/>
      <c r="N288" s="15"/>
      <c r="O288" s="28"/>
      <c r="P288" s="15"/>
      <c r="Q288" s="15"/>
      <c r="R288" s="15"/>
      <c r="S288" s="15"/>
      <c r="T288" s="15"/>
      <c r="U288" s="15"/>
      <c r="V288" s="15"/>
      <c r="W288" s="15"/>
      <c r="X288" s="15"/>
      <c r="Y288" s="15"/>
      <c r="Z288" s="15"/>
      <c r="AA288" s="15"/>
      <c r="AB288" s="15"/>
      <c r="AC288" s="16"/>
      <c r="AD288" s="16"/>
      <c r="AE288" s="16"/>
      <c r="AF288" s="16"/>
      <c r="AG288" s="16"/>
      <c r="AH288" s="16"/>
      <c r="AI288" s="16"/>
      <c r="AJ288" s="16"/>
      <c r="AK288" s="16"/>
      <c r="AL288" s="17"/>
      <c r="AM288" s="18"/>
      <c r="AN288" s="18"/>
      <c r="AO288" s="18"/>
      <c r="AP288" s="18"/>
      <c r="AQ288" s="18"/>
      <c r="AR288" s="18"/>
      <c r="AS288" s="18"/>
      <c r="AT288" s="18"/>
      <c r="AU288" s="18"/>
      <c r="AV288" s="18"/>
      <c r="AW288" s="18"/>
      <c r="AX288" s="16"/>
      <c r="AY288" s="19"/>
    </row>
    <row r="289" spans="1:51">
      <c r="A289" s="26"/>
      <c r="B289" s="15"/>
      <c r="C289" s="15"/>
      <c r="D289" s="15"/>
      <c r="E289" s="27"/>
      <c r="F289" s="27"/>
      <c r="G289" s="15"/>
      <c r="H289" s="15"/>
      <c r="I289" s="15"/>
      <c r="J289" s="15"/>
      <c r="K289" s="15"/>
      <c r="L289" s="15"/>
      <c r="M289" s="15"/>
      <c r="N289" s="15"/>
      <c r="O289" s="28"/>
      <c r="P289" s="15"/>
      <c r="Q289" s="15"/>
      <c r="R289" s="15"/>
      <c r="S289" s="15"/>
      <c r="T289" s="15"/>
      <c r="U289" s="15"/>
      <c r="V289" s="15"/>
      <c r="W289" s="15"/>
      <c r="X289" s="15"/>
      <c r="Y289" s="15"/>
      <c r="Z289" s="15"/>
      <c r="AA289" s="15"/>
      <c r="AB289" s="15"/>
      <c r="AC289" s="16"/>
      <c r="AD289" s="16"/>
      <c r="AE289" s="16"/>
      <c r="AF289" s="16"/>
      <c r="AG289" s="16"/>
      <c r="AH289" s="16"/>
      <c r="AI289" s="16"/>
      <c r="AJ289" s="16"/>
      <c r="AK289" s="16"/>
      <c r="AL289" s="17"/>
      <c r="AM289" s="18"/>
      <c r="AN289" s="18"/>
      <c r="AP289" s="18"/>
      <c r="AQ289" s="18"/>
      <c r="AR289" s="18"/>
      <c r="AS289" s="18"/>
      <c r="AT289" s="18"/>
      <c r="AU289" s="18"/>
      <c r="AV289" s="18"/>
      <c r="AW289" s="18"/>
      <c r="AX289" s="18"/>
      <c r="AY289" s="19"/>
    </row>
    <row r="290" spans="1:51">
      <c r="A290" s="26"/>
      <c r="B290" s="15"/>
      <c r="C290" s="15"/>
      <c r="D290" s="15"/>
      <c r="E290" s="27"/>
      <c r="F290" s="27"/>
      <c r="G290" s="15"/>
      <c r="H290" s="15"/>
      <c r="I290" s="15"/>
      <c r="J290" s="15"/>
      <c r="K290" s="15"/>
      <c r="L290" s="15"/>
      <c r="M290" s="15"/>
      <c r="N290" s="15"/>
      <c r="O290" s="28"/>
      <c r="P290" s="15"/>
      <c r="Q290" s="15"/>
      <c r="R290" s="15"/>
      <c r="S290" s="15"/>
      <c r="T290" s="15"/>
      <c r="U290" s="15"/>
      <c r="V290" s="15"/>
      <c r="W290" s="15"/>
      <c r="X290" s="15"/>
      <c r="Y290" s="15"/>
      <c r="Z290" s="15"/>
      <c r="AA290" s="15"/>
      <c r="AB290" s="15"/>
      <c r="AC290" s="16"/>
      <c r="AD290" s="16"/>
      <c r="AE290" s="16"/>
      <c r="AF290" s="16"/>
      <c r="AG290" s="16"/>
      <c r="AH290" s="16"/>
      <c r="AI290" s="16"/>
      <c r="AJ290" s="16"/>
      <c r="AK290" s="16"/>
      <c r="AL290" s="17"/>
      <c r="AN290" s="18"/>
      <c r="AO290" s="18"/>
      <c r="AP290" s="18"/>
      <c r="AQ290" s="18"/>
      <c r="AR290" s="18"/>
      <c r="AS290" s="18"/>
      <c r="AT290" s="18"/>
      <c r="AU290" s="18"/>
      <c r="AV290" s="18"/>
      <c r="AW290" s="18"/>
      <c r="AX290" s="18"/>
      <c r="AY290" s="19"/>
    </row>
    <row r="291" spans="1:51">
      <c r="A291" s="26"/>
      <c r="B291" s="15"/>
      <c r="C291" s="15"/>
      <c r="D291" s="15"/>
      <c r="E291" s="27"/>
      <c r="F291" s="27"/>
      <c r="G291" s="15"/>
      <c r="H291" s="15"/>
      <c r="I291" s="15"/>
      <c r="J291" s="15"/>
      <c r="K291" s="15"/>
      <c r="L291" s="15"/>
      <c r="M291" s="15"/>
      <c r="N291" s="15"/>
      <c r="O291" s="28"/>
      <c r="P291" s="15"/>
      <c r="Q291" s="15"/>
      <c r="R291" s="15"/>
      <c r="S291" s="15"/>
      <c r="T291" s="15"/>
      <c r="U291" s="15"/>
      <c r="V291" s="15"/>
      <c r="W291" s="15"/>
      <c r="X291" s="15"/>
      <c r="Y291" s="15"/>
      <c r="Z291" s="15"/>
      <c r="AA291" s="15"/>
      <c r="AB291" s="15"/>
      <c r="AC291" s="16"/>
      <c r="AD291" s="16"/>
      <c r="AE291" s="16"/>
      <c r="AF291" s="16"/>
      <c r="AG291" s="16"/>
      <c r="AH291" s="16"/>
      <c r="AI291" s="16"/>
      <c r="AJ291" s="16"/>
      <c r="AK291" s="16"/>
      <c r="AL291" s="17"/>
      <c r="AM291" s="18"/>
      <c r="AN291" s="18"/>
      <c r="AO291" s="18"/>
      <c r="AP291" s="18"/>
      <c r="AQ291" s="18"/>
      <c r="AR291" s="18"/>
      <c r="AS291" s="18"/>
      <c r="AT291" s="18"/>
      <c r="AU291" s="18"/>
      <c r="AV291" s="18"/>
      <c r="AW291" s="18"/>
      <c r="AX291" s="18"/>
      <c r="AY291" s="19"/>
    </row>
    <row r="292" spans="1:51">
      <c r="A292" s="26"/>
      <c r="B292" s="15"/>
      <c r="C292" s="15"/>
      <c r="D292" s="15"/>
      <c r="E292" s="27"/>
      <c r="F292" s="27"/>
      <c r="G292" s="15"/>
      <c r="H292" s="15"/>
      <c r="I292" s="15"/>
      <c r="J292" s="15"/>
      <c r="K292" s="15"/>
      <c r="L292" s="15"/>
      <c r="M292" s="15"/>
      <c r="N292" s="15"/>
      <c r="O292" s="28"/>
      <c r="P292" s="15"/>
      <c r="Q292" s="15"/>
      <c r="R292" s="15"/>
      <c r="S292" s="15"/>
      <c r="T292" s="15"/>
      <c r="U292" s="15"/>
      <c r="V292" s="15"/>
      <c r="W292" s="15"/>
      <c r="X292" s="15"/>
      <c r="Y292" s="15"/>
      <c r="Z292" s="15"/>
      <c r="AA292" s="15"/>
      <c r="AB292" s="15"/>
      <c r="AC292" s="16"/>
      <c r="AD292" s="16"/>
      <c r="AE292" s="16"/>
      <c r="AF292" s="16"/>
      <c r="AG292" s="16"/>
      <c r="AH292" s="16"/>
      <c r="AI292" s="16"/>
      <c r="AJ292" s="16"/>
      <c r="AK292" s="16"/>
      <c r="AL292" s="17"/>
      <c r="AM292" s="18"/>
      <c r="AN292" s="18"/>
      <c r="AO292" s="18"/>
      <c r="AP292" s="18"/>
      <c r="AQ292" s="18"/>
      <c r="AR292" s="18"/>
      <c r="AS292" s="18"/>
      <c r="AT292" s="18"/>
      <c r="AU292" s="18"/>
      <c r="AV292" s="18"/>
      <c r="AW292" s="18"/>
      <c r="AX292" s="18"/>
      <c r="AY292" s="19"/>
    </row>
    <row r="293" spans="1:51">
      <c r="A293" s="26"/>
      <c r="B293" s="15"/>
      <c r="C293" s="15"/>
      <c r="D293" s="15"/>
      <c r="E293" s="27"/>
      <c r="F293" s="27"/>
      <c r="G293" s="15"/>
      <c r="H293" s="15"/>
      <c r="I293" s="15"/>
      <c r="J293" s="15"/>
      <c r="K293" s="15"/>
      <c r="L293" s="15"/>
      <c r="M293" s="15"/>
      <c r="N293" s="15"/>
      <c r="O293" s="28"/>
      <c r="P293" s="15"/>
      <c r="Q293" s="15"/>
      <c r="R293" s="15"/>
      <c r="S293" s="15"/>
      <c r="T293" s="15"/>
      <c r="U293" s="15"/>
      <c r="V293" s="15"/>
      <c r="W293" s="15"/>
      <c r="X293" s="15"/>
      <c r="Y293" s="15"/>
      <c r="Z293" s="15"/>
      <c r="AA293" s="15"/>
      <c r="AB293" s="15"/>
      <c r="AC293" s="16"/>
      <c r="AD293" s="16"/>
      <c r="AE293" s="16"/>
      <c r="AF293" s="16"/>
      <c r="AG293" s="16"/>
      <c r="AH293" s="16"/>
      <c r="AI293" s="16"/>
      <c r="AJ293" s="16"/>
      <c r="AK293" s="16"/>
      <c r="AL293" s="17"/>
      <c r="AM293" s="18"/>
      <c r="AN293" s="18"/>
      <c r="AO293" s="18"/>
      <c r="AP293" s="18"/>
      <c r="AQ293" s="18"/>
      <c r="AR293" s="18"/>
      <c r="AS293" s="18"/>
      <c r="AT293" s="18"/>
      <c r="AU293" s="18"/>
      <c r="AV293" s="18"/>
      <c r="AW293" s="18"/>
      <c r="AX293" s="18"/>
      <c r="AY293" s="19"/>
    </row>
    <row r="294" spans="1:51">
      <c r="A294" s="26"/>
      <c r="B294" s="15"/>
      <c r="C294" s="15"/>
      <c r="D294" s="15"/>
      <c r="E294" s="27"/>
      <c r="F294" s="27"/>
      <c r="G294" s="15"/>
      <c r="H294" s="15"/>
      <c r="I294" s="15"/>
      <c r="J294" s="15"/>
      <c r="K294" s="15"/>
      <c r="L294" s="15"/>
      <c r="M294" s="15"/>
      <c r="N294" s="15"/>
      <c r="O294" s="28"/>
      <c r="P294" s="15"/>
      <c r="Q294" s="15"/>
      <c r="R294" s="15"/>
      <c r="S294" s="15"/>
      <c r="T294" s="15"/>
      <c r="U294" s="15"/>
      <c r="V294" s="15"/>
      <c r="W294" s="15"/>
      <c r="X294" s="15"/>
      <c r="Y294" s="15"/>
      <c r="Z294" s="15"/>
      <c r="AA294" s="15"/>
      <c r="AB294" s="15"/>
      <c r="AC294" s="16"/>
      <c r="AD294" s="16"/>
      <c r="AE294" s="16"/>
      <c r="AF294" s="16"/>
      <c r="AG294" s="16"/>
      <c r="AH294" s="16"/>
      <c r="AI294" s="16"/>
      <c r="AJ294" s="16"/>
      <c r="AK294" s="16"/>
      <c r="AL294" s="17"/>
      <c r="AM294" s="18"/>
      <c r="AN294" s="18"/>
      <c r="AO294" s="18"/>
      <c r="AP294" s="18"/>
      <c r="AQ294" s="18"/>
      <c r="AR294" s="18"/>
      <c r="AS294" s="18"/>
      <c r="AT294" s="18"/>
      <c r="AU294" s="18"/>
      <c r="AV294" s="18"/>
      <c r="AW294" s="18"/>
      <c r="AX294" s="18"/>
      <c r="AY294" s="19"/>
    </row>
    <row r="295" spans="1:51">
      <c r="A295" s="26"/>
      <c r="B295" s="15"/>
      <c r="C295" s="15"/>
      <c r="D295" s="15"/>
      <c r="E295" s="27"/>
      <c r="F295" s="27"/>
      <c r="G295" s="15"/>
      <c r="H295" s="15"/>
      <c r="I295" s="15"/>
      <c r="J295" s="15"/>
      <c r="K295" s="15"/>
      <c r="L295" s="15"/>
      <c r="M295" s="15"/>
      <c r="N295" s="15"/>
      <c r="O295" s="28"/>
      <c r="P295" s="15"/>
      <c r="Q295" s="15"/>
      <c r="R295" s="15"/>
      <c r="S295" s="15"/>
      <c r="T295" s="15"/>
      <c r="U295" s="15"/>
      <c r="V295" s="15"/>
      <c r="W295" s="15"/>
      <c r="X295" s="15"/>
      <c r="Y295" s="15"/>
      <c r="Z295" s="15"/>
      <c r="AA295" s="15"/>
      <c r="AB295" s="15"/>
      <c r="AC295" s="16"/>
      <c r="AD295" s="16"/>
      <c r="AE295" s="16"/>
      <c r="AF295" s="16"/>
      <c r="AG295" s="16"/>
      <c r="AH295" s="16"/>
      <c r="AI295" s="16"/>
      <c r="AJ295" s="16"/>
      <c r="AK295" s="16"/>
      <c r="AL295" s="17"/>
      <c r="AM295" s="18"/>
      <c r="AN295" s="18"/>
      <c r="AO295" s="18"/>
      <c r="AP295" s="18"/>
      <c r="AQ295" s="18"/>
      <c r="AR295" s="18"/>
      <c r="AS295" s="18"/>
      <c r="AT295" s="18"/>
      <c r="AU295" s="18"/>
      <c r="AV295" s="18"/>
      <c r="AW295" s="18"/>
      <c r="AX295" s="18"/>
      <c r="AY295" s="19"/>
    </row>
    <row r="296" spans="1:51">
      <c r="A296" s="26"/>
      <c r="B296" s="15"/>
      <c r="C296" s="15"/>
      <c r="D296" s="15"/>
      <c r="E296" s="27"/>
      <c r="F296" s="27"/>
      <c r="G296" s="15"/>
      <c r="H296" s="15"/>
      <c r="I296" s="15"/>
      <c r="J296" s="15"/>
      <c r="K296" s="15"/>
      <c r="L296" s="15"/>
      <c r="M296" s="15"/>
      <c r="N296" s="15"/>
      <c r="O296" s="28"/>
      <c r="P296" s="15"/>
      <c r="Q296" s="15"/>
      <c r="R296" s="15"/>
      <c r="S296" s="15"/>
      <c r="T296" s="15"/>
      <c r="U296" s="15"/>
      <c r="V296" s="15"/>
      <c r="W296" s="15"/>
      <c r="X296" s="15"/>
      <c r="Y296" s="15"/>
      <c r="Z296" s="15"/>
      <c r="AA296" s="15"/>
      <c r="AB296" s="15"/>
      <c r="AC296" s="16"/>
      <c r="AD296" s="16"/>
      <c r="AE296" s="16"/>
      <c r="AF296" s="16"/>
      <c r="AG296" s="16"/>
      <c r="AH296" s="16"/>
      <c r="AI296" s="16"/>
      <c r="AJ296" s="16"/>
      <c r="AK296" s="16"/>
      <c r="AL296" s="17"/>
      <c r="AM296" s="30"/>
      <c r="AN296" s="18"/>
      <c r="AO296" s="18"/>
      <c r="AP296" s="18"/>
      <c r="AQ296" s="18"/>
      <c r="AR296" s="18"/>
      <c r="AS296" s="18"/>
      <c r="AT296" s="18"/>
      <c r="AU296" s="18"/>
      <c r="AV296" s="18"/>
      <c r="AW296" s="18"/>
      <c r="AX296" s="18"/>
      <c r="AY296" s="19"/>
    </row>
    <row r="297" spans="1:51">
      <c r="A297" s="26"/>
      <c r="B297" s="15"/>
      <c r="C297" s="15"/>
      <c r="D297" s="15"/>
      <c r="E297" s="27"/>
      <c r="F297" s="27"/>
      <c r="G297" s="15"/>
      <c r="H297" s="15"/>
      <c r="I297" s="15"/>
      <c r="J297" s="15"/>
      <c r="K297" s="15"/>
      <c r="L297" s="15"/>
      <c r="M297" s="15"/>
      <c r="N297" s="15"/>
      <c r="O297" s="28"/>
      <c r="P297" s="15"/>
      <c r="Q297" s="15"/>
      <c r="R297" s="15"/>
      <c r="S297" s="15"/>
      <c r="T297" s="15"/>
      <c r="U297" s="15"/>
      <c r="V297" s="15"/>
      <c r="W297" s="15"/>
      <c r="X297" s="15"/>
      <c r="Y297" s="15"/>
      <c r="Z297" s="15"/>
      <c r="AA297" s="15"/>
      <c r="AB297" s="15"/>
      <c r="AC297" s="16"/>
      <c r="AD297" s="16"/>
      <c r="AE297" s="16"/>
      <c r="AF297" s="16"/>
      <c r="AG297" s="16"/>
      <c r="AH297" s="16"/>
      <c r="AI297" s="16"/>
      <c r="AJ297" s="16"/>
      <c r="AK297" s="16"/>
      <c r="AL297" s="17"/>
      <c r="AM297" s="18"/>
      <c r="AN297" s="18"/>
      <c r="AO297" s="18"/>
      <c r="AP297" s="18"/>
      <c r="AQ297" s="18"/>
      <c r="AR297" s="18"/>
      <c r="AS297" s="18"/>
      <c r="AT297" s="18"/>
      <c r="AU297" s="18"/>
      <c r="AV297" s="18"/>
      <c r="AW297" s="18"/>
      <c r="AX297" s="18"/>
      <c r="AY297" s="19"/>
    </row>
    <row r="298" spans="1:51">
      <c r="A298" s="26"/>
      <c r="B298" s="15"/>
      <c r="C298" s="15"/>
      <c r="D298" s="15"/>
      <c r="E298" s="27"/>
      <c r="F298" s="27"/>
      <c r="G298" s="15"/>
      <c r="H298" s="15"/>
      <c r="I298" s="15"/>
      <c r="J298" s="15"/>
      <c r="K298" s="15"/>
      <c r="L298" s="15"/>
      <c r="M298" s="15"/>
      <c r="N298" s="15"/>
      <c r="O298" s="28"/>
      <c r="P298" s="15"/>
      <c r="Q298" s="15"/>
      <c r="R298" s="15"/>
      <c r="S298" s="15"/>
      <c r="T298" s="15"/>
      <c r="U298" s="15"/>
      <c r="V298" s="15"/>
      <c r="W298" s="15"/>
      <c r="X298" s="15"/>
      <c r="Y298" s="15"/>
      <c r="Z298" s="15"/>
      <c r="AA298" s="15"/>
      <c r="AB298" s="15"/>
      <c r="AC298" s="16"/>
      <c r="AD298" s="16"/>
      <c r="AE298" s="16"/>
      <c r="AF298" s="16"/>
      <c r="AG298" s="16"/>
      <c r="AH298" s="16"/>
      <c r="AI298" s="16"/>
      <c r="AJ298" s="16"/>
      <c r="AK298" s="16"/>
      <c r="AL298" s="17"/>
      <c r="AM298" s="18"/>
      <c r="AS298" s="18"/>
      <c r="AT298" s="18"/>
      <c r="AU298" s="18"/>
      <c r="AV298" s="18"/>
      <c r="AW298" s="18"/>
      <c r="AX298" s="18"/>
      <c r="AY298" s="19"/>
    </row>
    <row r="299" spans="1:51">
      <c r="A299" s="9"/>
      <c r="AL299" s="29"/>
      <c r="AX299" s="20"/>
      <c r="AY299" s="10"/>
    </row>
    <row r="300" spans="1:51">
      <c r="A300" s="9"/>
      <c r="AL300" s="29"/>
      <c r="AV300" s="20"/>
      <c r="AW300" s="20"/>
      <c r="AX300" s="20"/>
      <c r="AY300" s="10"/>
    </row>
    <row r="301" spans="1:51">
      <c r="A301" s="9"/>
      <c r="AL301" s="29"/>
      <c r="AV301" s="20"/>
      <c r="AW301" s="20"/>
      <c r="AX301" s="20"/>
      <c r="AY301" s="10"/>
    </row>
    <row r="302" spans="1:51">
      <c r="A302" s="9"/>
      <c r="AL302" s="29"/>
      <c r="AM302" s="22" t="s">
        <v>4</v>
      </c>
      <c r="AV302" s="20"/>
      <c r="AW302" s="20"/>
      <c r="AX302" s="20"/>
      <c r="AY302" s="10"/>
    </row>
    <row r="303" spans="1:51">
      <c r="A303" s="9"/>
      <c r="AL303" s="29"/>
      <c r="AV303" s="20"/>
      <c r="AW303" s="20"/>
      <c r="AX303" s="20"/>
      <c r="AY303" s="10"/>
    </row>
    <row r="304" spans="1:51">
      <c r="A304" s="9"/>
      <c r="AL304" s="29"/>
      <c r="AN304" s="18"/>
      <c r="AV304" s="20"/>
      <c r="AW304" s="20"/>
      <c r="AX304" s="20"/>
      <c r="AY304" s="10"/>
    </row>
    <row r="305" spans="1:51">
      <c r="A305" s="32"/>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4"/>
      <c r="AM305" s="62"/>
      <c r="AN305" s="62"/>
      <c r="AO305" s="62"/>
      <c r="AP305" s="62"/>
      <c r="AQ305" s="62"/>
      <c r="AR305" s="62"/>
      <c r="AS305" s="62"/>
      <c r="AT305" s="62"/>
      <c r="AU305" s="62"/>
      <c r="AV305" s="33"/>
      <c r="AW305" s="33"/>
      <c r="AX305" s="33"/>
      <c r="AY305" s="35"/>
    </row>
    <row r="306" spans="1:51" ht="16.899999999999999" customHeight="1">
      <c r="A306" s="311" t="s">
        <v>3</v>
      </c>
      <c r="B306" s="312"/>
      <c r="C306" s="312"/>
      <c r="D306" s="312"/>
      <c r="E306" s="312"/>
      <c r="F306" s="312"/>
      <c r="G306" s="312"/>
      <c r="H306" s="312"/>
      <c r="I306" s="312"/>
      <c r="J306" s="312"/>
      <c r="K306" s="312"/>
      <c r="L306" s="312"/>
      <c r="M306" s="312"/>
      <c r="N306" s="312"/>
      <c r="O306" s="313"/>
      <c r="P306" s="314"/>
      <c r="Q306" s="315"/>
      <c r="R306" s="315"/>
      <c r="S306" s="315"/>
      <c r="T306" s="315"/>
      <c r="U306" s="315"/>
      <c r="V306" s="315"/>
      <c r="W306" s="315"/>
      <c r="X306" s="315"/>
      <c r="Y306" s="315"/>
      <c r="Z306" s="315"/>
      <c r="AA306" s="315"/>
      <c r="AB306" s="315"/>
      <c r="AC306" s="315"/>
      <c r="AD306" s="315"/>
      <c r="AE306" s="315"/>
      <c r="AF306" s="315"/>
      <c r="AG306" s="315"/>
      <c r="AH306" s="315"/>
      <c r="AI306" s="315"/>
      <c r="AJ306" s="315"/>
      <c r="AK306" s="315"/>
      <c r="AL306" s="316"/>
      <c r="AM306" s="317"/>
      <c r="AN306" s="317"/>
      <c r="AO306" s="317"/>
      <c r="AP306" s="317"/>
      <c r="AQ306" s="317"/>
      <c r="AR306" s="317"/>
      <c r="AS306" s="317"/>
      <c r="AT306" s="317"/>
      <c r="AU306" s="317"/>
      <c r="AV306" s="317"/>
      <c r="AW306" s="317"/>
      <c r="AX306" s="317"/>
      <c r="AY306" s="318"/>
    </row>
    <row r="307" spans="1:51">
      <c r="A307" s="26"/>
      <c r="B307" s="15"/>
      <c r="C307" s="15"/>
      <c r="D307" s="15"/>
      <c r="E307" s="27"/>
      <c r="F307" s="27"/>
      <c r="G307" s="15"/>
      <c r="H307" s="15"/>
      <c r="I307" s="15"/>
      <c r="J307" s="15"/>
      <c r="K307" s="15"/>
      <c r="L307" s="15"/>
      <c r="M307" s="15"/>
      <c r="N307" s="15"/>
      <c r="O307" s="28"/>
      <c r="P307" s="15"/>
      <c r="Q307" s="15"/>
      <c r="R307" s="15"/>
      <c r="S307" s="15"/>
      <c r="T307" s="15"/>
      <c r="U307" s="15"/>
      <c r="V307" s="15"/>
      <c r="W307" s="15"/>
      <c r="X307" s="15"/>
      <c r="Y307" s="15"/>
      <c r="Z307" s="15"/>
      <c r="AA307" s="15"/>
      <c r="AB307" s="15"/>
      <c r="AC307" s="16"/>
      <c r="AD307" s="16"/>
      <c r="AE307" s="16"/>
      <c r="AF307" s="16"/>
      <c r="AG307" s="16"/>
      <c r="AH307" s="16"/>
      <c r="AI307" s="16"/>
      <c r="AJ307" s="16"/>
      <c r="AK307" s="16"/>
      <c r="AL307" s="17"/>
      <c r="AM307" s="18"/>
      <c r="AN307" s="18"/>
      <c r="AO307" s="18"/>
      <c r="AP307" s="18"/>
      <c r="AQ307" s="18"/>
      <c r="AR307" s="18"/>
      <c r="AS307" s="18"/>
      <c r="AT307" s="18"/>
      <c r="AU307" s="18"/>
      <c r="AV307" s="18"/>
      <c r="AW307" s="18"/>
      <c r="AX307" s="16"/>
      <c r="AY307" s="19"/>
    </row>
    <row r="308" spans="1:51">
      <c r="A308" s="26"/>
      <c r="B308" s="15"/>
      <c r="C308" s="15"/>
      <c r="D308" s="15"/>
      <c r="E308" s="27"/>
      <c r="F308" s="27"/>
      <c r="G308" s="15"/>
      <c r="H308" s="15"/>
      <c r="I308" s="15"/>
      <c r="J308" s="15"/>
      <c r="K308" s="15"/>
      <c r="L308" s="15"/>
      <c r="M308" s="15"/>
      <c r="N308" s="15"/>
      <c r="O308" s="28"/>
      <c r="P308" s="15"/>
      <c r="Q308" s="15"/>
      <c r="R308" s="15"/>
      <c r="S308" s="15"/>
      <c r="T308" s="15"/>
      <c r="U308" s="15"/>
      <c r="V308" s="15"/>
      <c r="W308" s="15"/>
      <c r="X308" s="15"/>
      <c r="Y308" s="15"/>
      <c r="Z308" s="15"/>
      <c r="AA308" s="15"/>
      <c r="AB308" s="15"/>
      <c r="AC308" s="16"/>
      <c r="AD308" s="16"/>
      <c r="AE308" s="16"/>
      <c r="AF308" s="16"/>
      <c r="AG308" s="16"/>
      <c r="AH308" s="16"/>
      <c r="AI308" s="16"/>
      <c r="AJ308" s="16"/>
      <c r="AK308" s="16"/>
      <c r="AL308" s="17"/>
      <c r="AM308" s="18"/>
      <c r="AN308" s="18"/>
      <c r="AP308" s="18"/>
      <c r="AQ308" s="18"/>
      <c r="AR308" s="18"/>
      <c r="AS308" s="18"/>
      <c r="AT308" s="18"/>
      <c r="AU308" s="18"/>
      <c r="AV308" s="18"/>
      <c r="AW308" s="18"/>
      <c r="AX308" s="18"/>
      <c r="AY308" s="19"/>
    </row>
    <row r="309" spans="1:51">
      <c r="A309" s="26"/>
      <c r="B309" s="15"/>
      <c r="C309" s="15"/>
      <c r="D309" s="15"/>
      <c r="E309" s="27"/>
      <c r="F309" s="27"/>
      <c r="G309" s="15"/>
      <c r="H309" s="15"/>
      <c r="I309" s="15"/>
      <c r="J309" s="15"/>
      <c r="K309" s="15"/>
      <c r="L309" s="15"/>
      <c r="M309" s="15"/>
      <c r="N309" s="15"/>
      <c r="O309" s="28"/>
      <c r="P309" s="15"/>
      <c r="Q309" s="15"/>
      <c r="R309" s="15"/>
      <c r="S309" s="15"/>
      <c r="T309" s="15"/>
      <c r="U309" s="15"/>
      <c r="V309" s="15"/>
      <c r="W309" s="15"/>
      <c r="X309" s="15"/>
      <c r="Y309" s="15"/>
      <c r="Z309" s="15"/>
      <c r="AA309" s="15"/>
      <c r="AB309" s="15"/>
      <c r="AC309" s="16"/>
      <c r="AD309" s="16"/>
      <c r="AE309" s="16"/>
      <c r="AF309" s="16"/>
      <c r="AG309" s="16"/>
      <c r="AH309" s="16"/>
      <c r="AI309" s="16"/>
      <c r="AJ309" s="16"/>
      <c r="AK309" s="16"/>
      <c r="AL309" s="17"/>
      <c r="AN309" s="18"/>
      <c r="AO309" s="18"/>
      <c r="AP309" s="18"/>
      <c r="AQ309" s="18"/>
      <c r="AR309" s="18"/>
      <c r="AS309" s="18"/>
      <c r="AT309" s="18"/>
      <c r="AU309" s="18"/>
      <c r="AV309" s="18"/>
      <c r="AW309" s="18"/>
      <c r="AX309" s="18"/>
      <c r="AY309" s="19"/>
    </row>
    <row r="310" spans="1:51">
      <c r="A310" s="26"/>
      <c r="B310" s="15"/>
      <c r="C310" s="15"/>
      <c r="D310" s="15"/>
      <c r="E310" s="27"/>
      <c r="F310" s="27"/>
      <c r="G310" s="15"/>
      <c r="H310" s="15"/>
      <c r="I310" s="15"/>
      <c r="J310" s="15"/>
      <c r="K310" s="15"/>
      <c r="L310" s="15"/>
      <c r="M310" s="15"/>
      <c r="N310" s="15"/>
      <c r="O310" s="28"/>
      <c r="P310" s="15"/>
      <c r="Q310" s="15"/>
      <c r="R310" s="15"/>
      <c r="S310" s="15"/>
      <c r="T310" s="15"/>
      <c r="U310" s="15"/>
      <c r="V310" s="15"/>
      <c r="W310" s="15"/>
      <c r="X310" s="15"/>
      <c r="Y310" s="15"/>
      <c r="Z310" s="15"/>
      <c r="AA310" s="15"/>
      <c r="AB310" s="15"/>
      <c r="AC310" s="16"/>
      <c r="AD310" s="16"/>
      <c r="AE310" s="16"/>
      <c r="AF310" s="16"/>
      <c r="AG310" s="16"/>
      <c r="AH310" s="16"/>
      <c r="AI310" s="16"/>
      <c r="AJ310" s="16"/>
      <c r="AK310" s="16"/>
      <c r="AL310" s="17"/>
      <c r="AM310" s="18"/>
      <c r="AN310" s="18"/>
      <c r="AO310" s="18"/>
      <c r="AP310" s="18"/>
      <c r="AQ310" s="18"/>
      <c r="AR310" s="18"/>
      <c r="AS310" s="18"/>
      <c r="AT310" s="18"/>
      <c r="AU310" s="18"/>
      <c r="AV310" s="18"/>
      <c r="AW310" s="18"/>
      <c r="AX310" s="18"/>
      <c r="AY310" s="19"/>
    </row>
    <row r="311" spans="1:51">
      <c r="A311" s="26"/>
      <c r="B311" s="15"/>
      <c r="C311" s="15"/>
      <c r="D311" s="15"/>
      <c r="E311" s="27"/>
      <c r="F311" s="27"/>
      <c r="G311" s="15"/>
      <c r="H311" s="15"/>
      <c r="I311" s="15"/>
      <c r="J311" s="15"/>
      <c r="K311" s="15"/>
      <c r="L311" s="15"/>
      <c r="M311" s="15"/>
      <c r="N311" s="15"/>
      <c r="O311" s="28"/>
      <c r="P311" s="15"/>
      <c r="Q311" s="15"/>
      <c r="R311" s="15"/>
      <c r="S311" s="15"/>
      <c r="T311" s="15"/>
      <c r="U311" s="15"/>
      <c r="V311" s="15"/>
      <c r="W311" s="15"/>
      <c r="X311" s="15"/>
      <c r="Y311" s="15"/>
      <c r="Z311" s="15"/>
      <c r="AA311" s="15"/>
      <c r="AB311" s="15"/>
      <c r="AC311" s="16"/>
      <c r="AD311" s="16"/>
      <c r="AE311" s="16"/>
      <c r="AF311" s="16"/>
      <c r="AG311" s="16"/>
      <c r="AH311" s="16"/>
      <c r="AI311" s="16"/>
      <c r="AJ311" s="16"/>
      <c r="AK311" s="16"/>
      <c r="AL311" s="17"/>
      <c r="AM311" s="18"/>
      <c r="AN311" s="18"/>
      <c r="AO311" s="18"/>
      <c r="AP311" s="18"/>
      <c r="AQ311" s="18"/>
      <c r="AR311" s="18"/>
      <c r="AS311" s="18"/>
      <c r="AT311" s="18"/>
      <c r="AU311" s="18"/>
      <c r="AV311" s="18"/>
      <c r="AW311" s="18"/>
      <c r="AX311" s="18"/>
      <c r="AY311" s="19"/>
    </row>
    <row r="312" spans="1:51">
      <c r="A312" s="26"/>
      <c r="B312" s="15"/>
      <c r="C312" s="15"/>
      <c r="D312" s="15"/>
      <c r="E312" s="27"/>
      <c r="F312" s="27"/>
      <c r="G312" s="15"/>
      <c r="H312" s="15"/>
      <c r="I312" s="15"/>
      <c r="J312" s="15"/>
      <c r="K312" s="15"/>
      <c r="L312" s="15"/>
      <c r="M312" s="15"/>
      <c r="N312" s="15"/>
      <c r="O312" s="28"/>
      <c r="P312" s="15"/>
      <c r="Q312" s="15"/>
      <c r="R312" s="15"/>
      <c r="S312" s="15"/>
      <c r="T312" s="15"/>
      <c r="U312" s="15"/>
      <c r="V312" s="15"/>
      <c r="W312" s="15"/>
      <c r="X312" s="15"/>
      <c r="Y312" s="15"/>
      <c r="Z312" s="15"/>
      <c r="AA312" s="15"/>
      <c r="AB312" s="15"/>
      <c r="AC312" s="16"/>
      <c r="AD312" s="16"/>
      <c r="AE312" s="16"/>
      <c r="AF312" s="16"/>
      <c r="AG312" s="16"/>
      <c r="AH312" s="16"/>
      <c r="AI312" s="16"/>
      <c r="AJ312" s="16"/>
      <c r="AK312" s="16"/>
      <c r="AL312" s="17"/>
      <c r="AM312" s="18"/>
      <c r="AN312" s="18"/>
      <c r="AO312" s="18"/>
      <c r="AP312" s="18"/>
      <c r="AQ312" s="18"/>
      <c r="AR312" s="18"/>
      <c r="AS312" s="18"/>
      <c r="AT312" s="18"/>
      <c r="AU312" s="18"/>
      <c r="AV312" s="18"/>
      <c r="AW312" s="18"/>
      <c r="AX312" s="18"/>
      <c r="AY312" s="19"/>
    </row>
    <row r="313" spans="1:51">
      <c r="A313" s="26"/>
      <c r="B313" s="15"/>
      <c r="C313" s="15"/>
      <c r="D313" s="15"/>
      <c r="E313" s="27"/>
      <c r="F313" s="27"/>
      <c r="G313" s="15"/>
      <c r="H313" s="15"/>
      <c r="I313" s="15"/>
      <c r="J313" s="15"/>
      <c r="K313" s="15"/>
      <c r="L313" s="15"/>
      <c r="M313" s="15"/>
      <c r="N313" s="15"/>
      <c r="O313" s="28"/>
      <c r="P313" s="15"/>
      <c r="Q313" s="15"/>
      <c r="R313" s="15"/>
      <c r="S313" s="15"/>
      <c r="T313" s="15"/>
      <c r="U313" s="15"/>
      <c r="V313" s="15"/>
      <c r="W313" s="15"/>
      <c r="X313" s="15"/>
      <c r="Y313" s="15"/>
      <c r="Z313" s="15"/>
      <c r="AA313" s="15"/>
      <c r="AB313" s="15"/>
      <c r="AC313" s="16"/>
      <c r="AD313" s="16"/>
      <c r="AE313" s="16"/>
      <c r="AF313" s="16"/>
      <c r="AG313" s="16"/>
      <c r="AH313" s="16"/>
      <c r="AI313" s="16"/>
      <c r="AJ313" s="16"/>
      <c r="AK313" s="16"/>
      <c r="AL313" s="17"/>
      <c r="AM313" s="18"/>
      <c r="AN313" s="18"/>
      <c r="AO313" s="18"/>
      <c r="AP313" s="18"/>
      <c r="AQ313" s="18"/>
      <c r="AR313" s="18"/>
      <c r="AS313" s="18"/>
      <c r="AT313" s="18"/>
      <c r="AU313" s="18"/>
      <c r="AV313" s="18"/>
      <c r="AW313" s="18"/>
      <c r="AX313" s="18"/>
      <c r="AY313" s="19"/>
    </row>
    <row r="314" spans="1:51">
      <c r="A314" s="26"/>
      <c r="B314" s="15"/>
      <c r="C314" s="15"/>
      <c r="D314" s="15"/>
      <c r="E314" s="27"/>
      <c r="F314" s="27"/>
      <c r="G314" s="15"/>
      <c r="H314" s="15"/>
      <c r="I314" s="15"/>
      <c r="J314" s="15"/>
      <c r="K314" s="15"/>
      <c r="L314" s="15"/>
      <c r="M314" s="15"/>
      <c r="N314" s="15"/>
      <c r="O314" s="28"/>
      <c r="P314" s="15"/>
      <c r="Q314" s="15"/>
      <c r="R314" s="15"/>
      <c r="S314" s="15"/>
      <c r="T314" s="15"/>
      <c r="U314" s="15"/>
      <c r="V314" s="15"/>
      <c r="W314" s="15"/>
      <c r="X314" s="15"/>
      <c r="Y314" s="15"/>
      <c r="Z314" s="15"/>
      <c r="AA314" s="15"/>
      <c r="AB314" s="15"/>
      <c r="AC314" s="16"/>
      <c r="AD314" s="16"/>
      <c r="AE314" s="16"/>
      <c r="AF314" s="16"/>
      <c r="AG314" s="16"/>
      <c r="AH314" s="16"/>
      <c r="AI314" s="16"/>
      <c r="AJ314" s="16"/>
      <c r="AK314" s="16"/>
      <c r="AL314" s="17"/>
      <c r="AM314" s="18"/>
      <c r="AN314" s="18"/>
      <c r="AO314" s="18"/>
      <c r="AP314" s="18"/>
      <c r="AQ314" s="18"/>
      <c r="AR314" s="18"/>
      <c r="AS314" s="18"/>
      <c r="AT314" s="18"/>
      <c r="AU314" s="18"/>
      <c r="AV314" s="18"/>
      <c r="AW314" s="18"/>
      <c r="AX314" s="18"/>
      <c r="AY314" s="19"/>
    </row>
    <row r="315" spans="1:51">
      <c r="A315" s="26"/>
      <c r="B315" s="15"/>
      <c r="C315" s="15"/>
      <c r="D315" s="15"/>
      <c r="E315" s="27"/>
      <c r="F315" s="27"/>
      <c r="G315" s="15"/>
      <c r="H315" s="15"/>
      <c r="I315" s="15"/>
      <c r="J315" s="15"/>
      <c r="K315" s="15"/>
      <c r="L315" s="15"/>
      <c r="M315" s="15"/>
      <c r="N315" s="15"/>
      <c r="O315" s="28"/>
      <c r="P315" s="15"/>
      <c r="Q315" s="15"/>
      <c r="R315" s="15"/>
      <c r="S315" s="15"/>
      <c r="T315" s="15"/>
      <c r="U315" s="15"/>
      <c r="V315" s="15"/>
      <c r="W315" s="15"/>
      <c r="X315" s="15"/>
      <c r="Y315" s="15"/>
      <c r="Z315" s="15"/>
      <c r="AA315" s="15"/>
      <c r="AB315" s="15"/>
      <c r="AC315" s="16"/>
      <c r="AD315" s="16"/>
      <c r="AE315" s="16"/>
      <c r="AF315" s="16"/>
      <c r="AG315" s="16"/>
      <c r="AH315" s="16"/>
      <c r="AI315" s="16"/>
      <c r="AJ315" s="16"/>
      <c r="AK315" s="16"/>
      <c r="AL315" s="17"/>
      <c r="AM315" s="30"/>
      <c r="AN315" s="18"/>
      <c r="AO315" s="18"/>
      <c r="AP315" s="18"/>
      <c r="AQ315" s="18"/>
      <c r="AR315" s="18"/>
      <c r="AS315" s="18"/>
      <c r="AT315" s="18"/>
      <c r="AU315" s="18"/>
      <c r="AV315" s="18"/>
      <c r="AW315" s="18"/>
      <c r="AX315" s="18"/>
      <c r="AY315" s="19"/>
    </row>
    <row r="316" spans="1:51">
      <c r="A316" s="26"/>
      <c r="B316" s="15"/>
      <c r="C316" s="15"/>
      <c r="D316" s="15"/>
      <c r="E316" s="27"/>
      <c r="F316" s="27"/>
      <c r="G316" s="15"/>
      <c r="H316" s="15"/>
      <c r="I316" s="15"/>
      <c r="J316" s="15"/>
      <c r="K316" s="15"/>
      <c r="L316" s="15"/>
      <c r="M316" s="15"/>
      <c r="N316" s="15"/>
      <c r="O316" s="28"/>
      <c r="P316" s="15"/>
      <c r="Q316" s="15"/>
      <c r="R316" s="15"/>
      <c r="S316" s="15"/>
      <c r="T316" s="15"/>
      <c r="U316" s="15"/>
      <c r="V316" s="15"/>
      <c r="W316" s="15"/>
      <c r="X316" s="15"/>
      <c r="Y316" s="15"/>
      <c r="Z316" s="15"/>
      <c r="AA316" s="15"/>
      <c r="AB316" s="15"/>
      <c r="AC316" s="16"/>
      <c r="AD316" s="16"/>
      <c r="AE316" s="16"/>
      <c r="AF316" s="16"/>
      <c r="AG316" s="16"/>
      <c r="AH316" s="16"/>
      <c r="AI316" s="16"/>
      <c r="AJ316" s="16"/>
      <c r="AK316" s="16"/>
      <c r="AL316" s="17"/>
      <c r="AM316" s="18"/>
      <c r="AN316" s="18"/>
      <c r="AO316" s="18"/>
      <c r="AP316" s="18"/>
      <c r="AQ316" s="18"/>
      <c r="AR316" s="18"/>
      <c r="AS316" s="18"/>
      <c r="AT316" s="18"/>
      <c r="AU316" s="18"/>
      <c r="AV316" s="18"/>
      <c r="AW316" s="18"/>
      <c r="AX316" s="18"/>
      <c r="AY316" s="19"/>
    </row>
    <row r="317" spans="1:51">
      <c r="A317" s="26"/>
      <c r="B317" s="15"/>
      <c r="C317" s="15"/>
      <c r="D317" s="15"/>
      <c r="E317" s="27"/>
      <c r="F317" s="27"/>
      <c r="G317" s="15"/>
      <c r="H317" s="15"/>
      <c r="I317" s="15"/>
      <c r="J317" s="15"/>
      <c r="K317" s="15"/>
      <c r="L317" s="15"/>
      <c r="M317" s="15"/>
      <c r="N317" s="15"/>
      <c r="O317" s="28"/>
      <c r="P317" s="15"/>
      <c r="Q317" s="15"/>
      <c r="R317" s="15"/>
      <c r="S317" s="15"/>
      <c r="T317" s="15"/>
      <c r="U317" s="15"/>
      <c r="V317" s="15"/>
      <c r="W317" s="15"/>
      <c r="X317" s="15"/>
      <c r="Y317" s="15"/>
      <c r="Z317" s="15"/>
      <c r="AA317" s="15"/>
      <c r="AB317" s="15"/>
      <c r="AC317" s="16"/>
      <c r="AD317" s="16"/>
      <c r="AE317" s="16"/>
      <c r="AF317" s="16"/>
      <c r="AG317" s="16"/>
      <c r="AH317" s="16"/>
      <c r="AI317" s="16"/>
      <c r="AJ317" s="16"/>
      <c r="AK317" s="16"/>
      <c r="AL317" s="17"/>
      <c r="AM317" s="18"/>
      <c r="AS317" s="18"/>
      <c r="AT317" s="18"/>
      <c r="AU317" s="18"/>
      <c r="AV317" s="18"/>
      <c r="AW317" s="18"/>
      <c r="AX317" s="18"/>
      <c r="AY317" s="19"/>
    </row>
    <row r="318" spans="1:51">
      <c r="A318" s="9"/>
      <c r="AL318" s="29"/>
      <c r="AX318" s="20"/>
      <c r="AY318" s="10"/>
    </row>
    <row r="319" spans="1:51">
      <c r="A319" s="9"/>
      <c r="AL319" s="29"/>
      <c r="AV319" s="20"/>
      <c r="AW319" s="20"/>
      <c r="AX319" s="20"/>
      <c r="AY319" s="10"/>
    </row>
    <row r="320" spans="1:51">
      <c r="A320" s="9"/>
      <c r="AL320" s="29"/>
      <c r="AV320" s="20"/>
      <c r="AW320" s="20"/>
      <c r="AX320" s="20"/>
      <c r="AY320" s="10"/>
    </row>
    <row r="321" spans="1:51">
      <c r="A321" s="9"/>
      <c r="AL321" s="29"/>
      <c r="AM321" s="22" t="s">
        <v>4</v>
      </c>
      <c r="AV321" s="20"/>
      <c r="AW321" s="20"/>
      <c r="AX321" s="20"/>
      <c r="AY321" s="10"/>
    </row>
    <row r="322" spans="1:51">
      <c r="A322" s="9"/>
      <c r="AL322" s="29"/>
      <c r="AV322" s="20"/>
      <c r="AW322" s="20"/>
      <c r="AX322" s="20"/>
      <c r="AY322" s="10"/>
    </row>
    <row r="323" spans="1:51">
      <c r="A323" s="9"/>
      <c r="AL323" s="29"/>
      <c r="AN323" s="18"/>
      <c r="AV323" s="20"/>
      <c r="AW323" s="20"/>
      <c r="AX323" s="20"/>
      <c r="AY323" s="10"/>
    </row>
    <row r="324" spans="1:51">
      <c r="A324" s="32"/>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4"/>
      <c r="AM324" s="62"/>
      <c r="AN324" s="62"/>
      <c r="AO324" s="62"/>
      <c r="AP324" s="62"/>
      <c r="AQ324" s="62"/>
      <c r="AR324" s="62"/>
      <c r="AS324" s="62"/>
      <c r="AT324" s="62"/>
      <c r="AU324" s="62"/>
      <c r="AV324" s="33"/>
      <c r="AW324" s="33"/>
      <c r="AX324" s="33"/>
      <c r="AY324" s="35"/>
    </row>
    <row r="325" spans="1:51" ht="16.899999999999999" customHeight="1">
      <c r="A325" s="311" t="s">
        <v>3</v>
      </c>
      <c r="B325" s="312"/>
      <c r="C325" s="312"/>
      <c r="D325" s="312"/>
      <c r="E325" s="312"/>
      <c r="F325" s="312"/>
      <c r="G325" s="312"/>
      <c r="H325" s="312"/>
      <c r="I325" s="312"/>
      <c r="J325" s="312"/>
      <c r="K325" s="312"/>
      <c r="L325" s="312"/>
      <c r="M325" s="312"/>
      <c r="N325" s="312"/>
      <c r="O325" s="313"/>
      <c r="P325" s="314"/>
      <c r="Q325" s="315"/>
      <c r="R325" s="315"/>
      <c r="S325" s="315"/>
      <c r="T325" s="315"/>
      <c r="U325" s="315"/>
      <c r="V325" s="315"/>
      <c r="W325" s="315"/>
      <c r="X325" s="315"/>
      <c r="Y325" s="315"/>
      <c r="Z325" s="315"/>
      <c r="AA325" s="315"/>
      <c r="AB325" s="315"/>
      <c r="AC325" s="315"/>
      <c r="AD325" s="315"/>
      <c r="AE325" s="315"/>
      <c r="AF325" s="315"/>
      <c r="AG325" s="315"/>
      <c r="AH325" s="315"/>
      <c r="AI325" s="315"/>
      <c r="AJ325" s="315"/>
      <c r="AK325" s="315"/>
      <c r="AL325" s="316"/>
      <c r="AM325" s="317"/>
      <c r="AN325" s="317"/>
      <c r="AO325" s="317"/>
      <c r="AP325" s="317"/>
      <c r="AQ325" s="317"/>
      <c r="AR325" s="317"/>
      <c r="AS325" s="317"/>
      <c r="AT325" s="317"/>
      <c r="AU325" s="317"/>
      <c r="AV325" s="317"/>
      <c r="AW325" s="317"/>
      <c r="AX325" s="317"/>
      <c r="AY325" s="318"/>
    </row>
    <row r="326" spans="1:51">
      <c r="A326" s="26"/>
      <c r="B326" s="15"/>
      <c r="C326" s="15"/>
      <c r="D326" s="15"/>
      <c r="E326" s="27"/>
      <c r="F326" s="27"/>
      <c r="G326" s="15"/>
      <c r="H326" s="15"/>
      <c r="I326" s="15"/>
      <c r="J326" s="15"/>
      <c r="K326" s="15"/>
      <c r="L326" s="15"/>
      <c r="M326" s="15"/>
      <c r="N326" s="15"/>
      <c r="O326" s="28"/>
      <c r="P326" s="15"/>
      <c r="Q326" s="15"/>
      <c r="R326" s="15"/>
      <c r="S326" s="15"/>
      <c r="T326" s="15"/>
      <c r="U326" s="15"/>
      <c r="V326" s="15"/>
      <c r="W326" s="15"/>
      <c r="X326" s="15"/>
      <c r="Y326" s="15"/>
      <c r="Z326" s="15"/>
      <c r="AA326" s="15"/>
      <c r="AB326" s="15"/>
      <c r="AC326" s="16"/>
      <c r="AD326" s="16"/>
      <c r="AE326" s="16"/>
      <c r="AF326" s="16"/>
      <c r="AG326" s="16"/>
      <c r="AH326" s="16"/>
      <c r="AI326" s="16"/>
      <c r="AJ326" s="16"/>
      <c r="AK326" s="16"/>
      <c r="AL326" s="17"/>
      <c r="AM326" s="18"/>
      <c r="AN326" s="18"/>
      <c r="AO326" s="18"/>
      <c r="AP326" s="18"/>
      <c r="AQ326" s="18"/>
      <c r="AR326" s="18"/>
      <c r="AS326" s="18"/>
      <c r="AT326" s="18"/>
      <c r="AU326" s="18"/>
      <c r="AV326" s="18"/>
      <c r="AW326" s="18"/>
      <c r="AX326" s="16"/>
      <c r="AY326" s="19"/>
    </row>
    <row r="327" spans="1:51">
      <c r="A327" s="26"/>
      <c r="B327" s="15"/>
      <c r="C327" s="15"/>
      <c r="D327" s="15"/>
      <c r="E327" s="27"/>
      <c r="F327" s="27"/>
      <c r="G327" s="15"/>
      <c r="H327" s="15"/>
      <c r="I327" s="15"/>
      <c r="J327" s="15"/>
      <c r="K327" s="15"/>
      <c r="L327" s="15"/>
      <c r="M327" s="15"/>
      <c r="N327" s="15"/>
      <c r="O327" s="28"/>
      <c r="P327" s="15"/>
      <c r="Q327" s="15"/>
      <c r="R327" s="15"/>
      <c r="S327" s="15"/>
      <c r="T327" s="15"/>
      <c r="U327" s="15"/>
      <c r="V327" s="15"/>
      <c r="W327" s="15"/>
      <c r="X327" s="15"/>
      <c r="Y327" s="15"/>
      <c r="Z327" s="15"/>
      <c r="AA327" s="15"/>
      <c r="AB327" s="15"/>
      <c r="AC327" s="16"/>
      <c r="AD327" s="16"/>
      <c r="AE327" s="16"/>
      <c r="AF327" s="16"/>
      <c r="AG327" s="16"/>
      <c r="AH327" s="16"/>
      <c r="AI327" s="16"/>
      <c r="AJ327" s="16"/>
      <c r="AK327" s="16"/>
      <c r="AL327" s="17"/>
      <c r="AM327" s="18"/>
      <c r="AN327" s="18"/>
      <c r="AP327" s="18"/>
      <c r="AQ327" s="18"/>
      <c r="AR327" s="18"/>
      <c r="AS327" s="18"/>
      <c r="AT327" s="18"/>
      <c r="AU327" s="18"/>
      <c r="AV327" s="18"/>
      <c r="AW327" s="18"/>
      <c r="AX327" s="18"/>
      <c r="AY327" s="19"/>
    </row>
    <row r="328" spans="1:51">
      <c r="A328" s="26"/>
      <c r="B328" s="15"/>
      <c r="C328" s="15"/>
      <c r="D328" s="15"/>
      <c r="E328" s="27"/>
      <c r="F328" s="27"/>
      <c r="G328" s="15"/>
      <c r="H328" s="15"/>
      <c r="I328" s="15"/>
      <c r="J328" s="15"/>
      <c r="K328" s="15"/>
      <c r="L328" s="15"/>
      <c r="M328" s="15"/>
      <c r="N328" s="15"/>
      <c r="O328" s="28"/>
      <c r="P328" s="15"/>
      <c r="Q328" s="15"/>
      <c r="R328" s="15"/>
      <c r="S328" s="15"/>
      <c r="T328" s="15"/>
      <c r="U328" s="15"/>
      <c r="V328" s="15"/>
      <c r="W328" s="15"/>
      <c r="X328" s="15"/>
      <c r="Y328" s="15"/>
      <c r="Z328" s="15"/>
      <c r="AA328" s="15"/>
      <c r="AB328" s="15"/>
      <c r="AC328" s="16"/>
      <c r="AD328" s="16"/>
      <c r="AE328" s="16"/>
      <c r="AF328" s="16"/>
      <c r="AG328" s="16"/>
      <c r="AH328" s="16"/>
      <c r="AI328" s="16"/>
      <c r="AJ328" s="16"/>
      <c r="AK328" s="16"/>
      <c r="AL328" s="17"/>
      <c r="AN328" s="18"/>
      <c r="AO328" s="18"/>
      <c r="AP328" s="18"/>
      <c r="AQ328" s="18"/>
      <c r="AR328" s="18"/>
      <c r="AS328" s="18"/>
      <c r="AT328" s="18"/>
      <c r="AU328" s="18"/>
      <c r="AV328" s="18"/>
      <c r="AW328" s="18"/>
      <c r="AX328" s="18"/>
      <c r="AY328" s="19"/>
    </row>
    <row r="329" spans="1:51">
      <c r="A329" s="26"/>
      <c r="B329" s="15"/>
      <c r="C329" s="15"/>
      <c r="D329" s="15"/>
      <c r="E329" s="27"/>
      <c r="F329" s="27"/>
      <c r="G329" s="15"/>
      <c r="H329" s="15"/>
      <c r="I329" s="15"/>
      <c r="J329" s="15"/>
      <c r="K329" s="15"/>
      <c r="L329" s="15"/>
      <c r="M329" s="15"/>
      <c r="N329" s="15"/>
      <c r="O329" s="28"/>
      <c r="P329" s="15"/>
      <c r="Q329" s="15"/>
      <c r="R329" s="15"/>
      <c r="S329" s="15"/>
      <c r="T329" s="15"/>
      <c r="U329" s="15"/>
      <c r="V329" s="15"/>
      <c r="W329" s="15"/>
      <c r="X329" s="15"/>
      <c r="Y329" s="15"/>
      <c r="Z329" s="15"/>
      <c r="AA329" s="15"/>
      <c r="AB329" s="15"/>
      <c r="AC329" s="16"/>
      <c r="AD329" s="16"/>
      <c r="AE329" s="16"/>
      <c r="AF329" s="16"/>
      <c r="AG329" s="16"/>
      <c r="AH329" s="16"/>
      <c r="AI329" s="16"/>
      <c r="AJ329" s="16"/>
      <c r="AK329" s="16"/>
      <c r="AL329" s="17"/>
      <c r="AM329" s="18"/>
      <c r="AN329" s="18"/>
      <c r="AO329" s="18"/>
      <c r="AP329" s="18"/>
      <c r="AQ329" s="18"/>
      <c r="AR329" s="18"/>
      <c r="AS329" s="18"/>
      <c r="AT329" s="18"/>
      <c r="AU329" s="18"/>
      <c r="AV329" s="18"/>
      <c r="AW329" s="18"/>
      <c r="AX329" s="18"/>
      <c r="AY329" s="19"/>
    </row>
    <row r="330" spans="1:51">
      <c r="A330" s="26"/>
      <c r="B330" s="15"/>
      <c r="C330" s="15"/>
      <c r="D330" s="15"/>
      <c r="E330" s="27"/>
      <c r="F330" s="27"/>
      <c r="G330" s="15"/>
      <c r="H330" s="15"/>
      <c r="I330" s="15"/>
      <c r="J330" s="15"/>
      <c r="K330" s="15"/>
      <c r="L330" s="15"/>
      <c r="M330" s="15"/>
      <c r="N330" s="15"/>
      <c r="O330" s="28"/>
      <c r="P330" s="15"/>
      <c r="Q330" s="15"/>
      <c r="R330" s="15"/>
      <c r="S330" s="15"/>
      <c r="T330" s="15"/>
      <c r="U330" s="15"/>
      <c r="V330" s="15"/>
      <c r="W330" s="15"/>
      <c r="X330" s="15"/>
      <c r="Y330" s="15"/>
      <c r="Z330" s="15"/>
      <c r="AA330" s="15"/>
      <c r="AB330" s="15"/>
      <c r="AC330" s="16"/>
      <c r="AD330" s="16"/>
      <c r="AE330" s="16"/>
      <c r="AF330" s="16"/>
      <c r="AG330" s="16"/>
      <c r="AH330" s="16"/>
      <c r="AI330" s="16"/>
      <c r="AJ330" s="16"/>
      <c r="AK330" s="16"/>
      <c r="AL330" s="17"/>
      <c r="AM330" s="18"/>
      <c r="AN330" s="18"/>
      <c r="AO330" s="18"/>
      <c r="AP330" s="18"/>
      <c r="AQ330" s="18"/>
      <c r="AR330" s="18"/>
      <c r="AS330" s="18"/>
      <c r="AT330" s="18"/>
      <c r="AU330" s="18"/>
      <c r="AV330" s="18"/>
      <c r="AW330" s="18"/>
      <c r="AX330" s="18"/>
      <c r="AY330" s="19"/>
    </row>
    <row r="331" spans="1:51">
      <c r="A331" s="26"/>
      <c r="B331" s="15"/>
      <c r="C331" s="15"/>
      <c r="D331" s="15"/>
      <c r="E331" s="27"/>
      <c r="F331" s="27"/>
      <c r="G331" s="15"/>
      <c r="H331" s="15"/>
      <c r="I331" s="15"/>
      <c r="J331" s="15"/>
      <c r="K331" s="15"/>
      <c r="L331" s="15"/>
      <c r="M331" s="15"/>
      <c r="N331" s="15"/>
      <c r="O331" s="28"/>
      <c r="P331" s="15"/>
      <c r="Q331" s="15"/>
      <c r="R331" s="15"/>
      <c r="S331" s="15"/>
      <c r="T331" s="15"/>
      <c r="U331" s="15"/>
      <c r="V331" s="15"/>
      <c r="W331" s="15"/>
      <c r="X331" s="15"/>
      <c r="Y331" s="15"/>
      <c r="Z331" s="15"/>
      <c r="AA331" s="15"/>
      <c r="AB331" s="15"/>
      <c r="AC331" s="16"/>
      <c r="AD331" s="16"/>
      <c r="AE331" s="16"/>
      <c r="AF331" s="16"/>
      <c r="AG331" s="16"/>
      <c r="AH331" s="16"/>
      <c r="AI331" s="16"/>
      <c r="AJ331" s="16"/>
      <c r="AK331" s="16"/>
      <c r="AL331" s="17"/>
      <c r="AM331" s="18"/>
      <c r="AN331" s="18"/>
      <c r="AO331" s="18"/>
      <c r="AP331" s="18"/>
      <c r="AQ331" s="18"/>
      <c r="AR331" s="18"/>
      <c r="AS331" s="18"/>
      <c r="AT331" s="18"/>
      <c r="AU331" s="18"/>
      <c r="AV331" s="18"/>
      <c r="AW331" s="18"/>
      <c r="AX331" s="18"/>
      <c r="AY331" s="19"/>
    </row>
    <row r="332" spans="1:51">
      <c r="A332" s="26"/>
      <c r="B332" s="15"/>
      <c r="C332" s="15"/>
      <c r="D332" s="15"/>
      <c r="E332" s="27"/>
      <c r="F332" s="27"/>
      <c r="G332" s="15"/>
      <c r="H332" s="15"/>
      <c r="I332" s="15"/>
      <c r="J332" s="15"/>
      <c r="K332" s="15"/>
      <c r="L332" s="15"/>
      <c r="M332" s="15"/>
      <c r="N332" s="15"/>
      <c r="O332" s="28"/>
      <c r="P332" s="15"/>
      <c r="Q332" s="15"/>
      <c r="R332" s="15"/>
      <c r="S332" s="15"/>
      <c r="T332" s="15"/>
      <c r="U332" s="15"/>
      <c r="V332" s="15"/>
      <c r="W332" s="15"/>
      <c r="X332" s="15"/>
      <c r="Y332" s="15"/>
      <c r="Z332" s="15"/>
      <c r="AA332" s="15"/>
      <c r="AB332" s="15"/>
      <c r="AC332" s="16"/>
      <c r="AD332" s="16"/>
      <c r="AE332" s="16"/>
      <c r="AF332" s="16"/>
      <c r="AG332" s="16"/>
      <c r="AH332" s="16"/>
      <c r="AI332" s="16"/>
      <c r="AJ332" s="16"/>
      <c r="AK332" s="16"/>
      <c r="AL332" s="17"/>
      <c r="AM332" s="18"/>
      <c r="AN332" s="18"/>
      <c r="AO332" s="18"/>
      <c r="AP332" s="18"/>
      <c r="AQ332" s="18"/>
      <c r="AR332" s="18"/>
      <c r="AS332" s="18"/>
      <c r="AT332" s="18"/>
      <c r="AU332" s="18"/>
      <c r="AV332" s="18"/>
      <c r="AW332" s="18"/>
      <c r="AX332" s="18"/>
      <c r="AY332" s="19"/>
    </row>
    <row r="333" spans="1:51">
      <c r="A333" s="26"/>
      <c r="B333" s="15"/>
      <c r="C333" s="15"/>
      <c r="D333" s="15"/>
      <c r="E333" s="27"/>
      <c r="F333" s="27"/>
      <c r="G333" s="15"/>
      <c r="H333" s="15"/>
      <c r="I333" s="15"/>
      <c r="J333" s="15"/>
      <c r="K333" s="15"/>
      <c r="L333" s="15"/>
      <c r="M333" s="15"/>
      <c r="N333" s="15"/>
      <c r="O333" s="28"/>
      <c r="P333" s="15"/>
      <c r="Q333" s="15"/>
      <c r="R333" s="15"/>
      <c r="S333" s="15"/>
      <c r="T333" s="15"/>
      <c r="U333" s="15"/>
      <c r="V333" s="15"/>
      <c r="W333" s="15"/>
      <c r="X333" s="15"/>
      <c r="Y333" s="15"/>
      <c r="Z333" s="15"/>
      <c r="AA333" s="15"/>
      <c r="AB333" s="15"/>
      <c r="AC333" s="16"/>
      <c r="AD333" s="16"/>
      <c r="AE333" s="16"/>
      <c r="AF333" s="16"/>
      <c r="AG333" s="16"/>
      <c r="AH333" s="16"/>
      <c r="AI333" s="16"/>
      <c r="AJ333" s="16"/>
      <c r="AK333" s="16"/>
      <c r="AL333" s="17"/>
      <c r="AM333" s="18"/>
      <c r="AN333" s="18"/>
      <c r="AO333" s="18"/>
      <c r="AP333" s="18"/>
      <c r="AQ333" s="18"/>
      <c r="AR333" s="18"/>
      <c r="AS333" s="18"/>
      <c r="AT333" s="18"/>
      <c r="AU333" s="18"/>
      <c r="AV333" s="18"/>
      <c r="AW333" s="18"/>
      <c r="AX333" s="18"/>
      <c r="AY333" s="19"/>
    </row>
    <row r="334" spans="1:51">
      <c r="A334" s="26"/>
      <c r="B334" s="15"/>
      <c r="C334" s="15"/>
      <c r="D334" s="15"/>
      <c r="E334" s="27"/>
      <c r="F334" s="27"/>
      <c r="G334" s="15"/>
      <c r="H334" s="15"/>
      <c r="I334" s="15"/>
      <c r="J334" s="15"/>
      <c r="K334" s="15"/>
      <c r="L334" s="15"/>
      <c r="M334" s="15"/>
      <c r="N334" s="15"/>
      <c r="O334" s="28"/>
      <c r="P334" s="15"/>
      <c r="Q334" s="15"/>
      <c r="R334" s="15"/>
      <c r="S334" s="15"/>
      <c r="T334" s="15"/>
      <c r="U334" s="15"/>
      <c r="V334" s="15"/>
      <c r="W334" s="15"/>
      <c r="X334" s="15"/>
      <c r="Y334" s="15"/>
      <c r="Z334" s="15"/>
      <c r="AA334" s="15"/>
      <c r="AB334" s="15"/>
      <c r="AC334" s="16"/>
      <c r="AD334" s="16"/>
      <c r="AE334" s="16"/>
      <c r="AF334" s="16"/>
      <c r="AG334" s="16"/>
      <c r="AH334" s="16"/>
      <c r="AI334" s="16"/>
      <c r="AJ334" s="16"/>
      <c r="AK334" s="16"/>
      <c r="AL334" s="17"/>
      <c r="AM334" s="30"/>
      <c r="AN334" s="18"/>
      <c r="AO334" s="18"/>
      <c r="AP334" s="18"/>
      <c r="AQ334" s="18"/>
      <c r="AR334" s="18"/>
      <c r="AS334" s="18"/>
      <c r="AT334" s="18"/>
      <c r="AU334" s="18"/>
      <c r="AV334" s="18"/>
      <c r="AW334" s="18"/>
      <c r="AX334" s="18"/>
      <c r="AY334" s="19"/>
    </row>
    <row r="335" spans="1:51">
      <c r="A335" s="26"/>
      <c r="B335" s="15"/>
      <c r="C335" s="15"/>
      <c r="D335" s="15"/>
      <c r="E335" s="27"/>
      <c r="F335" s="27"/>
      <c r="G335" s="15"/>
      <c r="H335" s="15"/>
      <c r="I335" s="15"/>
      <c r="J335" s="15"/>
      <c r="K335" s="15"/>
      <c r="L335" s="15"/>
      <c r="M335" s="15"/>
      <c r="N335" s="15"/>
      <c r="O335" s="28"/>
      <c r="P335" s="15"/>
      <c r="Q335" s="15"/>
      <c r="R335" s="15"/>
      <c r="S335" s="15"/>
      <c r="T335" s="15"/>
      <c r="U335" s="15"/>
      <c r="V335" s="15"/>
      <c r="W335" s="15"/>
      <c r="X335" s="15"/>
      <c r="Y335" s="15"/>
      <c r="Z335" s="15"/>
      <c r="AA335" s="15"/>
      <c r="AB335" s="15"/>
      <c r="AC335" s="16"/>
      <c r="AD335" s="16"/>
      <c r="AE335" s="16"/>
      <c r="AF335" s="16"/>
      <c r="AG335" s="16"/>
      <c r="AH335" s="16"/>
      <c r="AI335" s="16"/>
      <c r="AJ335" s="16"/>
      <c r="AK335" s="16"/>
      <c r="AL335" s="17"/>
      <c r="AM335" s="18"/>
      <c r="AN335" s="18"/>
      <c r="AO335" s="18"/>
      <c r="AP335" s="18"/>
      <c r="AQ335" s="18"/>
      <c r="AR335" s="18"/>
      <c r="AS335" s="18"/>
      <c r="AT335" s="18"/>
      <c r="AU335" s="18"/>
      <c r="AV335" s="18"/>
      <c r="AW335" s="18"/>
      <c r="AX335" s="18"/>
      <c r="AY335" s="19"/>
    </row>
    <row r="336" spans="1:51">
      <c r="A336" s="26"/>
      <c r="B336" s="15"/>
      <c r="C336" s="15"/>
      <c r="D336" s="15"/>
      <c r="E336" s="27"/>
      <c r="F336" s="27"/>
      <c r="G336" s="15"/>
      <c r="H336" s="15"/>
      <c r="I336" s="15"/>
      <c r="J336" s="15"/>
      <c r="K336" s="15"/>
      <c r="L336" s="15"/>
      <c r="M336" s="15"/>
      <c r="N336" s="15"/>
      <c r="O336" s="28"/>
      <c r="P336" s="15"/>
      <c r="Q336" s="15"/>
      <c r="R336" s="15"/>
      <c r="S336" s="15"/>
      <c r="T336" s="15"/>
      <c r="U336" s="15"/>
      <c r="V336" s="15"/>
      <c r="W336" s="15"/>
      <c r="X336" s="15"/>
      <c r="Y336" s="15"/>
      <c r="Z336" s="15"/>
      <c r="AA336" s="15"/>
      <c r="AB336" s="15"/>
      <c r="AC336" s="16"/>
      <c r="AD336" s="16"/>
      <c r="AE336" s="16"/>
      <c r="AF336" s="16"/>
      <c r="AG336" s="16"/>
      <c r="AH336" s="16"/>
      <c r="AI336" s="16"/>
      <c r="AJ336" s="16"/>
      <c r="AK336" s="16"/>
      <c r="AL336" s="17"/>
      <c r="AM336" s="18"/>
      <c r="AS336" s="18"/>
      <c r="AT336" s="18"/>
      <c r="AU336" s="18"/>
      <c r="AV336" s="18"/>
      <c r="AW336" s="18"/>
      <c r="AX336" s="18"/>
      <c r="AY336" s="19"/>
    </row>
    <row r="337" spans="1:51">
      <c r="A337" s="9"/>
      <c r="AL337" s="29"/>
      <c r="AX337" s="20"/>
      <c r="AY337" s="10"/>
    </row>
    <row r="338" spans="1:51">
      <c r="A338" s="9"/>
      <c r="AL338" s="29"/>
      <c r="AV338" s="20"/>
      <c r="AW338" s="20"/>
      <c r="AX338" s="20"/>
      <c r="AY338" s="10"/>
    </row>
    <row r="339" spans="1:51">
      <c r="A339" s="9"/>
      <c r="AL339" s="29"/>
      <c r="AV339" s="20"/>
      <c r="AW339" s="20"/>
      <c r="AX339" s="20"/>
      <c r="AY339" s="10"/>
    </row>
    <row r="340" spans="1:51">
      <c r="A340" s="9"/>
      <c r="AL340" s="29"/>
      <c r="AM340" s="22" t="s">
        <v>4</v>
      </c>
      <c r="AV340" s="20"/>
      <c r="AW340" s="20"/>
      <c r="AX340" s="20"/>
      <c r="AY340" s="10"/>
    </row>
    <row r="341" spans="1:51">
      <c r="A341" s="9"/>
      <c r="AL341" s="29"/>
      <c r="AV341" s="20"/>
      <c r="AW341" s="20"/>
      <c r="AX341" s="20"/>
      <c r="AY341" s="10"/>
    </row>
    <row r="342" spans="1:51">
      <c r="A342" s="9"/>
      <c r="AL342" s="29"/>
      <c r="AN342" s="18"/>
      <c r="AV342" s="20"/>
      <c r="AW342" s="20"/>
      <c r="AX342" s="20"/>
      <c r="AY342" s="10"/>
    </row>
    <row r="343" spans="1:51">
      <c r="A343" s="32"/>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4"/>
      <c r="AM343" s="62"/>
      <c r="AN343" s="62"/>
      <c r="AO343" s="62"/>
      <c r="AP343" s="62"/>
      <c r="AQ343" s="62"/>
      <c r="AR343" s="62"/>
      <c r="AS343" s="62"/>
      <c r="AT343" s="62"/>
      <c r="AU343" s="62"/>
      <c r="AV343" s="33"/>
      <c r="AW343" s="33"/>
      <c r="AX343" s="33"/>
      <c r="AY343" s="35"/>
    </row>
  </sheetData>
  <mergeCells count="39">
    <mergeCell ref="A1:AY2"/>
    <mergeCell ref="A3:P3"/>
    <mergeCell ref="A6:AL6"/>
    <mergeCell ref="AM6:AY6"/>
    <mergeCell ref="A7:O7"/>
    <mergeCell ref="P7:AL7"/>
    <mergeCell ref="AM7:AY7"/>
    <mergeCell ref="P150:AL150"/>
    <mergeCell ref="A66:O66"/>
    <mergeCell ref="P66:AL66"/>
    <mergeCell ref="AM66:AY66"/>
    <mergeCell ref="A33:O33"/>
    <mergeCell ref="P33:AL33"/>
    <mergeCell ref="AM33:AY33"/>
    <mergeCell ref="A47:O47"/>
    <mergeCell ref="P47:AL47"/>
    <mergeCell ref="AM47:AY47"/>
    <mergeCell ref="A85:O85"/>
    <mergeCell ref="P85:AL85"/>
    <mergeCell ref="AM85:AY85"/>
    <mergeCell ref="A150:O150"/>
    <mergeCell ref="A325:O325"/>
    <mergeCell ref="P325:AL325"/>
    <mergeCell ref="AM325:AY325"/>
    <mergeCell ref="A268:O268"/>
    <mergeCell ref="P268:AL268"/>
    <mergeCell ref="AM268:AY268"/>
    <mergeCell ref="A287:O287"/>
    <mergeCell ref="P287:AL287"/>
    <mergeCell ref="AM287:AY287"/>
    <mergeCell ref="A306:O306"/>
    <mergeCell ref="P306:AL306"/>
    <mergeCell ref="AM306:AY306"/>
    <mergeCell ref="A202:O202"/>
    <mergeCell ref="P202:AL202"/>
    <mergeCell ref="AM202:AY202"/>
    <mergeCell ref="A237:O237"/>
    <mergeCell ref="P237:AL237"/>
    <mergeCell ref="AM237:AY237"/>
  </mergeCells>
  <hyperlinks>
    <hyperlink ref="AM101" r:id="rId1" xr:uid="{874F69EA-F55B-4825-A042-29BBBC203EE0}"/>
    <hyperlink ref="L41" r:id="rId2" xr:uid="{D739AFD0-92A4-4989-8D05-76BB20F64B55}"/>
    <hyperlink ref="L42" r:id="rId3" xr:uid="{5A03C0F5-59BB-4E83-A1FB-E97830DE809B}"/>
    <hyperlink ref="L43" r:id="rId4" xr:uid="{9EDBF734-FA59-4A77-A10B-8433916D12C6}"/>
  </hyperlinks>
  <pageMargins left="0.7" right="0.7" top="0.75" bottom="0.75" header="0.3" footer="0.3"/>
  <pageSetup orientation="portrait" horizontalDpi="200" verticalDpi="200" r:id="rId5"/>
  <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749EE-205F-4FF8-B540-F845A1668589}">
  <dimension ref="A1:AI42"/>
  <sheetViews>
    <sheetView zoomScale="55" zoomScaleNormal="55" workbookViewId="0">
      <selection activeCell="E14" sqref="E14:E15"/>
    </sheetView>
  </sheetViews>
  <sheetFormatPr defaultRowHeight="14.5"/>
  <cols>
    <col min="1" max="1" width="8.7265625" style="156"/>
    <col min="2" max="2" width="14.36328125" style="155" customWidth="1"/>
    <col min="3" max="6" width="8.7265625" style="155"/>
    <col min="7" max="7" width="13.54296875" style="155" customWidth="1"/>
    <col min="8" max="8" width="11.54296875" style="155" customWidth="1"/>
    <col min="9" max="9" width="22.81640625" style="155" customWidth="1"/>
    <col min="10" max="16384" width="8.7265625" style="155"/>
  </cols>
  <sheetData>
    <row r="1" spans="1:33">
      <c r="A1" s="171">
        <v>1</v>
      </c>
      <c r="B1" s="170" t="s">
        <v>321</v>
      </c>
    </row>
    <row r="2" spans="1:33">
      <c r="B2" s="155" t="s">
        <v>322</v>
      </c>
    </row>
    <row r="3" spans="1:33">
      <c r="B3" s="155" t="s">
        <v>323</v>
      </c>
    </row>
    <row r="4" spans="1:33">
      <c r="B4" s="155" t="s">
        <v>324</v>
      </c>
    </row>
    <row r="5" spans="1:33">
      <c r="B5" s="155" t="s">
        <v>325</v>
      </c>
    </row>
    <row r="6" spans="1:33" ht="15" thickBot="1"/>
    <row r="7" spans="1:33">
      <c r="B7" s="151" t="s">
        <v>309</v>
      </c>
      <c r="C7" s="139"/>
      <c r="D7" s="139"/>
      <c r="E7" s="139"/>
      <c r="F7" s="152"/>
      <c r="G7" s="139"/>
      <c r="H7" s="139"/>
      <c r="I7" s="139"/>
      <c r="J7" s="139"/>
      <c r="K7" s="139"/>
      <c r="L7" s="139"/>
      <c r="M7" s="139"/>
      <c r="N7" s="139"/>
      <c r="O7" s="139"/>
      <c r="P7" s="139"/>
      <c r="Q7" s="139"/>
      <c r="R7" s="139"/>
      <c r="S7" s="139"/>
      <c r="T7" s="139"/>
      <c r="U7" s="139"/>
      <c r="V7" s="139"/>
      <c r="W7" s="139"/>
      <c r="X7" s="139"/>
      <c r="Y7" s="139"/>
      <c r="Z7" s="139"/>
      <c r="AA7" s="139"/>
      <c r="AB7" s="139"/>
      <c r="AC7" s="139"/>
      <c r="AD7" s="139"/>
      <c r="AE7" s="139"/>
      <c r="AF7" s="140"/>
      <c r="AG7" s="141"/>
    </row>
    <row r="8" spans="1:33">
      <c r="B8" s="153" t="s">
        <v>310</v>
      </c>
      <c r="C8" s="144"/>
      <c r="D8" s="144"/>
      <c r="E8" s="144"/>
      <c r="F8" s="154"/>
      <c r="G8" s="144"/>
      <c r="H8" s="144"/>
      <c r="I8" s="144"/>
      <c r="J8" s="144"/>
      <c r="K8" s="144"/>
      <c r="L8" s="144"/>
      <c r="M8" s="144"/>
      <c r="N8" s="144"/>
      <c r="O8" s="144"/>
      <c r="P8" s="144"/>
      <c r="Q8" s="144"/>
      <c r="R8" s="144"/>
      <c r="S8" s="144"/>
      <c r="T8" s="144"/>
      <c r="U8" s="144"/>
      <c r="V8" s="144"/>
      <c r="W8" s="144"/>
      <c r="X8" s="144"/>
      <c r="Y8" s="144"/>
      <c r="Z8" s="144"/>
      <c r="AA8" s="144"/>
      <c r="AB8" s="144"/>
      <c r="AC8" s="144"/>
      <c r="AD8" s="144"/>
      <c r="AE8" s="144"/>
      <c r="AF8" s="145"/>
      <c r="AG8" s="146"/>
    </row>
    <row r="9" spans="1:33">
      <c r="B9" s="142"/>
      <c r="C9" s="144"/>
      <c r="D9" s="144"/>
      <c r="E9" s="144"/>
      <c r="F9" s="144"/>
      <c r="G9" s="144"/>
      <c r="H9" s="144"/>
      <c r="I9" s="144"/>
      <c r="J9" s="144"/>
      <c r="K9" s="144"/>
      <c r="L9" s="144"/>
      <c r="M9" s="144"/>
      <c r="N9" s="144"/>
      <c r="O9" s="144"/>
      <c r="P9" s="144"/>
      <c r="Q9" s="144"/>
      <c r="R9" s="144"/>
      <c r="S9" s="144"/>
      <c r="T9" s="144"/>
      <c r="U9" s="144"/>
      <c r="V9" s="144"/>
      <c r="W9" s="144"/>
      <c r="X9" s="144"/>
      <c r="Y9" s="144"/>
      <c r="Z9" s="144"/>
      <c r="AA9" s="144"/>
      <c r="AB9" s="144"/>
      <c r="AC9" s="144"/>
      <c r="AD9" s="144"/>
      <c r="AE9" s="144"/>
      <c r="AF9" s="145"/>
      <c r="AG9" s="146"/>
    </row>
    <row r="10" spans="1:33">
      <c r="B10" s="142"/>
      <c r="C10" s="346" t="s">
        <v>311</v>
      </c>
      <c r="D10" s="346"/>
      <c r="E10" s="347"/>
      <c r="F10" s="143"/>
      <c r="G10" s="143"/>
      <c r="H10" s="143"/>
      <c r="I10" s="346" t="s">
        <v>251</v>
      </c>
      <c r="J10" s="348"/>
      <c r="K10" s="144"/>
      <c r="L10" s="143"/>
      <c r="M10" s="145"/>
      <c r="N10" s="144"/>
      <c r="O10" s="144"/>
      <c r="P10" s="144"/>
      <c r="Q10" s="145"/>
      <c r="R10" s="145"/>
      <c r="S10" s="144"/>
      <c r="T10" s="144"/>
      <c r="U10" s="144"/>
      <c r="V10" s="144"/>
      <c r="W10" s="144"/>
      <c r="X10" s="144"/>
      <c r="Y10" s="144"/>
      <c r="Z10" s="144"/>
      <c r="AA10" s="144"/>
      <c r="AB10" s="144"/>
      <c r="AC10" s="144"/>
      <c r="AD10" s="144"/>
      <c r="AE10" s="144"/>
      <c r="AF10" s="145"/>
      <c r="AG10" s="146"/>
    </row>
    <row r="11" spans="1:33">
      <c r="B11" s="142"/>
      <c r="C11" s="346"/>
      <c r="D11" s="346"/>
      <c r="E11" s="347"/>
      <c r="F11" s="143"/>
      <c r="G11" s="143"/>
      <c r="H11" s="143"/>
      <c r="I11" s="346"/>
      <c r="J11" s="348"/>
      <c r="K11" s="143"/>
      <c r="L11" s="143"/>
      <c r="M11" s="143"/>
      <c r="N11" s="144"/>
      <c r="O11" s="144"/>
      <c r="P11" s="144"/>
      <c r="Q11" s="143"/>
      <c r="R11" s="143"/>
      <c r="S11" s="144"/>
      <c r="T11" s="144"/>
      <c r="U11" s="144"/>
      <c r="V11" s="144"/>
      <c r="W11" s="144"/>
      <c r="X11" s="144"/>
      <c r="Y11" s="144"/>
      <c r="Z11" s="144"/>
      <c r="AA11" s="144"/>
      <c r="AB11" s="144"/>
      <c r="AC11" s="144"/>
      <c r="AD11" s="144"/>
      <c r="AE11" s="144"/>
      <c r="AF11" s="145"/>
      <c r="AG11" s="146"/>
    </row>
    <row r="12" spans="1:33" ht="24" customHeight="1">
      <c r="B12" s="349" t="s">
        <v>312</v>
      </c>
      <c r="C12" s="350"/>
      <c r="D12" s="350"/>
      <c r="E12" s="350"/>
      <c r="F12" s="350"/>
      <c r="G12" s="350"/>
      <c r="H12" s="350"/>
      <c r="I12" s="350"/>
      <c r="J12" s="350"/>
      <c r="K12" s="143"/>
      <c r="L12" s="143"/>
      <c r="M12" s="143"/>
      <c r="N12" s="144"/>
      <c r="O12" s="144"/>
      <c r="P12" s="144"/>
      <c r="Q12" s="143"/>
      <c r="R12" s="143"/>
      <c r="S12" s="144"/>
      <c r="T12" s="144"/>
      <c r="U12" s="144"/>
      <c r="V12" s="144"/>
      <c r="W12" s="144"/>
      <c r="X12" s="144"/>
      <c r="Y12" s="144"/>
      <c r="Z12" s="144"/>
      <c r="AA12" s="144"/>
      <c r="AB12" s="144"/>
      <c r="AC12" s="144"/>
      <c r="AD12" s="144"/>
      <c r="AE12" s="144"/>
      <c r="AF12" s="145"/>
      <c r="AG12" s="146"/>
    </row>
    <row r="13" spans="1:33" s="158" customFormat="1" ht="10.5">
      <c r="A13" s="157"/>
      <c r="B13" s="147">
        <v>1</v>
      </c>
      <c r="C13" s="130">
        <v>2</v>
      </c>
      <c r="D13" s="130">
        <v>3</v>
      </c>
      <c r="E13" s="130">
        <v>4</v>
      </c>
      <c r="F13" s="130">
        <v>5</v>
      </c>
      <c r="G13" s="130">
        <v>6</v>
      </c>
      <c r="H13" s="130">
        <v>7</v>
      </c>
      <c r="I13" s="130">
        <v>8</v>
      </c>
      <c r="J13" s="130">
        <v>9</v>
      </c>
      <c r="K13" s="130">
        <v>10</v>
      </c>
      <c r="L13" s="130">
        <v>11</v>
      </c>
      <c r="M13" s="130">
        <v>12</v>
      </c>
      <c r="N13" s="343">
        <f>M13+1</f>
        <v>13</v>
      </c>
      <c r="O13" s="344"/>
      <c r="P13" s="344"/>
      <c r="Q13" s="344"/>
      <c r="R13" s="344"/>
      <c r="S13" s="345"/>
      <c r="T13" s="131">
        <v>14</v>
      </c>
      <c r="U13" s="130">
        <f>T13+1</f>
        <v>15</v>
      </c>
      <c r="V13" s="130">
        <f t="shared" ref="V13:AG13" si="0">U13+1</f>
        <v>16</v>
      </c>
      <c r="W13" s="130">
        <f t="shared" si="0"/>
        <v>17</v>
      </c>
      <c r="X13" s="130">
        <f t="shared" si="0"/>
        <v>18</v>
      </c>
      <c r="Y13" s="130">
        <f t="shared" si="0"/>
        <v>19</v>
      </c>
      <c r="Z13" s="130">
        <f t="shared" si="0"/>
        <v>20</v>
      </c>
      <c r="AA13" s="130">
        <f t="shared" si="0"/>
        <v>21</v>
      </c>
      <c r="AB13" s="130">
        <f t="shared" si="0"/>
        <v>22</v>
      </c>
      <c r="AC13" s="130">
        <f t="shared" si="0"/>
        <v>23</v>
      </c>
      <c r="AD13" s="130">
        <f t="shared" si="0"/>
        <v>24</v>
      </c>
      <c r="AE13" s="130">
        <f t="shared" si="0"/>
        <v>25</v>
      </c>
      <c r="AF13" s="130">
        <f t="shared" si="0"/>
        <v>26</v>
      </c>
      <c r="AG13" s="148">
        <f t="shared" si="0"/>
        <v>27</v>
      </c>
    </row>
    <row r="14" spans="1:33" s="158" customFormat="1" ht="10.5">
      <c r="A14" s="157"/>
      <c r="B14" s="351" t="s">
        <v>313</v>
      </c>
      <c r="C14" s="338" t="s">
        <v>314</v>
      </c>
      <c r="D14" s="338" t="s">
        <v>315</v>
      </c>
      <c r="E14" s="338" t="s">
        <v>308</v>
      </c>
      <c r="F14" s="338" t="s">
        <v>226</v>
      </c>
      <c r="G14" s="338" t="s">
        <v>227</v>
      </c>
      <c r="H14" s="338" t="s">
        <v>228</v>
      </c>
      <c r="I14" s="338" t="s">
        <v>229</v>
      </c>
      <c r="J14" s="338" t="s">
        <v>230</v>
      </c>
      <c r="K14" s="338" t="s">
        <v>231</v>
      </c>
      <c r="L14" s="338" t="s">
        <v>232</v>
      </c>
      <c r="M14" s="338" t="s">
        <v>233</v>
      </c>
      <c r="N14" s="340" t="s">
        <v>234</v>
      </c>
      <c r="O14" s="341"/>
      <c r="P14" s="341"/>
      <c r="Q14" s="341"/>
      <c r="R14" s="341"/>
      <c r="S14" s="342"/>
      <c r="T14" s="338" t="s">
        <v>235</v>
      </c>
      <c r="U14" s="338" t="s">
        <v>236</v>
      </c>
      <c r="V14" s="338" t="s">
        <v>237</v>
      </c>
      <c r="W14" s="338" t="s">
        <v>238</v>
      </c>
      <c r="X14" s="338" t="s">
        <v>239</v>
      </c>
      <c r="Y14" s="338" t="s">
        <v>240</v>
      </c>
      <c r="Z14" s="338" t="s">
        <v>241</v>
      </c>
      <c r="AA14" s="338" t="s">
        <v>242</v>
      </c>
      <c r="AB14" s="338" t="s">
        <v>316</v>
      </c>
      <c r="AC14" s="338" t="s">
        <v>317</v>
      </c>
      <c r="AD14" s="338" t="s">
        <v>243</v>
      </c>
      <c r="AE14" s="338" t="s">
        <v>318</v>
      </c>
      <c r="AF14" s="334" t="s">
        <v>319</v>
      </c>
      <c r="AG14" s="337" t="s">
        <v>320</v>
      </c>
    </row>
    <row r="15" spans="1:33" s="158" customFormat="1" ht="25" customHeight="1">
      <c r="A15" s="157"/>
      <c r="B15" s="352"/>
      <c r="C15" s="339"/>
      <c r="D15" s="339"/>
      <c r="E15" s="339"/>
      <c r="F15" s="339"/>
      <c r="G15" s="339"/>
      <c r="H15" s="339"/>
      <c r="I15" s="339"/>
      <c r="J15" s="339"/>
      <c r="K15" s="339"/>
      <c r="L15" s="339"/>
      <c r="M15" s="339"/>
      <c r="N15" s="132" t="s">
        <v>244</v>
      </c>
      <c r="O15" s="132" t="s">
        <v>245</v>
      </c>
      <c r="P15" s="132" t="s">
        <v>246</v>
      </c>
      <c r="Q15" s="132" t="s">
        <v>247</v>
      </c>
      <c r="R15" s="132" t="s">
        <v>248</v>
      </c>
      <c r="S15" s="132" t="s">
        <v>249</v>
      </c>
      <c r="T15" s="339"/>
      <c r="U15" s="339"/>
      <c r="V15" s="339"/>
      <c r="W15" s="339"/>
      <c r="X15" s="339"/>
      <c r="Y15" s="339"/>
      <c r="Z15" s="339"/>
      <c r="AA15" s="339"/>
      <c r="AB15" s="339"/>
      <c r="AC15" s="339"/>
      <c r="AD15" s="339"/>
      <c r="AE15" s="339"/>
      <c r="AF15" s="334"/>
      <c r="AG15" s="337"/>
    </row>
    <row r="16" spans="1:33" s="158" customFormat="1" ht="10.5">
      <c r="A16" s="157"/>
      <c r="B16" s="149">
        <v>1</v>
      </c>
      <c r="C16" s="133"/>
      <c r="D16" s="134" t="e">
        <f>VLOOKUP(C16,[1]Master!D:E,2,0)</f>
        <v>#N/A</v>
      </c>
      <c r="E16" s="135"/>
      <c r="F16" s="135"/>
      <c r="G16" s="135"/>
      <c r="H16" s="135"/>
      <c r="I16" s="134" t="str">
        <f>N16&amp;" "&amp;O16&amp;" "&amp;P16&amp;""&amp;Q16&amp;" "&amp;R16&amp;" "&amp;S16</f>
        <v xml:space="preserve">    </v>
      </c>
      <c r="J16" s="135"/>
      <c r="K16" s="135"/>
      <c r="L16" s="135"/>
      <c r="M16" s="135"/>
      <c r="N16" s="135"/>
      <c r="O16" s="135"/>
      <c r="P16" s="135"/>
      <c r="Q16" s="135"/>
      <c r="R16" s="135"/>
      <c r="S16" s="136"/>
      <c r="T16" s="136"/>
      <c r="U16" s="136"/>
      <c r="V16" s="136"/>
      <c r="W16" s="136"/>
      <c r="X16" s="135"/>
      <c r="Y16" s="135"/>
      <c r="Z16" s="134"/>
      <c r="AA16" s="134"/>
      <c r="AB16" s="137" t="s">
        <v>121</v>
      </c>
      <c r="AC16" s="135"/>
      <c r="AD16" s="138"/>
      <c r="AE16" s="138"/>
      <c r="AF16" s="135"/>
      <c r="AG16" s="150"/>
    </row>
    <row r="17" spans="1:33" s="158" customFormat="1" ht="10.5">
      <c r="A17" s="157"/>
      <c r="B17" s="149">
        <v>2</v>
      </c>
      <c r="C17" s="133"/>
      <c r="D17" s="134" t="e">
        <f>VLOOKUP(C17,[1]Master!D:E,2,0)</f>
        <v>#N/A</v>
      </c>
      <c r="E17" s="135"/>
      <c r="F17" s="135"/>
      <c r="G17" s="135"/>
      <c r="H17" s="135"/>
      <c r="I17" s="134" t="str">
        <f t="shared" ref="I17:I18" si="1">N17&amp;" "&amp;O17&amp;" "&amp;P17&amp;""&amp;Q17&amp;" "&amp;R17&amp;" "&amp;S17</f>
        <v xml:space="preserve">    </v>
      </c>
      <c r="J17" s="135"/>
      <c r="K17" s="135"/>
      <c r="L17" s="135"/>
      <c r="M17" s="135"/>
      <c r="N17" s="135"/>
      <c r="O17" s="136"/>
      <c r="P17" s="135"/>
      <c r="Q17" s="135"/>
      <c r="R17" s="135"/>
      <c r="S17" s="135"/>
      <c r="T17" s="135"/>
      <c r="U17" s="135"/>
      <c r="V17" s="135"/>
      <c r="W17" s="135"/>
      <c r="X17" s="135"/>
      <c r="Y17" s="135"/>
      <c r="Z17" s="134"/>
      <c r="AA17" s="134"/>
      <c r="AB17" s="137" t="s">
        <v>39</v>
      </c>
      <c r="AC17" s="135"/>
      <c r="AD17" s="138"/>
      <c r="AE17" s="138"/>
      <c r="AF17" s="135"/>
      <c r="AG17" s="150"/>
    </row>
    <row r="18" spans="1:33" s="158" customFormat="1" ht="10.5">
      <c r="A18" s="157"/>
      <c r="B18" s="149">
        <v>3</v>
      </c>
      <c r="C18" s="133"/>
      <c r="D18" s="134" t="e">
        <f>VLOOKUP(C18,[1]Master!D:E,2,0)</f>
        <v>#N/A</v>
      </c>
      <c r="E18" s="135"/>
      <c r="F18" s="135"/>
      <c r="G18" s="135"/>
      <c r="H18" s="135"/>
      <c r="I18" s="134" t="str">
        <f t="shared" si="1"/>
        <v xml:space="preserve">    </v>
      </c>
      <c r="J18" s="135"/>
      <c r="K18" s="135"/>
      <c r="L18" s="135"/>
      <c r="M18" s="135"/>
      <c r="N18" s="135"/>
      <c r="O18" s="135"/>
      <c r="P18" s="135"/>
      <c r="Q18" s="135"/>
      <c r="R18" s="135"/>
      <c r="S18" s="135"/>
      <c r="T18" s="135"/>
      <c r="U18" s="135"/>
      <c r="V18" s="135"/>
      <c r="W18" s="135"/>
      <c r="X18" s="135"/>
      <c r="Y18" s="135"/>
      <c r="Z18" s="134"/>
      <c r="AA18" s="134"/>
      <c r="AB18" s="137" t="s">
        <v>39</v>
      </c>
      <c r="AC18" s="135"/>
      <c r="AD18" s="138"/>
      <c r="AE18" s="138"/>
      <c r="AF18" s="135"/>
      <c r="AG18" s="150"/>
    </row>
    <row r="19" spans="1:33" ht="15" thickBot="1">
      <c r="B19" s="159"/>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1"/>
    </row>
    <row r="21" spans="1:33">
      <c r="A21" s="169">
        <v>2</v>
      </c>
      <c r="B21" s="170" t="s">
        <v>352</v>
      </c>
    </row>
    <row r="23" spans="1:33">
      <c r="A23" s="156">
        <v>2.1</v>
      </c>
      <c r="B23" s="155" t="s">
        <v>328</v>
      </c>
      <c r="I23" s="155" t="s">
        <v>331</v>
      </c>
    </row>
    <row r="25" spans="1:33" ht="42">
      <c r="B25" s="162"/>
      <c r="C25" s="132" t="s">
        <v>186</v>
      </c>
      <c r="D25" s="132" t="s">
        <v>63</v>
      </c>
      <c r="E25" s="132" t="s">
        <v>105</v>
      </c>
      <c r="F25" s="132" t="s">
        <v>187</v>
      </c>
      <c r="G25" s="132" t="s">
        <v>188</v>
      </c>
      <c r="H25" s="132" t="s">
        <v>64</v>
      </c>
      <c r="I25" s="132" t="s">
        <v>65</v>
      </c>
      <c r="J25" s="132" t="s">
        <v>326</v>
      </c>
    </row>
    <row r="26" spans="1:33">
      <c r="B26" s="163" t="s">
        <v>327</v>
      </c>
      <c r="C26" s="70"/>
      <c r="D26" s="70"/>
      <c r="E26" s="70"/>
      <c r="F26" s="70"/>
      <c r="G26" s="70"/>
      <c r="H26" s="70"/>
      <c r="I26" s="70"/>
      <c r="J26" s="70"/>
    </row>
    <row r="27" spans="1:33">
      <c r="B27" s="163" t="s">
        <v>327</v>
      </c>
      <c r="C27" s="70"/>
      <c r="D27" s="70"/>
      <c r="E27" s="70"/>
      <c r="F27" s="70"/>
      <c r="G27" s="70"/>
      <c r="H27" s="70"/>
      <c r="I27" s="70"/>
      <c r="J27" s="70"/>
    </row>
    <row r="28" spans="1:33">
      <c r="B28" s="163" t="s">
        <v>327</v>
      </c>
      <c r="C28" s="70"/>
      <c r="D28" s="70"/>
      <c r="E28" s="70"/>
      <c r="F28" s="70"/>
      <c r="G28" s="70"/>
      <c r="H28" s="70"/>
      <c r="I28" s="70"/>
      <c r="J28" s="70"/>
    </row>
    <row r="30" spans="1:33">
      <c r="A30" s="156">
        <v>2.2000000000000002</v>
      </c>
      <c r="B30" s="164" t="s">
        <v>329</v>
      </c>
    </row>
    <row r="31" spans="1:33">
      <c r="B31" s="155" t="s">
        <v>330</v>
      </c>
    </row>
    <row r="33" spans="1:35" s="166" customFormat="1" ht="14.5" customHeight="1">
      <c r="A33" s="165"/>
      <c r="B33" s="334" t="s">
        <v>212</v>
      </c>
      <c r="C33" s="130">
        <v>1</v>
      </c>
      <c r="D33" s="130">
        <v>2</v>
      </c>
      <c r="E33" s="130">
        <v>3</v>
      </c>
      <c r="F33" s="130">
        <v>4</v>
      </c>
      <c r="G33" s="130">
        <v>5</v>
      </c>
      <c r="H33" s="130">
        <v>6</v>
      </c>
      <c r="I33" s="130">
        <v>7</v>
      </c>
      <c r="J33" s="130">
        <v>8</v>
      </c>
      <c r="K33" s="130">
        <v>9</v>
      </c>
      <c r="L33" s="130">
        <v>10</v>
      </c>
      <c r="M33" s="130">
        <v>11</v>
      </c>
      <c r="N33" s="130">
        <v>12</v>
      </c>
      <c r="O33" s="335">
        <f>N33+1</f>
        <v>13</v>
      </c>
      <c r="P33" s="335"/>
      <c r="Q33" s="335"/>
      <c r="R33" s="335"/>
      <c r="S33" s="335"/>
      <c r="T33" s="335"/>
      <c r="U33" s="130">
        <v>14</v>
      </c>
      <c r="V33" s="130">
        <f>U33+1</f>
        <v>15</v>
      </c>
      <c r="W33" s="130">
        <f t="shared" ref="W33" si="2">V33+1</f>
        <v>16</v>
      </c>
      <c r="X33" s="130">
        <f t="shared" ref="X33" si="3">W33+1</f>
        <v>17</v>
      </c>
      <c r="Y33" s="130">
        <f t="shared" ref="Y33" si="4">X33+1</f>
        <v>18</v>
      </c>
      <c r="Z33" s="130">
        <f t="shared" ref="Z33" si="5">Y33+1</f>
        <v>19</v>
      </c>
      <c r="AA33" s="130">
        <f t="shared" ref="AA33" si="6">Z33+1</f>
        <v>20</v>
      </c>
      <c r="AB33" s="130">
        <f t="shared" ref="AB33" si="7">AA33+1</f>
        <v>21</v>
      </c>
      <c r="AC33" s="130">
        <f t="shared" ref="AC33" si="8">AB33+1</f>
        <v>22</v>
      </c>
      <c r="AD33" s="130">
        <f t="shared" ref="AD33" si="9">AC33+1</f>
        <v>23</v>
      </c>
      <c r="AE33" s="130">
        <f t="shared" ref="AE33" si="10">AD33+1</f>
        <v>24</v>
      </c>
      <c r="AF33" s="130">
        <f t="shared" ref="AF33" si="11">AE33+1</f>
        <v>25</v>
      </c>
      <c r="AG33" s="130">
        <f t="shared" ref="AG33" si="12">AF33+1</f>
        <v>26</v>
      </c>
      <c r="AH33" s="130">
        <f t="shared" ref="AH33:AI33" si="13">AG33+1</f>
        <v>27</v>
      </c>
      <c r="AI33" s="130">
        <f t="shared" si="13"/>
        <v>28</v>
      </c>
    </row>
    <row r="34" spans="1:35" s="166" customFormat="1" ht="10.5" customHeight="1">
      <c r="A34" s="165"/>
      <c r="B34" s="334"/>
      <c r="C34" s="336" t="s">
        <v>313</v>
      </c>
      <c r="D34" s="334" t="s">
        <v>314</v>
      </c>
      <c r="E34" s="334" t="s">
        <v>315</v>
      </c>
      <c r="F34" s="334" t="s">
        <v>308</v>
      </c>
      <c r="G34" s="334" t="s">
        <v>226</v>
      </c>
      <c r="H34" s="334" t="s">
        <v>227</v>
      </c>
      <c r="I34" s="334" t="s">
        <v>228</v>
      </c>
      <c r="J34" s="334" t="s">
        <v>229</v>
      </c>
      <c r="K34" s="334" t="s">
        <v>230</v>
      </c>
      <c r="L34" s="334" t="s">
        <v>231</v>
      </c>
      <c r="M34" s="334" t="s">
        <v>232</v>
      </c>
      <c r="N34" s="334" t="s">
        <v>233</v>
      </c>
      <c r="O34" s="334" t="s">
        <v>234</v>
      </c>
      <c r="P34" s="334"/>
      <c r="Q34" s="334"/>
      <c r="R34" s="334"/>
      <c r="S34" s="334"/>
      <c r="T34" s="334"/>
      <c r="U34" s="334" t="s">
        <v>235</v>
      </c>
      <c r="V34" s="334" t="s">
        <v>236</v>
      </c>
      <c r="W34" s="334" t="s">
        <v>237</v>
      </c>
      <c r="X34" s="334" t="s">
        <v>238</v>
      </c>
      <c r="Y34" s="334" t="s">
        <v>239</v>
      </c>
      <c r="Z34" s="334" t="s">
        <v>240</v>
      </c>
      <c r="AA34" s="334" t="s">
        <v>241</v>
      </c>
      <c r="AB34" s="334" t="s">
        <v>242</v>
      </c>
      <c r="AC34" s="334" t="s">
        <v>316</v>
      </c>
      <c r="AD34" s="334" t="s">
        <v>317</v>
      </c>
      <c r="AE34" s="334" t="s">
        <v>243</v>
      </c>
      <c r="AF34" s="334" t="s">
        <v>318</v>
      </c>
      <c r="AG34" s="334" t="s">
        <v>319</v>
      </c>
      <c r="AH34" s="334" t="s">
        <v>320</v>
      </c>
      <c r="AI34" s="334" t="s">
        <v>353</v>
      </c>
    </row>
    <row r="35" spans="1:35" s="166" customFormat="1" ht="43" customHeight="1">
      <c r="A35" s="165"/>
      <c r="B35" s="334"/>
      <c r="C35" s="336"/>
      <c r="D35" s="334"/>
      <c r="E35" s="334"/>
      <c r="F35" s="334"/>
      <c r="G35" s="334"/>
      <c r="H35" s="334"/>
      <c r="I35" s="334"/>
      <c r="J35" s="334"/>
      <c r="K35" s="334"/>
      <c r="L35" s="334"/>
      <c r="M35" s="334"/>
      <c r="N35" s="334"/>
      <c r="O35" s="132" t="s">
        <v>244</v>
      </c>
      <c r="P35" s="132" t="s">
        <v>245</v>
      </c>
      <c r="Q35" s="132" t="s">
        <v>246</v>
      </c>
      <c r="R35" s="132" t="s">
        <v>247</v>
      </c>
      <c r="S35" s="132" t="s">
        <v>248</v>
      </c>
      <c r="T35" s="132" t="s">
        <v>249</v>
      </c>
      <c r="U35" s="334"/>
      <c r="V35" s="334"/>
      <c r="W35" s="334"/>
      <c r="X35" s="334"/>
      <c r="Y35" s="334"/>
      <c r="Z35" s="334"/>
      <c r="AA35" s="334"/>
      <c r="AB35" s="334"/>
      <c r="AC35" s="334"/>
      <c r="AD35" s="334"/>
      <c r="AE35" s="334"/>
      <c r="AF35" s="334"/>
      <c r="AG35" s="334"/>
      <c r="AH35" s="334"/>
      <c r="AI35" s="334"/>
    </row>
    <row r="36" spans="1:35" s="166" customFormat="1" ht="10.5">
      <c r="A36" s="165"/>
      <c r="B36" s="133" t="s">
        <v>108</v>
      </c>
      <c r="C36" s="133">
        <v>1</v>
      </c>
      <c r="D36" s="133"/>
      <c r="E36" s="134" t="e">
        <f>VLOOKUP(D36,[1]Master!E:F,2,0)</f>
        <v>#N/A</v>
      </c>
      <c r="F36" s="135"/>
      <c r="G36" s="135"/>
      <c r="H36" s="135"/>
      <c r="I36" s="135"/>
      <c r="J36" s="134" t="str">
        <f>O36&amp;" "&amp;P36&amp;" "&amp;Q36&amp;""&amp;R36&amp;" "&amp;S36&amp;" "&amp;T36</f>
        <v xml:space="preserve">    </v>
      </c>
      <c r="K36" s="135"/>
      <c r="L36" s="135"/>
      <c r="M36" s="135"/>
      <c r="N36" s="135"/>
      <c r="O36" s="135"/>
      <c r="P36" s="135"/>
      <c r="Q36" s="135"/>
      <c r="R36" s="135"/>
      <c r="S36" s="135"/>
      <c r="T36" s="136"/>
      <c r="U36" s="136"/>
      <c r="V36" s="136"/>
      <c r="W36" s="136"/>
      <c r="X36" s="136"/>
      <c r="Y36" s="135"/>
      <c r="Z36" s="135"/>
      <c r="AA36" s="134"/>
      <c r="AB36" s="134"/>
      <c r="AC36" s="137" t="s">
        <v>121</v>
      </c>
      <c r="AD36" s="135"/>
      <c r="AE36" s="138"/>
      <c r="AF36" s="138"/>
      <c r="AG36" s="135"/>
      <c r="AH36" s="135"/>
      <c r="AI36" s="173"/>
    </row>
    <row r="37" spans="1:35" s="166" customFormat="1" ht="10.5">
      <c r="A37" s="165"/>
      <c r="B37" s="133" t="s">
        <v>107</v>
      </c>
      <c r="C37" s="133">
        <v>2</v>
      </c>
      <c r="D37" s="133"/>
      <c r="E37" s="134" t="e">
        <f>VLOOKUP(D37,[1]Master!E:F,2,0)</f>
        <v>#N/A</v>
      </c>
      <c r="F37" s="135"/>
      <c r="G37" s="135"/>
      <c r="H37" s="135"/>
      <c r="I37" s="135"/>
      <c r="J37" s="134" t="str">
        <f t="shared" ref="J37:J38" si="14">O37&amp;" "&amp;P37&amp;" "&amp;Q37&amp;""&amp;R37&amp;" "&amp;S37&amp;" "&amp;T37</f>
        <v xml:space="preserve">    </v>
      </c>
      <c r="K37" s="135"/>
      <c r="L37" s="135"/>
      <c r="M37" s="135"/>
      <c r="N37" s="135"/>
      <c r="O37" s="135"/>
      <c r="P37" s="136"/>
      <c r="Q37" s="135"/>
      <c r="R37" s="135"/>
      <c r="S37" s="135"/>
      <c r="T37" s="135"/>
      <c r="U37" s="135"/>
      <c r="V37" s="135"/>
      <c r="W37" s="135"/>
      <c r="X37" s="135"/>
      <c r="Y37" s="135"/>
      <c r="Z37" s="135"/>
      <c r="AA37" s="134"/>
      <c r="AB37" s="134"/>
      <c r="AC37" s="137" t="s">
        <v>39</v>
      </c>
      <c r="AD37" s="135"/>
      <c r="AE37" s="138"/>
      <c r="AF37" s="138"/>
      <c r="AG37" s="135"/>
      <c r="AH37" s="135"/>
      <c r="AI37" s="173"/>
    </row>
    <row r="38" spans="1:35" s="166" customFormat="1" ht="10.5">
      <c r="A38" s="165"/>
      <c r="B38" s="133" t="s">
        <v>109</v>
      </c>
      <c r="C38" s="133">
        <v>3</v>
      </c>
      <c r="D38" s="133"/>
      <c r="E38" s="134" t="e">
        <f>VLOOKUP(D38,[1]Master!E:F,2,0)</f>
        <v>#N/A</v>
      </c>
      <c r="F38" s="135"/>
      <c r="G38" s="135"/>
      <c r="H38" s="135"/>
      <c r="I38" s="135"/>
      <c r="J38" s="134" t="str">
        <f t="shared" si="14"/>
        <v xml:space="preserve">    </v>
      </c>
      <c r="K38" s="135"/>
      <c r="L38" s="135"/>
      <c r="M38" s="135"/>
      <c r="N38" s="135"/>
      <c r="O38" s="135"/>
      <c r="P38" s="135"/>
      <c r="Q38" s="135"/>
      <c r="R38" s="135"/>
      <c r="S38" s="135"/>
      <c r="T38" s="135"/>
      <c r="U38" s="135"/>
      <c r="V38" s="135"/>
      <c r="W38" s="135"/>
      <c r="X38" s="135"/>
      <c r="Y38" s="135"/>
      <c r="Z38" s="135"/>
      <c r="AA38" s="134"/>
      <c r="AB38" s="134"/>
      <c r="AC38" s="137" t="s">
        <v>39</v>
      </c>
      <c r="AD38" s="135"/>
      <c r="AE38" s="138"/>
      <c r="AF38" s="138"/>
      <c r="AG38" s="135"/>
      <c r="AH38" s="135"/>
      <c r="AI38" s="173"/>
    </row>
    <row r="39" spans="1:35" s="166" customFormat="1" ht="10.5">
      <c r="A39" s="165"/>
      <c r="B39" s="133" t="s">
        <v>106</v>
      </c>
      <c r="C39" s="133">
        <v>4</v>
      </c>
      <c r="D39" s="173"/>
      <c r="E39" s="173"/>
      <c r="F39" s="173"/>
      <c r="G39" s="173"/>
      <c r="H39" s="173"/>
      <c r="I39" s="173"/>
      <c r="J39" s="173"/>
      <c r="K39" s="173"/>
      <c r="L39" s="173"/>
      <c r="M39" s="173"/>
      <c r="N39" s="173"/>
      <c r="O39" s="173"/>
      <c r="P39" s="173"/>
      <c r="Q39" s="173"/>
      <c r="R39" s="173"/>
      <c r="S39" s="173"/>
      <c r="T39" s="173"/>
      <c r="U39" s="173"/>
      <c r="V39" s="173"/>
      <c r="W39" s="173"/>
      <c r="X39" s="173"/>
      <c r="Y39" s="173"/>
      <c r="Z39" s="173"/>
      <c r="AA39" s="173"/>
      <c r="AB39" s="173"/>
      <c r="AC39" s="173"/>
      <c r="AD39" s="173"/>
      <c r="AE39" s="173"/>
      <c r="AF39" s="173"/>
      <c r="AG39" s="173"/>
      <c r="AH39" s="173"/>
      <c r="AI39" s="173"/>
    </row>
    <row r="42" spans="1:35">
      <c r="A42" s="156">
        <v>3</v>
      </c>
    </row>
  </sheetData>
  <mergeCells count="63">
    <mergeCell ref="N13:S13"/>
    <mergeCell ref="AI34:AI35"/>
    <mergeCell ref="G14:G15"/>
    <mergeCell ref="C10:D11"/>
    <mergeCell ref="E10:E11"/>
    <mergeCell ref="I10:I11"/>
    <mergeCell ref="J10:J11"/>
    <mergeCell ref="B12:J12"/>
    <mergeCell ref="B14:B15"/>
    <mergeCell ref="C14:C15"/>
    <mergeCell ref="D14:D15"/>
    <mergeCell ref="E14:E15"/>
    <mergeCell ref="F14:F15"/>
    <mergeCell ref="X14:X15"/>
    <mergeCell ref="H14:H15"/>
    <mergeCell ref="I14:I15"/>
    <mergeCell ref="J14:J15"/>
    <mergeCell ref="K14:K15"/>
    <mergeCell ref="L14:L15"/>
    <mergeCell ref="M14:M15"/>
    <mergeCell ref="N14:S14"/>
    <mergeCell ref="T14:T15"/>
    <mergeCell ref="U14:U15"/>
    <mergeCell ref="V14:V15"/>
    <mergeCell ref="W14:W15"/>
    <mergeCell ref="AE14:AE15"/>
    <mergeCell ref="AF14:AF15"/>
    <mergeCell ref="AG14:AG15"/>
    <mergeCell ref="Y14:Y15"/>
    <mergeCell ref="Z14:Z15"/>
    <mergeCell ref="AA14:AA15"/>
    <mergeCell ref="AB14:AB15"/>
    <mergeCell ref="AC14:AC15"/>
    <mergeCell ref="AD14:AD15"/>
    <mergeCell ref="N34:N35"/>
    <mergeCell ref="O34:T34"/>
    <mergeCell ref="H34:H35"/>
    <mergeCell ref="I34:I35"/>
    <mergeCell ref="J34:J35"/>
    <mergeCell ref="K34:K35"/>
    <mergeCell ref="L34:L35"/>
    <mergeCell ref="M34:M35"/>
    <mergeCell ref="AD34:AD35"/>
    <mergeCell ref="U34:U35"/>
    <mergeCell ref="V34:V35"/>
    <mergeCell ref="W34:W35"/>
    <mergeCell ref="X34:X35"/>
    <mergeCell ref="AH34:AH35"/>
    <mergeCell ref="B33:B35"/>
    <mergeCell ref="AE34:AE35"/>
    <mergeCell ref="AF34:AF35"/>
    <mergeCell ref="AG34:AG35"/>
    <mergeCell ref="O33:T33"/>
    <mergeCell ref="C34:C35"/>
    <mergeCell ref="D34:D35"/>
    <mergeCell ref="E34:E35"/>
    <mergeCell ref="F34:F35"/>
    <mergeCell ref="G34:G35"/>
    <mergeCell ref="Y34:Y35"/>
    <mergeCell ref="Z34:Z35"/>
    <mergeCell ref="AA34:AA35"/>
    <mergeCell ref="AB34:AB35"/>
    <mergeCell ref="AC34:AC35"/>
  </mergeCells>
  <dataValidations count="3">
    <dataValidation type="list" allowBlank="1" showInputMessage="1" showErrorMessage="1" sqref="AF16:AF18 AG36:AG38" xr:uid="{9BABBA09-26CD-4F95-94C3-1E840B78A5F4}">
      <formula1>" ,O"</formula1>
    </dataValidation>
    <dataValidation type="list" allowBlank="1" showInputMessage="1" showErrorMessage="1" sqref="E16:E18 F36:F38" xr:uid="{7A46047F-7BEF-496B-99F9-4282A60BD54B}">
      <formula1>"A,E,Ngoài danh mục"</formula1>
    </dataValidation>
    <dataValidation type="list" allowBlank="1" showInputMessage="1" showErrorMessage="1" sqref="AB16:AB18 AC36:AC38" xr:uid="{84737E7C-27DC-418C-B480-90E5F2E53C5B}">
      <formula1>"O,X"</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003E-70B7-475F-B29E-84B557FCD4B0}">
  <dimension ref="A1:BC24"/>
  <sheetViews>
    <sheetView zoomScale="70" zoomScaleNormal="70" workbookViewId="0">
      <selection activeCell="K17" sqref="K17"/>
    </sheetView>
  </sheetViews>
  <sheetFormatPr defaultRowHeight="14.5"/>
  <cols>
    <col min="1" max="3" width="8.7265625" style="174"/>
    <col min="4" max="4" width="26.7265625" customWidth="1"/>
  </cols>
  <sheetData>
    <row r="1" spans="1:55">
      <c r="D1" s="170" t="s">
        <v>342</v>
      </c>
    </row>
    <row r="2" spans="1:55">
      <c r="D2" s="155" t="s">
        <v>330</v>
      </c>
    </row>
    <row r="3" spans="1:55">
      <c r="D3" s="155" t="s">
        <v>332</v>
      </c>
    </row>
    <row r="5" spans="1:55">
      <c r="E5" s="155"/>
      <c r="F5" s="155"/>
      <c r="G5" s="155"/>
      <c r="H5" s="155"/>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row>
    <row r="6" spans="1:55">
      <c r="E6" s="155"/>
      <c r="F6" s="155"/>
      <c r="G6" s="155"/>
      <c r="H6" s="155"/>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row>
    <row r="7" spans="1:55">
      <c r="A7" s="334" t="s">
        <v>351</v>
      </c>
      <c r="B7" s="334" t="s">
        <v>186</v>
      </c>
      <c r="C7" s="334" t="s">
        <v>350</v>
      </c>
      <c r="D7" s="334" t="s">
        <v>212</v>
      </c>
      <c r="E7" s="130">
        <v>1</v>
      </c>
      <c r="F7" s="130">
        <v>2</v>
      </c>
      <c r="G7" s="130">
        <v>3</v>
      </c>
      <c r="H7" s="130">
        <v>4</v>
      </c>
      <c r="I7" s="130">
        <v>5</v>
      </c>
      <c r="J7" s="130">
        <v>6</v>
      </c>
      <c r="K7" s="130">
        <v>7</v>
      </c>
      <c r="L7" s="130">
        <v>8</v>
      </c>
      <c r="M7" s="130">
        <v>9</v>
      </c>
      <c r="N7" s="130">
        <v>10</v>
      </c>
      <c r="O7" s="130">
        <v>11</v>
      </c>
      <c r="P7" s="130">
        <v>12</v>
      </c>
      <c r="Q7" s="335">
        <f>P7+1</f>
        <v>13</v>
      </c>
      <c r="R7" s="335"/>
      <c r="S7" s="335"/>
      <c r="T7" s="335"/>
      <c r="U7" s="335"/>
      <c r="V7" s="335"/>
      <c r="W7" s="130">
        <v>14</v>
      </c>
      <c r="X7" s="130">
        <f>W7+1</f>
        <v>15</v>
      </c>
      <c r="Y7" s="130">
        <f t="shared" ref="Y7:AJ7" si="0">X7+1</f>
        <v>16</v>
      </c>
      <c r="Z7" s="130">
        <f t="shared" si="0"/>
        <v>17</v>
      </c>
      <c r="AA7" s="130">
        <f t="shared" si="0"/>
        <v>18</v>
      </c>
      <c r="AB7" s="130">
        <f t="shared" si="0"/>
        <v>19</v>
      </c>
      <c r="AC7" s="130">
        <f t="shared" si="0"/>
        <v>20</v>
      </c>
      <c r="AD7" s="130">
        <f t="shared" si="0"/>
        <v>21</v>
      </c>
      <c r="AE7" s="130">
        <f t="shared" si="0"/>
        <v>22</v>
      </c>
      <c r="AF7" s="130">
        <f t="shared" si="0"/>
        <v>23</v>
      </c>
      <c r="AG7" s="130">
        <f t="shared" si="0"/>
        <v>24</v>
      </c>
      <c r="AH7" s="130">
        <f t="shared" si="0"/>
        <v>25</v>
      </c>
      <c r="AI7" s="130">
        <f t="shared" si="0"/>
        <v>26</v>
      </c>
      <c r="AJ7" s="130">
        <f t="shared" si="0"/>
        <v>27</v>
      </c>
      <c r="AK7" s="177">
        <f t="shared" ref="AK7" si="1">AJ7+1</f>
        <v>28</v>
      </c>
      <c r="AL7" s="177">
        <f t="shared" ref="AL7" si="2">AK7+1</f>
        <v>29</v>
      </c>
      <c r="AM7" s="177">
        <f t="shared" ref="AM7" si="3">AL7+1</f>
        <v>30</v>
      </c>
      <c r="AN7" s="177">
        <f t="shared" ref="AN7" si="4">AM7+1</f>
        <v>31</v>
      </c>
      <c r="AO7" s="177">
        <f t="shared" ref="AO7" si="5">AN7+1</f>
        <v>32</v>
      </c>
      <c r="AP7" s="177">
        <f t="shared" ref="AP7" si="6">AO7+1</f>
        <v>33</v>
      </c>
      <c r="AQ7" s="177">
        <f t="shared" ref="AQ7" si="7">AP7+1</f>
        <v>34</v>
      </c>
      <c r="AR7" s="177">
        <f t="shared" ref="AR7" si="8">AQ7+1</f>
        <v>35</v>
      </c>
      <c r="AS7" s="177">
        <f t="shared" ref="AS7" si="9">AR7+1</f>
        <v>36</v>
      </c>
      <c r="AT7" s="177">
        <f t="shared" ref="AT7" si="10">AS7+1</f>
        <v>37</v>
      </c>
      <c r="AU7" s="177">
        <f t="shared" ref="AU7" si="11">AT7+1</f>
        <v>38</v>
      </c>
      <c r="AV7" s="177">
        <f t="shared" ref="AV7" si="12">AU7+1</f>
        <v>39</v>
      </c>
      <c r="AW7" s="177">
        <f t="shared" ref="AW7" si="13">AV7+1</f>
        <v>40</v>
      </c>
      <c r="AX7" s="177">
        <f t="shared" ref="AX7" si="14">AW7+1</f>
        <v>41</v>
      </c>
      <c r="AY7" s="177">
        <f t="shared" ref="AY7" si="15">AX7+1</f>
        <v>42</v>
      </c>
      <c r="AZ7" s="177">
        <f t="shared" ref="AZ7" si="16">AY7+1</f>
        <v>43</v>
      </c>
      <c r="BA7" s="177">
        <f t="shared" ref="BA7" si="17">AZ7+1</f>
        <v>44</v>
      </c>
      <c r="BB7" s="177">
        <f t="shared" ref="BB7" si="18">BA7+1</f>
        <v>45</v>
      </c>
      <c r="BC7" s="177">
        <f t="shared" ref="BC7" si="19">BB7+1</f>
        <v>46</v>
      </c>
    </row>
    <row r="8" spans="1:55" ht="14.5" customHeight="1">
      <c r="A8" s="334"/>
      <c r="B8" s="334"/>
      <c r="C8" s="334"/>
      <c r="D8" s="334"/>
      <c r="E8" s="336" t="s">
        <v>313</v>
      </c>
      <c r="F8" s="334" t="s">
        <v>314</v>
      </c>
      <c r="G8" s="334" t="s">
        <v>315</v>
      </c>
      <c r="H8" s="334" t="s">
        <v>308</v>
      </c>
      <c r="I8" s="334" t="s">
        <v>226</v>
      </c>
      <c r="J8" s="334" t="s">
        <v>227</v>
      </c>
      <c r="K8" s="334" t="s">
        <v>228</v>
      </c>
      <c r="L8" s="334" t="s">
        <v>229</v>
      </c>
      <c r="M8" s="334" t="s">
        <v>230</v>
      </c>
      <c r="N8" s="334" t="s">
        <v>231</v>
      </c>
      <c r="O8" s="334" t="s">
        <v>232</v>
      </c>
      <c r="P8" s="334" t="s">
        <v>233</v>
      </c>
      <c r="Q8" s="334" t="s">
        <v>234</v>
      </c>
      <c r="R8" s="334"/>
      <c r="S8" s="334"/>
      <c r="T8" s="334"/>
      <c r="U8" s="334"/>
      <c r="V8" s="334"/>
      <c r="W8" s="334" t="s">
        <v>235</v>
      </c>
      <c r="X8" s="334" t="s">
        <v>236</v>
      </c>
      <c r="Y8" s="334" t="s">
        <v>237</v>
      </c>
      <c r="Z8" s="334" t="s">
        <v>238</v>
      </c>
      <c r="AA8" s="334" t="s">
        <v>239</v>
      </c>
      <c r="AB8" s="334" t="s">
        <v>240</v>
      </c>
      <c r="AC8" s="334" t="s">
        <v>241</v>
      </c>
      <c r="AD8" s="334" t="s">
        <v>242</v>
      </c>
      <c r="AE8" s="334" t="s">
        <v>316</v>
      </c>
      <c r="AF8" s="334" t="s">
        <v>317</v>
      </c>
      <c r="AG8" s="334" t="s">
        <v>243</v>
      </c>
      <c r="AH8" s="334" t="s">
        <v>318</v>
      </c>
      <c r="AI8" s="334" t="s">
        <v>319</v>
      </c>
      <c r="AJ8" s="334" t="s">
        <v>320</v>
      </c>
      <c r="AK8" s="353" t="s">
        <v>144</v>
      </c>
      <c r="AL8" s="353" t="s">
        <v>146</v>
      </c>
      <c r="AM8" s="353" t="s">
        <v>112</v>
      </c>
      <c r="AN8" s="353" t="s">
        <v>40</v>
      </c>
      <c r="AO8" s="353" t="s">
        <v>41</v>
      </c>
      <c r="AP8" s="354" t="s">
        <v>145</v>
      </c>
      <c r="AQ8" s="354" t="s">
        <v>148</v>
      </c>
      <c r="AR8" s="354" t="s">
        <v>149</v>
      </c>
      <c r="AS8" s="354" t="s">
        <v>152</v>
      </c>
      <c r="AT8" s="354" t="s">
        <v>150</v>
      </c>
      <c r="AU8" s="354" t="s">
        <v>69</v>
      </c>
      <c r="AV8" s="354" t="s">
        <v>147</v>
      </c>
      <c r="AW8" s="354" t="s">
        <v>362</v>
      </c>
      <c r="AX8" s="354" t="s">
        <v>366</v>
      </c>
      <c r="AY8" s="354" t="s">
        <v>363</v>
      </c>
      <c r="AZ8" s="354" t="s">
        <v>364</v>
      </c>
      <c r="BA8" s="354" t="s">
        <v>225</v>
      </c>
      <c r="BB8" s="354" t="s">
        <v>223</v>
      </c>
      <c r="BC8" s="353" t="s">
        <v>224</v>
      </c>
    </row>
    <row r="9" spans="1:55" ht="84">
      <c r="A9" s="334"/>
      <c r="B9" s="334"/>
      <c r="C9" s="334"/>
      <c r="D9" s="334"/>
      <c r="E9" s="336"/>
      <c r="F9" s="334"/>
      <c r="G9" s="334"/>
      <c r="H9" s="334"/>
      <c r="I9" s="334"/>
      <c r="J9" s="334"/>
      <c r="K9" s="334"/>
      <c r="L9" s="334"/>
      <c r="M9" s="334"/>
      <c r="N9" s="334"/>
      <c r="O9" s="334"/>
      <c r="P9" s="334"/>
      <c r="Q9" s="132" t="s">
        <v>244</v>
      </c>
      <c r="R9" s="132" t="s">
        <v>245</v>
      </c>
      <c r="S9" s="132" t="s">
        <v>246</v>
      </c>
      <c r="T9" s="132" t="s">
        <v>247</v>
      </c>
      <c r="U9" s="132" t="s">
        <v>248</v>
      </c>
      <c r="V9" s="132" t="s">
        <v>249</v>
      </c>
      <c r="W9" s="334"/>
      <c r="X9" s="334"/>
      <c r="Y9" s="334"/>
      <c r="Z9" s="334"/>
      <c r="AA9" s="334"/>
      <c r="AB9" s="334"/>
      <c r="AC9" s="334"/>
      <c r="AD9" s="334"/>
      <c r="AE9" s="334"/>
      <c r="AF9" s="334"/>
      <c r="AG9" s="334"/>
      <c r="AH9" s="334"/>
      <c r="AI9" s="334"/>
      <c r="AJ9" s="334"/>
      <c r="AK9" s="353"/>
      <c r="AL9" s="353"/>
      <c r="AM9" s="353"/>
      <c r="AN9" s="353"/>
      <c r="AO9" s="353"/>
      <c r="AP9" s="355"/>
      <c r="AQ9" s="355"/>
      <c r="AR9" s="355"/>
      <c r="AS9" s="355"/>
      <c r="AT9" s="355"/>
      <c r="AU9" s="355"/>
      <c r="AV9" s="355"/>
      <c r="AW9" s="355"/>
      <c r="AX9" s="355"/>
      <c r="AY9" s="355"/>
      <c r="AZ9" s="355"/>
      <c r="BA9" s="355"/>
      <c r="BB9" s="355"/>
      <c r="BC9" s="353"/>
    </row>
    <row r="10" spans="1:55">
      <c r="A10" s="181" t="s">
        <v>39</v>
      </c>
      <c r="B10" s="181"/>
      <c r="C10" s="181"/>
      <c r="D10" s="133" t="s">
        <v>343</v>
      </c>
      <c r="E10" s="180"/>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132"/>
      <c r="AH10" s="132"/>
      <c r="AI10" s="132"/>
      <c r="AJ10" s="132"/>
      <c r="AK10" s="70"/>
      <c r="AL10" s="70"/>
      <c r="AM10" s="70"/>
      <c r="AN10" s="70"/>
      <c r="AO10" s="70"/>
      <c r="AP10" s="70"/>
      <c r="AQ10" s="70"/>
      <c r="AR10" s="70"/>
      <c r="AS10" s="70"/>
      <c r="AT10" s="70"/>
      <c r="AU10" s="70"/>
      <c r="AV10" s="70"/>
      <c r="AW10" s="70"/>
      <c r="AX10" s="70"/>
      <c r="AY10" s="70"/>
      <c r="AZ10" s="70"/>
      <c r="BA10" s="70"/>
      <c r="BB10" s="70"/>
      <c r="BC10" s="70"/>
    </row>
    <row r="11" spans="1:55">
      <c r="A11" s="181" t="s">
        <v>39</v>
      </c>
      <c r="B11" s="181"/>
      <c r="C11" s="181"/>
      <c r="D11" s="133" t="s">
        <v>108</v>
      </c>
      <c r="E11" s="133">
        <v>1</v>
      </c>
      <c r="F11" s="133"/>
      <c r="G11" s="134"/>
      <c r="H11" s="135"/>
      <c r="I11" s="135"/>
      <c r="J11" s="135"/>
      <c r="K11" s="135"/>
      <c r="L11" s="134" t="str">
        <f>Q11&amp;" "&amp;R11&amp;" "&amp;S11&amp;""&amp;T11&amp;" "&amp;U11&amp;" "&amp;V11</f>
        <v xml:space="preserve">    </v>
      </c>
      <c r="M11" s="135"/>
      <c r="N11" s="135"/>
      <c r="O11" s="135"/>
      <c r="P11" s="135"/>
      <c r="Q11" s="135"/>
      <c r="R11" s="135"/>
      <c r="S11" s="135"/>
      <c r="T11" s="135"/>
      <c r="U11" s="135"/>
      <c r="V11" s="136"/>
      <c r="W11" s="136"/>
      <c r="X11" s="136"/>
      <c r="Y11" s="136"/>
      <c r="Z11" s="136"/>
      <c r="AA11" s="135"/>
      <c r="AB11" s="135"/>
      <c r="AC11" s="134"/>
      <c r="AD11" s="134"/>
      <c r="AE11" s="137" t="s">
        <v>121</v>
      </c>
      <c r="AF11" s="135"/>
      <c r="AG11" s="138"/>
      <c r="AH11" s="138"/>
      <c r="AI11" s="135"/>
      <c r="AJ11" s="135"/>
      <c r="AK11" s="70"/>
      <c r="AL11" s="70"/>
      <c r="AM11" s="70"/>
      <c r="AN11" s="70"/>
      <c r="AO11" s="70"/>
      <c r="AP11" s="70"/>
      <c r="AQ11" s="70"/>
      <c r="AR11" s="70"/>
      <c r="AS11" s="70"/>
      <c r="AT11" s="70"/>
      <c r="AU11" s="70"/>
      <c r="AV11" s="70"/>
      <c r="AW11" s="70"/>
      <c r="AX11" s="70"/>
      <c r="AY11" s="70"/>
      <c r="AZ11" s="70"/>
      <c r="BA11" s="70"/>
      <c r="BB11" s="70"/>
      <c r="BC11" s="70"/>
    </row>
    <row r="12" spans="1:55">
      <c r="A12" s="181" t="s">
        <v>39</v>
      </c>
      <c r="B12" s="181"/>
      <c r="C12" s="181"/>
      <c r="D12" s="133" t="s">
        <v>107</v>
      </c>
      <c r="E12" s="133">
        <v>2</v>
      </c>
      <c r="F12" s="133"/>
      <c r="G12" s="134"/>
      <c r="H12" s="135"/>
      <c r="I12" s="135"/>
      <c r="J12" s="135"/>
      <c r="K12" s="135"/>
      <c r="L12" s="134" t="str">
        <f t="shared" ref="L12:L13" si="20">Q12&amp;" "&amp;R12&amp;" "&amp;S12&amp;""&amp;T12&amp;" "&amp;U12&amp;" "&amp;V12</f>
        <v xml:space="preserve">    </v>
      </c>
      <c r="M12" s="135"/>
      <c r="N12" s="135"/>
      <c r="O12" s="135"/>
      <c r="P12" s="135"/>
      <c r="Q12" s="135"/>
      <c r="R12" s="136"/>
      <c r="S12" s="135"/>
      <c r="T12" s="135"/>
      <c r="U12" s="135"/>
      <c r="V12" s="135"/>
      <c r="W12" s="135"/>
      <c r="X12" s="135"/>
      <c r="Y12" s="135"/>
      <c r="Z12" s="135"/>
      <c r="AA12" s="135"/>
      <c r="AB12" s="135"/>
      <c r="AC12" s="134"/>
      <c r="AD12" s="134"/>
      <c r="AE12" s="137" t="s">
        <v>39</v>
      </c>
      <c r="AF12" s="135"/>
      <c r="AG12" s="138"/>
      <c r="AH12" s="138"/>
      <c r="AI12" s="135"/>
      <c r="AJ12" s="135"/>
      <c r="AK12" s="70"/>
      <c r="AL12" s="70"/>
      <c r="AM12" s="70"/>
      <c r="AN12" s="70"/>
      <c r="AO12" s="70"/>
      <c r="AP12" s="70"/>
      <c r="AQ12" s="70"/>
      <c r="AR12" s="70"/>
      <c r="AS12" s="70"/>
      <c r="AT12" s="70"/>
      <c r="AU12" s="70"/>
      <c r="AV12" s="70"/>
      <c r="AW12" s="70"/>
      <c r="AX12" s="70"/>
      <c r="AY12" s="70"/>
      <c r="AZ12" s="70"/>
      <c r="BA12" s="70"/>
      <c r="BB12" s="70"/>
      <c r="BC12" s="70"/>
    </row>
    <row r="13" spans="1:55">
      <c r="A13" s="181" t="s">
        <v>39</v>
      </c>
      <c r="B13" s="181"/>
      <c r="C13" s="181"/>
      <c r="D13" s="133" t="s">
        <v>109</v>
      </c>
      <c r="E13" s="133">
        <v>3</v>
      </c>
      <c r="F13" s="133"/>
      <c r="G13" s="134"/>
      <c r="H13" s="135"/>
      <c r="I13" s="135"/>
      <c r="J13" s="135"/>
      <c r="K13" s="135"/>
      <c r="L13" s="134" t="str">
        <f t="shared" si="20"/>
        <v xml:space="preserve">    </v>
      </c>
      <c r="M13" s="135"/>
      <c r="N13" s="135"/>
      <c r="O13" s="135"/>
      <c r="P13" s="135"/>
      <c r="Q13" s="135"/>
      <c r="R13" s="135"/>
      <c r="S13" s="135"/>
      <c r="T13" s="135"/>
      <c r="U13" s="135"/>
      <c r="V13" s="135"/>
      <c r="W13" s="135"/>
      <c r="X13" s="135"/>
      <c r="Y13" s="135"/>
      <c r="Z13" s="135"/>
      <c r="AA13" s="135"/>
      <c r="AB13" s="135"/>
      <c r="AC13" s="134"/>
      <c r="AD13" s="134"/>
      <c r="AE13" s="137" t="s">
        <v>39</v>
      </c>
      <c r="AF13" s="135"/>
      <c r="AG13" s="138"/>
      <c r="AH13" s="138"/>
      <c r="AI13" s="135"/>
      <c r="AJ13" s="135"/>
      <c r="AK13" s="70"/>
      <c r="AL13" s="70"/>
      <c r="AM13" s="70"/>
      <c r="AN13" s="70"/>
      <c r="AO13" s="70"/>
      <c r="AP13" s="70"/>
      <c r="AQ13" s="70"/>
      <c r="AR13" s="70"/>
      <c r="AS13" s="70"/>
      <c r="AT13" s="70"/>
      <c r="AU13" s="70"/>
      <c r="AV13" s="70"/>
      <c r="AW13" s="70"/>
      <c r="AX13" s="70"/>
      <c r="AY13" s="70"/>
      <c r="AZ13" s="70"/>
      <c r="BA13" s="70"/>
      <c r="BB13" s="70"/>
      <c r="BC13" s="70"/>
    </row>
    <row r="14" spans="1:55">
      <c r="A14" s="181" t="s">
        <v>39</v>
      </c>
      <c r="B14" s="181"/>
      <c r="C14" s="181"/>
      <c r="D14" s="133" t="s">
        <v>106</v>
      </c>
      <c r="E14" s="133">
        <v>4</v>
      </c>
      <c r="F14" s="173"/>
      <c r="G14" s="173"/>
      <c r="H14" s="173"/>
      <c r="I14" s="173"/>
      <c r="J14" s="173"/>
      <c r="K14" s="173"/>
      <c r="L14" s="173"/>
      <c r="M14" s="173"/>
      <c r="N14" s="173"/>
      <c r="O14" s="173"/>
      <c r="P14" s="173"/>
      <c r="Q14" s="173"/>
      <c r="R14" s="173"/>
      <c r="S14" s="173"/>
      <c r="T14" s="173"/>
      <c r="U14" s="173"/>
      <c r="V14" s="173"/>
      <c r="W14" s="173"/>
      <c r="X14" s="173"/>
      <c r="Y14" s="173"/>
      <c r="Z14" s="173"/>
      <c r="AA14" s="173"/>
      <c r="AB14" s="173"/>
      <c r="AC14" s="173"/>
      <c r="AD14" s="173"/>
      <c r="AE14" s="173"/>
      <c r="AF14" s="173"/>
      <c r="AG14" s="173"/>
      <c r="AH14" s="173"/>
      <c r="AI14" s="173"/>
      <c r="AJ14" s="173"/>
      <c r="AK14" s="127"/>
      <c r="AL14" s="127"/>
      <c r="AM14" s="127"/>
      <c r="AN14" s="127"/>
      <c r="AO14" s="127"/>
      <c r="AP14" s="127"/>
      <c r="AQ14" s="127"/>
      <c r="AR14" s="127"/>
      <c r="AS14" s="127"/>
      <c r="AT14" s="127"/>
      <c r="AU14" s="127"/>
      <c r="AV14" s="127"/>
      <c r="AW14" s="127"/>
      <c r="AX14" s="127"/>
      <c r="AY14" s="127"/>
      <c r="AZ14" s="127"/>
      <c r="BA14" s="127"/>
    </row>
    <row r="17" spans="1:37">
      <c r="D17" s="170" t="s">
        <v>335</v>
      </c>
    </row>
    <row r="19" spans="1:37">
      <c r="A19" s="409" t="s">
        <v>333</v>
      </c>
      <c r="B19" s="410"/>
      <c r="C19" s="410"/>
      <c r="D19" s="410"/>
      <c r="E19" s="410"/>
      <c r="F19" s="410"/>
      <c r="G19" s="410"/>
      <c r="H19" s="410"/>
      <c r="I19" s="410"/>
      <c r="J19" s="410"/>
      <c r="K19" s="410"/>
      <c r="L19" s="410"/>
      <c r="M19" s="410"/>
      <c r="N19" s="410"/>
      <c r="O19" s="410"/>
      <c r="P19" s="410"/>
      <c r="Q19" s="410"/>
      <c r="R19" s="410"/>
      <c r="S19" s="411"/>
      <c r="T19" s="404" t="s">
        <v>334</v>
      </c>
      <c r="U19" s="404"/>
      <c r="V19" s="404"/>
      <c r="W19" s="404"/>
      <c r="X19" s="404"/>
      <c r="Y19" s="404"/>
      <c r="Z19" s="404"/>
      <c r="AA19" s="404"/>
      <c r="AB19" s="404"/>
      <c r="AC19" s="404"/>
      <c r="AD19" s="404"/>
      <c r="AE19" s="404"/>
      <c r="AF19" s="404"/>
      <c r="AG19" s="404"/>
      <c r="AH19" s="404"/>
      <c r="AI19" s="404"/>
      <c r="AJ19" s="404"/>
      <c r="AK19" s="404"/>
    </row>
    <row r="20" spans="1:37" ht="94.5">
      <c r="A20" s="412" t="s">
        <v>448</v>
      </c>
      <c r="B20" s="412" t="s">
        <v>449</v>
      </c>
      <c r="C20" s="412" t="s">
        <v>450</v>
      </c>
      <c r="D20" s="412" t="s">
        <v>451</v>
      </c>
      <c r="E20" s="412" t="s">
        <v>452</v>
      </c>
      <c r="F20" s="412" t="s">
        <v>453</v>
      </c>
      <c r="G20" s="412" t="s">
        <v>464</v>
      </c>
      <c r="H20" s="412" t="s">
        <v>465</v>
      </c>
      <c r="I20" s="412" t="s">
        <v>466</v>
      </c>
      <c r="J20" s="412" t="s">
        <v>467</v>
      </c>
      <c r="K20" s="412" t="s">
        <v>69</v>
      </c>
      <c r="L20" s="412" t="s">
        <v>462</v>
      </c>
      <c r="M20" s="412" t="s">
        <v>468</v>
      </c>
      <c r="N20" s="413" t="s">
        <v>469</v>
      </c>
      <c r="O20" s="412" t="s">
        <v>470</v>
      </c>
      <c r="P20" s="412" t="s">
        <v>471</v>
      </c>
      <c r="Q20" s="412" t="s">
        <v>472</v>
      </c>
      <c r="R20" s="412" t="s">
        <v>473</v>
      </c>
      <c r="S20" s="412" t="s">
        <v>474</v>
      </c>
      <c r="T20" s="224" t="s">
        <v>446</v>
      </c>
      <c r="U20" s="224" t="s">
        <v>447</v>
      </c>
      <c r="V20" s="224" t="s">
        <v>448</v>
      </c>
      <c r="W20" s="224" t="s">
        <v>449</v>
      </c>
      <c r="X20" s="224" t="s">
        <v>450</v>
      </c>
      <c r="Y20" s="224" t="s">
        <v>451</v>
      </c>
      <c r="Z20" s="224" t="s">
        <v>452</v>
      </c>
      <c r="AA20" s="224" t="s">
        <v>453</v>
      </c>
      <c r="AB20" s="224" t="s">
        <v>454</v>
      </c>
      <c r="AC20" s="224" t="s">
        <v>455</v>
      </c>
      <c r="AD20" s="224" t="s">
        <v>456</v>
      </c>
      <c r="AE20" s="224" t="s">
        <v>457</v>
      </c>
      <c r="AF20" s="224" t="s">
        <v>458</v>
      </c>
      <c r="AG20" s="224" t="s">
        <v>459</v>
      </c>
      <c r="AH20" s="224" t="s">
        <v>460</v>
      </c>
      <c r="AI20" s="224" t="s">
        <v>461</v>
      </c>
      <c r="AJ20" s="224" t="s">
        <v>462</v>
      </c>
      <c r="AK20" s="224" t="s">
        <v>463</v>
      </c>
    </row>
    <row r="21" spans="1:37">
      <c r="A21" s="70"/>
      <c r="B21" s="70"/>
      <c r="C21" s="70"/>
      <c r="D21" s="70"/>
      <c r="E21" s="70"/>
      <c r="F21" s="70"/>
      <c r="G21" s="70"/>
      <c r="H21" s="70"/>
      <c r="I21" s="70"/>
      <c r="J21" s="70"/>
      <c r="K21" s="70"/>
      <c r="L21" s="70"/>
      <c r="M21" s="70"/>
      <c r="N21" s="70"/>
      <c r="O21" s="70"/>
      <c r="P21" s="70"/>
      <c r="Q21" s="70"/>
      <c r="R21" s="70"/>
      <c r="S21" s="70"/>
      <c r="T21" s="104"/>
      <c r="U21" s="103"/>
      <c r="V21" s="103"/>
      <c r="W21" s="103"/>
      <c r="X21" s="103"/>
      <c r="Y21" s="103"/>
      <c r="Z21" s="103"/>
      <c r="AA21" s="103"/>
      <c r="AB21" s="401"/>
      <c r="AC21" s="401"/>
      <c r="AD21" s="401"/>
      <c r="AE21" s="401"/>
      <c r="AF21" s="103"/>
      <c r="AG21" s="103"/>
      <c r="AH21" s="103"/>
      <c r="AI21" s="103"/>
      <c r="AJ21" s="402"/>
      <c r="AK21" s="103"/>
    </row>
    <row r="22" spans="1:37">
      <c r="A22" s="70"/>
      <c r="B22" s="70"/>
      <c r="C22" s="70"/>
      <c r="D22" s="70"/>
      <c r="E22" s="70"/>
      <c r="F22" s="70"/>
      <c r="G22" s="70"/>
      <c r="H22" s="70"/>
      <c r="I22" s="70"/>
      <c r="J22" s="70"/>
      <c r="K22" s="70"/>
      <c r="L22" s="70"/>
      <c r="M22" s="70"/>
      <c r="N22" s="70"/>
      <c r="O22" s="70"/>
      <c r="P22" s="70"/>
      <c r="Q22" s="70"/>
      <c r="R22" s="70"/>
      <c r="S22" s="70"/>
      <c r="T22" s="104"/>
      <c r="U22" s="103"/>
      <c r="V22" s="103"/>
      <c r="W22" s="103"/>
      <c r="X22" s="103"/>
      <c r="Y22" s="103"/>
      <c r="Z22" s="103"/>
      <c r="AA22" s="103"/>
      <c r="AB22" s="103"/>
      <c r="AC22" s="103"/>
      <c r="AD22" s="103"/>
      <c r="AE22" s="103"/>
      <c r="AF22" s="103"/>
      <c r="AG22" s="103"/>
      <c r="AH22" s="103"/>
      <c r="AI22" s="103"/>
      <c r="AJ22" s="402"/>
      <c r="AK22" s="103"/>
    </row>
    <row r="23" spans="1:37">
      <c r="A23" s="70"/>
      <c r="B23" s="70"/>
      <c r="C23" s="70"/>
      <c r="D23" s="70"/>
      <c r="E23" s="70"/>
      <c r="F23" s="70"/>
      <c r="G23" s="70"/>
      <c r="H23" s="70"/>
      <c r="I23" s="70"/>
      <c r="J23" s="70"/>
      <c r="K23" s="70"/>
      <c r="L23" s="70"/>
      <c r="M23" s="70"/>
      <c r="N23" s="70"/>
      <c r="O23" s="70"/>
      <c r="P23" s="70"/>
      <c r="Q23" s="70"/>
      <c r="R23" s="70"/>
      <c r="S23" s="70"/>
      <c r="T23" s="104"/>
      <c r="U23" s="103"/>
      <c r="V23" s="103"/>
      <c r="W23" s="103"/>
      <c r="X23" s="103"/>
      <c r="Y23" s="103"/>
      <c r="Z23" s="103"/>
      <c r="AA23" s="103"/>
      <c r="AB23" s="103"/>
      <c r="AC23" s="103"/>
      <c r="AD23" s="103"/>
      <c r="AE23" s="103"/>
      <c r="AF23" s="103"/>
      <c r="AG23" s="103"/>
      <c r="AH23" s="103"/>
      <c r="AI23" s="103"/>
      <c r="AJ23" s="402"/>
      <c r="AK23" s="103"/>
    </row>
    <row r="24" spans="1:37">
      <c r="A24" s="70"/>
      <c r="B24" s="70"/>
      <c r="C24" s="70"/>
      <c r="D24" s="70"/>
      <c r="E24" s="70"/>
      <c r="F24" s="70"/>
      <c r="G24" s="70"/>
      <c r="H24" s="70"/>
      <c r="I24" s="70"/>
      <c r="J24" s="70"/>
      <c r="K24" s="70"/>
      <c r="L24" s="70"/>
      <c r="M24" s="70"/>
      <c r="N24" s="70"/>
      <c r="O24" s="70"/>
      <c r="P24" s="70"/>
      <c r="Q24" s="70"/>
      <c r="R24" s="70"/>
      <c r="S24" s="70"/>
      <c r="T24" s="104"/>
      <c r="U24" s="103"/>
      <c r="V24" s="103"/>
      <c r="W24" s="103"/>
      <c r="X24" s="103"/>
      <c r="Y24" s="103"/>
      <c r="Z24" s="103"/>
      <c r="AA24" s="103"/>
      <c r="AB24" s="103"/>
      <c r="AC24" s="103"/>
      <c r="AD24" s="103"/>
      <c r="AE24" s="103"/>
      <c r="AF24" s="103"/>
      <c r="AG24" s="103"/>
      <c r="AH24" s="403"/>
      <c r="AI24" s="403"/>
      <c r="AJ24" s="403"/>
      <c r="AK24" s="103"/>
    </row>
  </sheetData>
  <mergeCells count="53">
    <mergeCell ref="A19:S19"/>
    <mergeCell ref="T19:AK19"/>
    <mergeCell ref="B7:B9"/>
    <mergeCell ref="A7:A9"/>
    <mergeCell ref="D7:D9"/>
    <mergeCell ref="C7:C9"/>
    <mergeCell ref="Q7:V7"/>
    <mergeCell ref="AB8:AB9"/>
    <mergeCell ref="W8:W9"/>
    <mergeCell ref="X8:X9"/>
    <mergeCell ref="Y8:Y9"/>
    <mergeCell ref="Z8:Z9"/>
    <mergeCell ref="AA8:AA9"/>
    <mergeCell ref="AJ8:AJ9"/>
    <mergeCell ref="AM8:AM9"/>
    <mergeCell ref="E8:E9"/>
    <mergeCell ref="F8:F9"/>
    <mergeCell ref="G8:G9"/>
    <mergeCell ref="H8:H9"/>
    <mergeCell ref="I8:I9"/>
    <mergeCell ref="J8:J9"/>
    <mergeCell ref="K8:K9"/>
    <mergeCell ref="L8:L9"/>
    <mergeCell ref="M8:M9"/>
    <mergeCell ref="N8:N9"/>
    <mergeCell ref="O8:O9"/>
    <mergeCell ref="AN8:AN9"/>
    <mergeCell ref="AO8:AO9"/>
    <mergeCell ref="AD8:AD9"/>
    <mergeCell ref="AE8:AE9"/>
    <mergeCell ref="AF8:AF9"/>
    <mergeCell ref="AG8:AG9"/>
    <mergeCell ref="AH8:AH9"/>
    <mergeCell ref="AI8:AI9"/>
    <mergeCell ref="AK8:AK9"/>
    <mergeCell ref="AL8:AL9"/>
    <mergeCell ref="P8:P9"/>
    <mergeCell ref="Q8:V8"/>
    <mergeCell ref="BC8:BC9"/>
    <mergeCell ref="AP8:AP9"/>
    <mergeCell ref="AQ8:AQ9"/>
    <mergeCell ref="AR8:AR9"/>
    <mergeCell ref="AS8:AS9"/>
    <mergeCell ref="AT8:AT9"/>
    <mergeCell ref="AU8:AU9"/>
    <mergeCell ref="AC8:AC9"/>
    <mergeCell ref="BB8:BB9"/>
    <mergeCell ref="AX8:AX9"/>
    <mergeCell ref="AV8:AV9"/>
    <mergeCell ref="AW8:AW9"/>
    <mergeCell ref="AY8:AY9"/>
    <mergeCell ref="AZ8:AZ9"/>
    <mergeCell ref="BA8:BA9"/>
  </mergeCells>
  <dataValidations count="4">
    <dataValidation type="list" allowBlank="1" showInputMessage="1" showErrorMessage="1" sqref="AE11:AE13 AJ21:AJ23" xr:uid="{A6E05EB0-3A2F-42D6-B300-D00CB5CAE57B}">
      <formula1>"O,X"</formula1>
    </dataValidation>
    <dataValidation type="list" allowBlank="1" showInputMessage="1" showErrorMessage="1" sqref="H11:H13" xr:uid="{E9996AA2-C89F-40F9-A091-9B15E3741C87}">
      <formula1>"A,E,Ngoài danh mục"</formula1>
    </dataValidation>
    <dataValidation type="list" allowBlank="1" showInputMessage="1" showErrorMessage="1" sqref="AI11:AI13" xr:uid="{538613F5-6684-441A-9F2A-19A8B4FFBE6C}">
      <formula1>" ,O"</formula1>
    </dataValidation>
    <dataValidation type="list" allowBlank="1" showInputMessage="1" showErrorMessage="1" sqref="AW10:BA13 M21:P24" xr:uid="{742A3DBA-133F-4E4C-A2D0-D209FD1D2455}">
      <formula1>"OK,NG,No need"</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E05B-B023-4F09-87FB-A3292F5B4099}">
  <dimension ref="A1:AK26"/>
  <sheetViews>
    <sheetView view="pageBreakPreview" topLeftCell="D1" zoomScale="60" zoomScaleNormal="100" workbookViewId="0">
      <selection activeCell="A13" sqref="A13:AK18"/>
    </sheetView>
  </sheetViews>
  <sheetFormatPr defaultRowHeight="13"/>
  <cols>
    <col min="1" max="1" width="11.90625" style="69" customWidth="1"/>
    <col min="2" max="2" width="11.08984375" style="69" customWidth="1"/>
    <col min="3" max="3" width="17.6328125" style="69" customWidth="1"/>
    <col min="4" max="4" width="8.90625" style="69" customWidth="1"/>
    <col min="5" max="5" width="7.453125" style="69" bestFit="1" customWidth="1"/>
    <col min="6" max="8" width="6.453125" style="69" customWidth="1"/>
    <col min="9" max="9" width="4.26953125" style="69" bestFit="1" customWidth="1"/>
    <col min="10" max="10" width="9.54296875" style="69" customWidth="1"/>
    <col min="11" max="11" width="6.7265625" style="69" bestFit="1" customWidth="1"/>
    <col min="12" max="12" width="5.90625" style="69" bestFit="1" customWidth="1"/>
    <col min="13" max="14" width="11.54296875" style="69" customWidth="1"/>
    <col min="15" max="15" width="14.26953125" style="69" customWidth="1"/>
    <col min="16" max="16" width="13.36328125" style="69" customWidth="1"/>
    <col min="17" max="17" width="13.36328125" style="69" bestFit="1" customWidth="1"/>
    <col min="18" max="18" width="5.90625" style="69" bestFit="1" customWidth="1"/>
    <col min="19" max="19" width="9.08984375" style="69" bestFit="1" customWidth="1"/>
    <col min="20" max="20" width="6.6328125" style="69" bestFit="1" customWidth="1"/>
    <col min="21" max="21" width="7.08984375" style="69" bestFit="1" customWidth="1"/>
    <col min="22" max="22" width="6.26953125" style="69" bestFit="1" customWidth="1"/>
    <col min="23" max="23" width="6.7265625" style="69" bestFit="1" customWidth="1"/>
    <col min="24" max="24" width="4.54296875" style="69" bestFit="1" customWidth="1"/>
    <col min="25" max="25" width="6" style="69" bestFit="1" customWidth="1"/>
    <col min="26" max="26" width="6.26953125" style="69" bestFit="1" customWidth="1"/>
    <col min="27" max="27" width="3.6328125" style="69" bestFit="1" customWidth="1"/>
    <col min="28" max="28" width="7.54296875" style="69" bestFit="1" customWidth="1"/>
    <col min="29" max="29" width="6.7265625" style="69" bestFit="1" customWidth="1"/>
    <col min="30" max="30" width="7.7265625" style="69" bestFit="1" customWidth="1"/>
    <col min="31" max="32" width="6.54296875" style="69" bestFit="1" customWidth="1"/>
    <col min="33" max="33" width="4.90625" style="69" bestFit="1" customWidth="1"/>
    <col min="34" max="34" width="5.08984375" style="69" bestFit="1" customWidth="1"/>
    <col min="35" max="35" width="8.7265625" style="69" bestFit="1" customWidth="1"/>
    <col min="36" max="36" width="5.90625" style="69" bestFit="1" customWidth="1"/>
    <col min="37" max="37" width="5.54296875" style="69" bestFit="1" customWidth="1"/>
    <col min="38" max="16384" width="8.7265625" style="69"/>
  </cols>
  <sheetData>
    <row r="1" spans="1:37">
      <c r="A1" s="69" t="s">
        <v>434</v>
      </c>
    </row>
    <row r="2" spans="1:37">
      <c r="A2" s="69" t="s">
        <v>435</v>
      </c>
    </row>
    <row r="3" spans="1:37">
      <c r="A3" s="69" t="s">
        <v>436</v>
      </c>
    </row>
    <row r="4" spans="1:37" ht="31" customHeight="1">
      <c r="A4" s="408" t="s">
        <v>437</v>
      </c>
      <c r="B4" s="408"/>
      <c r="C4" s="408"/>
      <c r="D4" s="408"/>
      <c r="E4" s="408"/>
      <c r="F4" s="408"/>
      <c r="G4" s="408"/>
      <c r="H4" s="408"/>
      <c r="I4" s="408"/>
    </row>
    <row r="5" spans="1:37">
      <c r="A5" s="69" t="s">
        <v>438</v>
      </c>
      <c r="B5" s="69" t="s">
        <v>439</v>
      </c>
      <c r="J5" s="405" t="s">
        <v>442</v>
      </c>
      <c r="K5" s="414"/>
    </row>
    <row r="6" spans="1:37">
      <c r="B6" s="69" t="s">
        <v>440</v>
      </c>
      <c r="J6" s="405" t="s">
        <v>443</v>
      </c>
      <c r="K6" s="415"/>
    </row>
    <row r="7" spans="1:37">
      <c r="B7" s="69" t="s">
        <v>441</v>
      </c>
      <c r="J7" s="405" t="s">
        <v>444</v>
      </c>
      <c r="K7" s="415"/>
    </row>
    <row r="9" spans="1:37">
      <c r="A9" s="416" t="s">
        <v>475</v>
      </c>
      <c r="B9" s="416"/>
      <c r="C9" s="416"/>
      <c r="D9" s="416"/>
      <c r="E9" s="416"/>
      <c r="F9" s="416"/>
      <c r="G9" s="416"/>
      <c r="H9" s="416"/>
      <c r="I9" s="416"/>
      <c r="J9" s="416"/>
      <c r="K9" s="416"/>
      <c r="L9" s="416"/>
      <c r="M9" s="416"/>
      <c r="N9" s="416"/>
      <c r="O9" s="416"/>
      <c r="P9" s="416"/>
      <c r="Q9" s="416"/>
      <c r="R9" s="416"/>
      <c r="S9" s="416"/>
    </row>
    <row r="11" spans="1:37">
      <c r="A11" s="78" t="s">
        <v>445</v>
      </c>
    </row>
    <row r="12" spans="1:37">
      <c r="A12" s="406">
        <v>1</v>
      </c>
      <c r="B12" s="406">
        <v>2</v>
      </c>
      <c r="C12" s="406">
        <v>3</v>
      </c>
      <c r="D12" s="406">
        <v>4</v>
      </c>
      <c r="E12" s="406">
        <v>5</v>
      </c>
      <c r="F12" s="406">
        <v>6</v>
      </c>
      <c r="G12" s="406">
        <v>7</v>
      </c>
      <c r="H12" s="406">
        <v>8</v>
      </c>
      <c r="I12" s="406">
        <v>9</v>
      </c>
      <c r="J12" s="406">
        <v>10</v>
      </c>
      <c r="K12" s="406">
        <v>11</v>
      </c>
      <c r="L12" s="406">
        <v>12</v>
      </c>
      <c r="M12" s="406">
        <v>13</v>
      </c>
      <c r="N12" s="406">
        <v>14</v>
      </c>
      <c r="O12" s="406">
        <v>15</v>
      </c>
      <c r="P12" s="406">
        <v>16</v>
      </c>
      <c r="Q12" s="406">
        <v>17</v>
      </c>
      <c r="R12" s="406">
        <v>18</v>
      </c>
      <c r="S12" s="406">
        <v>19</v>
      </c>
    </row>
    <row r="13" spans="1:37" s="407" customFormat="1" ht="10.5">
      <c r="A13" s="409" t="s">
        <v>333</v>
      </c>
      <c r="B13" s="410"/>
      <c r="C13" s="410"/>
      <c r="D13" s="410"/>
      <c r="E13" s="410"/>
      <c r="F13" s="410"/>
      <c r="G13" s="410"/>
      <c r="H13" s="410"/>
      <c r="I13" s="410"/>
      <c r="J13" s="410"/>
      <c r="K13" s="410"/>
      <c r="L13" s="410"/>
      <c r="M13" s="410"/>
      <c r="N13" s="410"/>
      <c r="O13" s="410"/>
      <c r="P13" s="410"/>
      <c r="Q13" s="410"/>
      <c r="R13" s="410"/>
      <c r="S13" s="411"/>
      <c r="T13" s="404" t="s">
        <v>334</v>
      </c>
      <c r="U13" s="404"/>
      <c r="V13" s="404"/>
      <c r="W13" s="404"/>
      <c r="X13" s="404"/>
      <c r="Y13" s="404"/>
      <c r="Z13" s="404"/>
      <c r="AA13" s="404"/>
      <c r="AB13" s="404"/>
      <c r="AC13" s="404"/>
      <c r="AD13" s="404"/>
      <c r="AE13" s="404"/>
      <c r="AF13" s="404"/>
      <c r="AG13" s="404"/>
      <c r="AH13" s="404"/>
      <c r="AI13" s="404"/>
      <c r="AJ13" s="404"/>
      <c r="AK13" s="404"/>
    </row>
    <row r="14" spans="1:37" s="407" customFormat="1" ht="59" customHeight="1">
      <c r="A14" s="412" t="s">
        <v>448</v>
      </c>
      <c r="B14" s="412" t="s">
        <v>449</v>
      </c>
      <c r="C14" s="412" t="s">
        <v>450</v>
      </c>
      <c r="D14" s="412" t="s">
        <v>451</v>
      </c>
      <c r="E14" s="412" t="s">
        <v>452</v>
      </c>
      <c r="F14" s="412" t="s">
        <v>453</v>
      </c>
      <c r="G14" s="412" t="s">
        <v>464</v>
      </c>
      <c r="H14" s="412" t="s">
        <v>465</v>
      </c>
      <c r="I14" s="412" t="s">
        <v>466</v>
      </c>
      <c r="J14" s="412" t="s">
        <v>467</v>
      </c>
      <c r="K14" s="412" t="s">
        <v>69</v>
      </c>
      <c r="L14" s="412" t="s">
        <v>462</v>
      </c>
      <c r="M14" s="412" t="s">
        <v>468</v>
      </c>
      <c r="N14" s="413" t="s">
        <v>469</v>
      </c>
      <c r="O14" s="412" t="s">
        <v>470</v>
      </c>
      <c r="P14" s="412" t="s">
        <v>471</v>
      </c>
      <c r="Q14" s="412" t="s">
        <v>472</v>
      </c>
      <c r="R14" s="412" t="s">
        <v>473</v>
      </c>
      <c r="S14" s="412" t="s">
        <v>474</v>
      </c>
      <c r="T14" s="224" t="s">
        <v>446</v>
      </c>
      <c r="U14" s="224" t="s">
        <v>447</v>
      </c>
      <c r="V14" s="224" t="s">
        <v>448</v>
      </c>
      <c r="W14" s="224" t="s">
        <v>449</v>
      </c>
      <c r="X14" s="224" t="s">
        <v>450</v>
      </c>
      <c r="Y14" s="224" t="s">
        <v>451</v>
      </c>
      <c r="Z14" s="224" t="s">
        <v>452</v>
      </c>
      <c r="AA14" s="224" t="s">
        <v>453</v>
      </c>
      <c r="AB14" s="224" t="s">
        <v>454</v>
      </c>
      <c r="AC14" s="224" t="s">
        <v>455</v>
      </c>
      <c r="AD14" s="224" t="s">
        <v>456</v>
      </c>
      <c r="AE14" s="224" t="s">
        <v>457</v>
      </c>
      <c r="AF14" s="224" t="s">
        <v>458</v>
      </c>
      <c r="AG14" s="224" t="s">
        <v>459</v>
      </c>
      <c r="AH14" s="224" t="s">
        <v>460</v>
      </c>
      <c r="AI14" s="224" t="s">
        <v>461</v>
      </c>
      <c r="AJ14" s="224" t="s">
        <v>462</v>
      </c>
      <c r="AK14" s="224" t="s">
        <v>463</v>
      </c>
    </row>
    <row r="15" spans="1:37">
      <c r="A15" s="70"/>
      <c r="B15" s="70"/>
      <c r="C15" s="70"/>
      <c r="D15" s="70"/>
      <c r="E15" s="70"/>
      <c r="F15" s="70"/>
      <c r="G15" s="70"/>
      <c r="H15" s="70"/>
      <c r="I15" s="70"/>
      <c r="J15" s="70"/>
      <c r="K15" s="70"/>
      <c r="L15" s="70"/>
      <c r="M15" s="70"/>
      <c r="N15" s="70"/>
      <c r="O15" s="70"/>
      <c r="P15" s="70"/>
      <c r="Q15" s="70"/>
      <c r="R15" s="70"/>
      <c r="S15" s="70"/>
      <c r="T15" s="104"/>
      <c r="U15" s="103"/>
      <c r="V15" s="103"/>
      <c r="W15" s="103"/>
      <c r="X15" s="103"/>
      <c r="Y15" s="103"/>
      <c r="Z15" s="103"/>
      <c r="AA15" s="103"/>
      <c r="AB15" s="401"/>
      <c r="AC15" s="401"/>
      <c r="AD15" s="401"/>
      <c r="AE15" s="401"/>
      <c r="AF15" s="103"/>
      <c r="AG15" s="103"/>
      <c r="AH15" s="103"/>
      <c r="AI15" s="103"/>
      <c r="AJ15" s="402"/>
      <c r="AK15" s="103"/>
    </row>
    <row r="16" spans="1:37">
      <c r="A16" s="70"/>
      <c r="B16" s="70"/>
      <c r="C16" s="70"/>
      <c r="D16" s="70"/>
      <c r="E16" s="70"/>
      <c r="F16" s="70"/>
      <c r="G16" s="70"/>
      <c r="H16" s="70"/>
      <c r="I16" s="70"/>
      <c r="J16" s="70"/>
      <c r="K16" s="70"/>
      <c r="L16" s="70"/>
      <c r="M16" s="70"/>
      <c r="N16" s="70"/>
      <c r="O16" s="70"/>
      <c r="P16" s="70"/>
      <c r="Q16" s="70"/>
      <c r="R16" s="70"/>
      <c r="S16" s="70"/>
      <c r="T16" s="104"/>
      <c r="U16" s="103"/>
      <c r="V16" s="103"/>
      <c r="W16" s="103"/>
      <c r="X16" s="103"/>
      <c r="Y16" s="103"/>
      <c r="Z16" s="103"/>
      <c r="AA16" s="103"/>
      <c r="AB16" s="103"/>
      <c r="AC16" s="103"/>
      <c r="AD16" s="103"/>
      <c r="AE16" s="103"/>
      <c r="AF16" s="103"/>
      <c r="AG16" s="103"/>
      <c r="AH16" s="103"/>
      <c r="AI16" s="103"/>
      <c r="AJ16" s="402"/>
      <c r="AK16" s="103"/>
    </row>
    <row r="17" spans="1:37">
      <c r="A17" s="70"/>
      <c r="B17" s="70"/>
      <c r="C17" s="70"/>
      <c r="D17" s="70"/>
      <c r="E17" s="70"/>
      <c r="F17" s="70"/>
      <c r="G17" s="70"/>
      <c r="H17" s="70"/>
      <c r="I17" s="70"/>
      <c r="J17" s="70"/>
      <c r="K17" s="70"/>
      <c r="L17" s="70"/>
      <c r="M17" s="70"/>
      <c r="N17" s="70"/>
      <c r="O17" s="70"/>
      <c r="P17" s="70"/>
      <c r="Q17" s="70"/>
      <c r="R17" s="70"/>
      <c r="S17" s="70"/>
      <c r="T17" s="104"/>
      <c r="U17" s="103"/>
      <c r="V17" s="103"/>
      <c r="W17" s="103"/>
      <c r="X17" s="103"/>
      <c r="Y17" s="103"/>
      <c r="Z17" s="103"/>
      <c r="AA17" s="103"/>
      <c r="AB17" s="103"/>
      <c r="AC17" s="103"/>
      <c r="AD17" s="103"/>
      <c r="AE17" s="103"/>
      <c r="AF17" s="103"/>
      <c r="AG17" s="103"/>
      <c r="AH17" s="103"/>
      <c r="AI17" s="103"/>
      <c r="AJ17" s="402"/>
      <c r="AK17" s="103"/>
    </row>
    <row r="18" spans="1:37">
      <c r="A18" s="70"/>
      <c r="B18" s="70"/>
      <c r="C18" s="70"/>
      <c r="D18" s="70"/>
      <c r="E18" s="70"/>
      <c r="F18" s="70"/>
      <c r="G18" s="70"/>
      <c r="H18" s="70"/>
      <c r="I18" s="70"/>
      <c r="J18" s="70"/>
      <c r="K18" s="70"/>
      <c r="L18" s="70"/>
      <c r="M18" s="70"/>
      <c r="N18" s="70"/>
      <c r="O18" s="70"/>
      <c r="P18" s="70"/>
      <c r="Q18" s="70"/>
      <c r="R18" s="70"/>
      <c r="S18" s="70"/>
      <c r="T18" s="104"/>
      <c r="U18" s="103"/>
      <c r="V18" s="103"/>
      <c r="W18" s="103"/>
      <c r="X18" s="103"/>
      <c r="Y18" s="103"/>
      <c r="Z18" s="103"/>
      <c r="AA18" s="103"/>
      <c r="AB18" s="103"/>
      <c r="AC18" s="103"/>
      <c r="AD18" s="103"/>
      <c r="AE18" s="103"/>
      <c r="AF18" s="103"/>
      <c r="AG18" s="103"/>
      <c r="AH18" s="403"/>
      <c r="AI18" s="403"/>
      <c r="AJ18" s="403"/>
      <c r="AK18" s="103"/>
    </row>
    <row r="20" spans="1:37" ht="14.5">
      <c r="B20" s="182" t="s">
        <v>356</v>
      </c>
      <c r="C20" s="182"/>
    </row>
    <row r="21" spans="1:37" ht="14.5">
      <c r="B21" s="182"/>
      <c r="C21" s="182" t="s">
        <v>357</v>
      </c>
    </row>
    <row r="22" spans="1:37" ht="14.5">
      <c r="B22" s="182"/>
      <c r="C22" s="182" t="s">
        <v>358</v>
      </c>
    </row>
    <row r="23" spans="1:37" ht="14.5">
      <c r="B23" s="182"/>
      <c r="C23" s="182" t="s">
        <v>359</v>
      </c>
    </row>
    <row r="24" spans="1:37" ht="14.5">
      <c r="B24" s="182"/>
      <c r="C24" s="182" t="s">
        <v>360</v>
      </c>
    </row>
    <row r="25" spans="1:37" ht="14.5">
      <c r="B25" s="182"/>
      <c r="C25" s="182" t="s">
        <v>361</v>
      </c>
    </row>
    <row r="26" spans="1:37" ht="14.5">
      <c r="B26" s="182"/>
      <c r="C26" s="182" t="s">
        <v>365</v>
      </c>
    </row>
  </sheetData>
  <mergeCells count="4">
    <mergeCell ref="A4:I4"/>
    <mergeCell ref="A13:S13"/>
    <mergeCell ref="A9:S9"/>
    <mergeCell ref="T13:AK13"/>
  </mergeCells>
  <dataValidations disablePrompts="1" count="2">
    <dataValidation type="list" allowBlank="1" showInputMessage="1" showErrorMessage="1" sqref="AJ15:AJ17" xr:uid="{249E031A-4140-41A6-BA6F-C76900AE6EC6}">
      <formula1>"O,X"</formula1>
    </dataValidation>
    <dataValidation type="list" allowBlank="1" showInputMessage="1" showErrorMessage="1" sqref="M15:P18" xr:uid="{29F5AC2A-725E-4117-9B90-A93BBD8A7535}">
      <formula1>"OK,NG,No need"</formula1>
    </dataValidation>
  </dataValidations>
  <printOptions horizontalCentered="1"/>
  <pageMargins left="0" right="0" top="0.75" bottom="0.75" header="0.3" footer="0.3"/>
  <pageSetup paperSize="9" scale="52" orientation="landscape" r:id="rId1"/>
  <colBreaks count="1" manualBreakCount="1">
    <brk id="19"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99E90-26EF-48D2-8E89-30989F1B7016}">
  <dimension ref="A1:BD14"/>
  <sheetViews>
    <sheetView workbookViewId="0">
      <selection activeCell="B9" sqref="B9:B13"/>
    </sheetView>
  </sheetViews>
  <sheetFormatPr defaultRowHeight="11.5"/>
  <cols>
    <col min="1" max="16384" width="8.7265625" style="189"/>
  </cols>
  <sheetData>
    <row r="1" spans="1:56">
      <c r="C1" s="188" t="s">
        <v>368</v>
      </c>
    </row>
    <row r="2" spans="1:56">
      <c r="D2" s="193" t="s">
        <v>367</v>
      </c>
    </row>
    <row r="3" spans="1:56">
      <c r="D3" s="189" t="s">
        <v>330</v>
      </c>
    </row>
    <row r="5" spans="1:56" s="194" customFormat="1">
      <c r="A5" s="194">
        <v>1</v>
      </c>
      <c r="B5" s="194">
        <v>2</v>
      </c>
      <c r="C5" s="194">
        <v>3</v>
      </c>
      <c r="D5" s="194">
        <v>4</v>
      </c>
      <c r="E5" s="194">
        <v>5</v>
      </c>
      <c r="F5" s="194">
        <v>6</v>
      </c>
      <c r="G5" s="194">
        <v>7</v>
      </c>
      <c r="H5" s="194">
        <v>8</v>
      </c>
      <c r="I5" s="194">
        <v>9</v>
      </c>
      <c r="J5" s="194">
        <v>10</v>
      </c>
      <c r="K5" s="194">
        <v>11</v>
      </c>
      <c r="L5" s="194">
        <v>12</v>
      </c>
      <c r="M5" s="194">
        <v>13</v>
      </c>
      <c r="N5" s="194">
        <v>14</v>
      </c>
      <c r="O5" s="194">
        <v>15</v>
      </c>
      <c r="P5" s="194">
        <v>16</v>
      </c>
      <c r="Q5" s="194">
        <v>17</v>
      </c>
      <c r="R5" s="194">
        <v>18</v>
      </c>
      <c r="S5" s="194">
        <v>19</v>
      </c>
      <c r="T5" s="194">
        <v>20</v>
      </c>
      <c r="U5" s="194">
        <v>21</v>
      </c>
      <c r="V5" s="194">
        <v>22</v>
      </c>
      <c r="W5" s="194">
        <v>23</v>
      </c>
      <c r="X5" s="194">
        <v>24</v>
      </c>
      <c r="Y5" s="194">
        <v>25</v>
      </c>
      <c r="Z5" s="194">
        <v>26</v>
      </c>
      <c r="AA5" s="194">
        <v>27</v>
      </c>
      <c r="AB5" s="194">
        <v>28</v>
      </c>
      <c r="AC5" s="194">
        <v>29</v>
      </c>
      <c r="AD5" s="194">
        <v>30</v>
      </c>
      <c r="AE5" s="194">
        <v>31</v>
      </c>
      <c r="AF5" s="194">
        <v>32</v>
      </c>
      <c r="AG5" s="194">
        <v>33</v>
      </c>
      <c r="AH5" s="194">
        <v>34</v>
      </c>
      <c r="AI5" s="194">
        <v>35</v>
      </c>
      <c r="AJ5" s="194">
        <v>36</v>
      </c>
      <c r="AK5" s="194">
        <v>37</v>
      </c>
      <c r="AL5" s="194">
        <v>38</v>
      </c>
      <c r="AM5" s="194">
        <v>39</v>
      </c>
      <c r="AN5" s="194">
        <v>40</v>
      </c>
      <c r="AO5" s="194">
        <v>41</v>
      </c>
      <c r="AP5" s="194">
        <v>42</v>
      </c>
      <c r="AQ5" s="194">
        <v>43</v>
      </c>
      <c r="AR5" s="194">
        <v>44</v>
      </c>
      <c r="AS5" s="194">
        <v>45</v>
      </c>
      <c r="AT5" s="194">
        <v>46</v>
      </c>
      <c r="AU5" s="194">
        <v>47</v>
      </c>
      <c r="AV5" s="194">
        <v>48</v>
      </c>
      <c r="AW5" s="194">
        <v>49</v>
      </c>
      <c r="AX5" s="194">
        <v>50</v>
      </c>
      <c r="AY5" s="194">
        <v>51</v>
      </c>
      <c r="AZ5" s="194">
        <v>52</v>
      </c>
      <c r="BA5" s="194">
        <v>53</v>
      </c>
      <c r="BB5" s="194">
        <v>54</v>
      </c>
      <c r="BC5" s="194">
        <v>55</v>
      </c>
      <c r="BD5" s="194">
        <v>56</v>
      </c>
    </row>
    <row r="6" spans="1:56" ht="23">
      <c r="A6" s="358" t="s">
        <v>186</v>
      </c>
      <c r="B6" s="358" t="s">
        <v>212</v>
      </c>
      <c r="C6" s="363" t="s">
        <v>334</v>
      </c>
      <c r="D6" s="363"/>
      <c r="E6" s="363"/>
      <c r="F6" s="363"/>
      <c r="G6" s="363"/>
      <c r="H6" s="363"/>
      <c r="I6" s="363"/>
      <c r="J6" s="363"/>
      <c r="K6" s="363"/>
      <c r="L6" s="363"/>
      <c r="M6" s="363"/>
      <c r="N6" s="363"/>
      <c r="O6" s="363"/>
      <c r="P6" s="363"/>
      <c r="Q6" s="363"/>
      <c r="R6" s="363"/>
      <c r="S6" s="363"/>
      <c r="T6" s="363"/>
      <c r="U6" s="363"/>
      <c r="V6" s="363"/>
      <c r="W6" s="363"/>
      <c r="X6" s="363"/>
      <c r="Y6" s="363"/>
      <c r="Z6" s="363"/>
      <c r="AA6" s="363"/>
      <c r="AB6" s="364" t="s">
        <v>333</v>
      </c>
      <c r="AC6" s="364"/>
      <c r="AD6" s="364"/>
      <c r="AE6" s="364"/>
      <c r="AF6" s="364"/>
      <c r="AG6" s="364"/>
      <c r="AH6" s="364"/>
      <c r="AI6" s="364"/>
      <c r="AJ6" s="364"/>
      <c r="AK6" s="364"/>
      <c r="AL6" s="364"/>
      <c r="AM6" s="364"/>
      <c r="AN6" s="364"/>
      <c r="AO6" s="364"/>
      <c r="AP6" s="364"/>
      <c r="AQ6" s="364"/>
      <c r="AR6" s="364"/>
      <c r="AS6" s="364"/>
      <c r="AT6" s="364"/>
      <c r="AU6" s="364"/>
      <c r="AV6" s="190" t="s">
        <v>166</v>
      </c>
      <c r="AW6" s="362" t="s">
        <v>165</v>
      </c>
      <c r="AX6" s="362"/>
      <c r="AY6" s="357" t="s">
        <v>374</v>
      </c>
      <c r="AZ6" s="357"/>
      <c r="BA6" s="357"/>
      <c r="BB6" s="357"/>
      <c r="BC6" s="357"/>
      <c r="BD6" s="357"/>
    </row>
    <row r="7" spans="1:56">
      <c r="A7" s="358"/>
      <c r="B7" s="358"/>
      <c r="C7" s="358" t="s">
        <v>251</v>
      </c>
      <c r="D7" s="358" t="s">
        <v>226</v>
      </c>
      <c r="E7" s="358" t="s">
        <v>227</v>
      </c>
      <c r="F7" s="358" t="s">
        <v>228</v>
      </c>
      <c r="G7" s="358" t="s">
        <v>229</v>
      </c>
      <c r="H7" s="358" t="s">
        <v>230</v>
      </c>
      <c r="I7" s="358" t="s">
        <v>231</v>
      </c>
      <c r="J7" s="358" t="s">
        <v>232</v>
      </c>
      <c r="K7" s="358" t="s">
        <v>233</v>
      </c>
      <c r="L7" s="358" t="s">
        <v>234</v>
      </c>
      <c r="M7" s="358"/>
      <c r="N7" s="358"/>
      <c r="O7" s="358"/>
      <c r="P7" s="358"/>
      <c r="Q7" s="358"/>
      <c r="R7" s="358" t="s">
        <v>235</v>
      </c>
      <c r="S7" s="358" t="s">
        <v>236</v>
      </c>
      <c r="T7" s="358" t="s">
        <v>237</v>
      </c>
      <c r="U7" s="358" t="s">
        <v>238</v>
      </c>
      <c r="V7" s="358" t="s">
        <v>239</v>
      </c>
      <c r="W7" s="358" t="s">
        <v>240</v>
      </c>
      <c r="X7" s="358" t="s">
        <v>241</v>
      </c>
      <c r="Y7" s="358" t="s">
        <v>242</v>
      </c>
      <c r="Z7" s="358" t="s">
        <v>243</v>
      </c>
      <c r="AA7" s="358" t="s">
        <v>250</v>
      </c>
      <c r="AB7" s="361" t="s">
        <v>144</v>
      </c>
      <c r="AC7" s="361" t="s">
        <v>146</v>
      </c>
      <c r="AD7" s="361" t="s">
        <v>112</v>
      </c>
      <c r="AE7" s="361" t="s">
        <v>40</v>
      </c>
      <c r="AF7" s="361" t="s">
        <v>41</v>
      </c>
      <c r="AG7" s="361" t="s">
        <v>145</v>
      </c>
      <c r="AH7" s="361" t="s">
        <v>148</v>
      </c>
      <c r="AI7" s="361" t="s">
        <v>149</v>
      </c>
      <c r="AJ7" s="361" t="s">
        <v>152</v>
      </c>
      <c r="AK7" s="361" t="s">
        <v>150</v>
      </c>
      <c r="AL7" s="361" t="s">
        <v>69</v>
      </c>
      <c r="AM7" s="361" t="s">
        <v>147</v>
      </c>
      <c r="AN7" s="361" t="s">
        <v>362</v>
      </c>
      <c r="AO7" s="359" t="s">
        <v>366</v>
      </c>
      <c r="AP7" s="361" t="s">
        <v>363</v>
      </c>
      <c r="AQ7" s="361" t="s">
        <v>364</v>
      </c>
      <c r="AR7" s="361" t="s">
        <v>225</v>
      </c>
      <c r="AS7" s="361" t="s">
        <v>223</v>
      </c>
      <c r="AT7" s="361" t="s">
        <v>224</v>
      </c>
      <c r="AU7" s="361" t="s">
        <v>355</v>
      </c>
      <c r="AV7" s="362" t="s">
        <v>167</v>
      </c>
      <c r="AW7" s="362" t="s">
        <v>164</v>
      </c>
      <c r="AX7" s="362" t="s">
        <v>202</v>
      </c>
      <c r="AY7" s="357" t="s">
        <v>369</v>
      </c>
      <c r="AZ7" s="357"/>
      <c r="BA7" s="357" t="s">
        <v>370</v>
      </c>
      <c r="BB7" s="357"/>
      <c r="BC7" s="357" t="s">
        <v>371</v>
      </c>
      <c r="BD7" s="357"/>
    </row>
    <row r="8" spans="1:56" ht="138">
      <c r="A8" s="358"/>
      <c r="B8" s="358"/>
      <c r="C8" s="358"/>
      <c r="D8" s="358"/>
      <c r="E8" s="358"/>
      <c r="F8" s="358"/>
      <c r="G8" s="358"/>
      <c r="H8" s="358"/>
      <c r="I8" s="358"/>
      <c r="J8" s="358"/>
      <c r="K8" s="358"/>
      <c r="L8" s="183" t="s">
        <v>244</v>
      </c>
      <c r="M8" s="183" t="s">
        <v>245</v>
      </c>
      <c r="N8" s="183" t="s">
        <v>246</v>
      </c>
      <c r="O8" s="183" t="s">
        <v>247</v>
      </c>
      <c r="P8" s="183" t="s">
        <v>248</v>
      </c>
      <c r="Q8" s="183" t="s">
        <v>249</v>
      </c>
      <c r="R8" s="358"/>
      <c r="S8" s="358"/>
      <c r="T8" s="358"/>
      <c r="U8" s="358"/>
      <c r="V8" s="358"/>
      <c r="W8" s="358"/>
      <c r="X8" s="358"/>
      <c r="Y8" s="358"/>
      <c r="Z8" s="358"/>
      <c r="AA8" s="358"/>
      <c r="AB8" s="361"/>
      <c r="AC8" s="361"/>
      <c r="AD8" s="361"/>
      <c r="AE8" s="361"/>
      <c r="AF8" s="361"/>
      <c r="AG8" s="361"/>
      <c r="AH8" s="361"/>
      <c r="AI8" s="361"/>
      <c r="AJ8" s="361"/>
      <c r="AK8" s="361"/>
      <c r="AL8" s="361"/>
      <c r="AM8" s="361"/>
      <c r="AN8" s="361"/>
      <c r="AO8" s="360"/>
      <c r="AP8" s="361"/>
      <c r="AQ8" s="361"/>
      <c r="AR8" s="361"/>
      <c r="AS8" s="361"/>
      <c r="AT8" s="361"/>
      <c r="AU8" s="361"/>
      <c r="AV8" s="362"/>
      <c r="AW8" s="362"/>
      <c r="AX8" s="362"/>
      <c r="AY8" s="197" t="s">
        <v>372</v>
      </c>
      <c r="AZ8" s="197" t="s">
        <v>373</v>
      </c>
      <c r="BA8" s="197" t="s">
        <v>372</v>
      </c>
      <c r="BB8" s="197" t="s">
        <v>373</v>
      </c>
      <c r="BC8" s="197" t="s">
        <v>372</v>
      </c>
      <c r="BD8" s="197" t="s">
        <v>373</v>
      </c>
    </row>
    <row r="9" spans="1:56">
      <c r="A9" s="195"/>
      <c r="B9" s="191" t="s">
        <v>343</v>
      </c>
      <c r="C9" s="192"/>
      <c r="D9" s="184"/>
      <c r="E9" s="184"/>
      <c r="F9" s="184"/>
      <c r="G9" s="184"/>
      <c r="H9" s="184"/>
      <c r="I9" s="184"/>
      <c r="J9" s="184"/>
      <c r="K9" s="184"/>
      <c r="L9" s="184"/>
      <c r="M9" s="184"/>
      <c r="N9" s="184"/>
      <c r="O9" s="184"/>
      <c r="P9" s="184"/>
      <c r="Q9" s="185"/>
      <c r="R9" s="185"/>
      <c r="S9" s="185"/>
      <c r="T9" s="185"/>
      <c r="U9" s="185"/>
      <c r="V9" s="184"/>
      <c r="W9" s="184"/>
      <c r="X9" s="184"/>
      <c r="Y9" s="184"/>
      <c r="Z9" s="186"/>
      <c r="AA9" s="184"/>
      <c r="AB9" s="191"/>
      <c r="AC9" s="191"/>
      <c r="AD9" s="191"/>
      <c r="AE9" s="191"/>
      <c r="AF9" s="191"/>
      <c r="AG9" s="191"/>
      <c r="AH9" s="191"/>
      <c r="AI9" s="191"/>
      <c r="AJ9" s="191"/>
      <c r="AK9" s="191"/>
      <c r="AL9" s="191"/>
      <c r="AM9" s="191"/>
      <c r="AN9" s="191"/>
      <c r="AO9" s="191"/>
      <c r="AP9" s="191"/>
      <c r="AQ9" s="191"/>
      <c r="AR9" s="191"/>
      <c r="AS9" s="191"/>
      <c r="AT9" s="191"/>
      <c r="AU9" s="191"/>
      <c r="AV9" s="196"/>
      <c r="AW9" s="196"/>
      <c r="AX9" s="196"/>
      <c r="AY9" s="196"/>
      <c r="AZ9" s="196"/>
      <c r="BA9" s="196"/>
      <c r="BB9" s="196"/>
      <c r="BC9" s="196"/>
      <c r="BD9" s="196"/>
    </row>
    <row r="10" spans="1:56">
      <c r="A10" s="195"/>
      <c r="B10" s="191" t="s">
        <v>108</v>
      </c>
      <c r="C10" s="192"/>
      <c r="D10" s="184"/>
      <c r="E10" s="184"/>
      <c r="F10" s="184"/>
      <c r="G10" s="184"/>
      <c r="H10" s="184"/>
      <c r="I10" s="184"/>
      <c r="J10" s="184"/>
      <c r="K10" s="184"/>
      <c r="L10" s="184"/>
      <c r="M10" s="185"/>
      <c r="N10" s="184"/>
      <c r="O10" s="184"/>
      <c r="P10" s="184"/>
      <c r="Q10" s="184"/>
      <c r="R10" s="184"/>
      <c r="S10" s="184"/>
      <c r="T10" s="184"/>
      <c r="U10" s="184"/>
      <c r="V10" s="184"/>
      <c r="W10" s="184"/>
      <c r="X10" s="184"/>
      <c r="Y10" s="184"/>
      <c r="Z10" s="186"/>
      <c r="AA10" s="184"/>
      <c r="AB10" s="191"/>
      <c r="AC10" s="191"/>
      <c r="AD10" s="191"/>
      <c r="AE10" s="191"/>
      <c r="AF10" s="191"/>
      <c r="AG10" s="191"/>
      <c r="AH10" s="191"/>
      <c r="AI10" s="191"/>
      <c r="AJ10" s="191"/>
      <c r="AK10" s="191"/>
      <c r="AL10" s="191"/>
      <c r="AM10" s="191"/>
      <c r="AN10" s="191"/>
      <c r="AO10" s="191"/>
      <c r="AP10" s="191"/>
      <c r="AQ10" s="191"/>
      <c r="AR10" s="191"/>
      <c r="AS10" s="191"/>
      <c r="AT10" s="191"/>
      <c r="AU10" s="191"/>
      <c r="AV10" s="196"/>
      <c r="AW10" s="196"/>
      <c r="AX10" s="196"/>
      <c r="AY10" s="196"/>
      <c r="AZ10" s="196"/>
      <c r="BA10" s="196"/>
      <c r="BB10" s="196"/>
      <c r="BC10" s="196"/>
      <c r="BD10" s="196"/>
    </row>
    <row r="11" spans="1:56">
      <c r="A11" s="195"/>
      <c r="B11" s="191" t="s">
        <v>107</v>
      </c>
      <c r="C11" s="192"/>
      <c r="D11" s="184"/>
      <c r="E11" s="184"/>
      <c r="F11" s="184"/>
      <c r="G11" s="184"/>
      <c r="H11" s="184"/>
      <c r="I11" s="184"/>
      <c r="J11" s="184"/>
      <c r="K11" s="184"/>
      <c r="L11" s="184"/>
      <c r="M11" s="184"/>
      <c r="N11" s="184"/>
      <c r="O11" s="184"/>
      <c r="P11" s="184"/>
      <c r="Q11" s="184"/>
      <c r="R11" s="184"/>
      <c r="S11" s="184"/>
      <c r="T11" s="184"/>
      <c r="U11" s="184"/>
      <c r="V11" s="184"/>
      <c r="W11" s="184"/>
      <c r="X11" s="184"/>
      <c r="Y11" s="184"/>
      <c r="Z11" s="186"/>
      <c r="AA11" s="184"/>
      <c r="AB11" s="191"/>
      <c r="AC11" s="191"/>
      <c r="AD11" s="191"/>
      <c r="AE11" s="191"/>
      <c r="AF11" s="191"/>
      <c r="AG11" s="191"/>
      <c r="AH11" s="191"/>
      <c r="AI11" s="191"/>
      <c r="AJ11" s="191"/>
      <c r="AK11" s="191"/>
      <c r="AL11" s="191"/>
      <c r="AM11" s="191"/>
      <c r="AN11" s="191"/>
      <c r="AO11" s="191"/>
      <c r="AP11" s="191"/>
      <c r="AQ11" s="191"/>
      <c r="AR11" s="191"/>
      <c r="AS11" s="191"/>
      <c r="AT11" s="191"/>
      <c r="AU11" s="191"/>
      <c r="AV11" s="196"/>
      <c r="AW11" s="196"/>
      <c r="AX11" s="196"/>
      <c r="AY11" s="196"/>
      <c r="AZ11" s="196"/>
      <c r="BA11" s="196"/>
      <c r="BB11" s="196"/>
      <c r="BC11" s="196"/>
      <c r="BD11" s="196"/>
    </row>
    <row r="12" spans="1:56">
      <c r="A12" s="195"/>
      <c r="B12" s="191" t="s">
        <v>109</v>
      </c>
      <c r="C12" s="192"/>
      <c r="D12" s="184"/>
      <c r="E12" s="184"/>
      <c r="F12" s="184"/>
      <c r="G12" s="184"/>
      <c r="H12" s="184"/>
      <c r="I12" s="184"/>
      <c r="J12" s="184"/>
      <c r="K12" s="184"/>
      <c r="L12" s="184"/>
      <c r="M12" s="184"/>
      <c r="N12" s="184"/>
      <c r="O12" s="184"/>
      <c r="P12" s="184"/>
      <c r="Q12" s="184"/>
      <c r="R12" s="184"/>
      <c r="S12" s="184"/>
      <c r="T12" s="184"/>
      <c r="U12" s="184"/>
      <c r="V12" s="184"/>
      <c r="W12" s="184"/>
      <c r="X12" s="187"/>
      <c r="Y12" s="187"/>
      <c r="Z12" s="187"/>
      <c r="AA12" s="184"/>
      <c r="AB12" s="191"/>
      <c r="AC12" s="191"/>
      <c r="AD12" s="191"/>
      <c r="AE12" s="191"/>
      <c r="AF12" s="191"/>
      <c r="AG12" s="191"/>
      <c r="AH12" s="191"/>
      <c r="AI12" s="191"/>
      <c r="AJ12" s="191"/>
      <c r="AK12" s="191"/>
      <c r="AL12" s="191"/>
      <c r="AM12" s="191"/>
      <c r="AN12" s="191"/>
      <c r="AO12" s="191"/>
      <c r="AP12" s="191"/>
      <c r="AQ12" s="191"/>
      <c r="AR12" s="191"/>
      <c r="AS12" s="191"/>
      <c r="AT12" s="191"/>
      <c r="AU12" s="191"/>
      <c r="AV12" s="196"/>
      <c r="AW12" s="196"/>
      <c r="AX12" s="196"/>
      <c r="AY12" s="196"/>
      <c r="AZ12" s="196"/>
      <c r="BA12" s="196"/>
      <c r="BB12" s="196"/>
      <c r="BC12" s="196"/>
      <c r="BD12" s="196"/>
    </row>
    <row r="13" spans="1:56">
      <c r="A13" s="195"/>
      <c r="B13" s="191" t="s">
        <v>106</v>
      </c>
      <c r="C13" s="191"/>
      <c r="D13" s="191"/>
      <c r="E13" s="191"/>
      <c r="F13" s="191"/>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6"/>
      <c r="AW13" s="196"/>
      <c r="AX13" s="196"/>
      <c r="AY13" s="196"/>
      <c r="AZ13" s="196"/>
      <c r="BA13" s="196"/>
      <c r="BB13" s="196"/>
      <c r="BC13" s="196"/>
      <c r="BD13" s="196"/>
    </row>
    <row r="14" spans="1:56">
      <c r="A14" s="191"/>
      <c r="B14" s="191"/>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6"/>
      <c r="AW14" s="196"/>
      <c r="AX14" s="196"/>
      <c r="AY14" s="196"/>
      <c r="AZ14" s="196"/>
      <c r="BA14" s="196"/>
      <c r="BB14" s="196"/>
      <c r="BC14" s="196"/>
      <c r="BD14" s="196"/>
    </row>
  </sheetData>
  <mergeCells count="52">
    <mergeCell ref="C6:AA6"/>
    <mergeCell ref="AB6:AU6"/>
    <mergeCell ref="C7:C8"/>
    <mergeCell ref="D7:D8"/>
    <mergeCell ref="E7:E8"/>
    <mergeCell ref="AI7:AI8"/>
    <mergeCell ref="AJ7:AJ8"/>
    <mergeCell ref="AK7:AK8"/>
    <mergeCell ref="AL7:AL8"/>
    <mergeCell ref="AG7:AG8"/>
    <mergeCell ref="AH7:AH8"/>
    <mergeCell ref="W7:W8"/>
    <mergeCell ref="X7:X8"/>
    <mergeCell ref="Y7:Y8"/>
    <mergeCell ref="Z7:Z8"/>
    <mergeCell ref="V7:V8"/>
    <mergeCell ref="F7:F8"/>
    <mergeCell ref="G7:G8"/>
    <mergeCell ref="H7:H8"/>
    <mergeCell ref="I7:I8"/>
    <mergeCell ref="J7:J8"/>
    <mergeCell ref="K7:K8"/>
    <mergeCell ref="L7:Q7"/>
    <mergeCell ref="R7:R8"/>
    <mergeCell ref="S7:S8"/>
    <mergeCell ref="T7:T8"/>
    <mergeCell ref="U7:U8"/>
    <mergeCell ref="AQ7:AQ8"/>
    <mergeCell ref="AR7:AR8"/>
    <mergeCell ref="AS7:AS8"/>
    <mergeCell ref="AA7:AA8"/>
    <mergeCell ref="AB7:AB8"/>
    <mergeCell ref="AC7:AC8"/>
    <mergeCell ref="AD7:AD8"/>
    <mergeCell ref="AE7:AE8"/>
    <mergeCell ref="AF7:AF8"/>
    <mergeCell ref="BA7:BB7"/>
    <mergeCell ref="BC7:BD7"/>
    <mergeCell ref="AY6:BD6"/>
    <mergeCell ref="A6:A8"/>
    <mergeCell ref="B6:B8"/>
    <mergeCell ref="AO7:AO8"/>
    <mergeCell ref="AY7:AZ7"/>
    <mergeCell ref="AT7:AT8"/>
    <mergeCell ref="AU7:AU8"/>
    <mergeCell ref="AW6:AX6"/>
    <mergeCell ref="AV7:AV8"/>
    <mergeCell ref="AW7:AW8"/>
    <mergeCell ref="AX7:AX8"/>
    <mergeCell ref="AM7:AM8"/>
    <mergeCell ref="AN7:AN8"/>
    <mergeCell ref="AP7:AP8"/>
  </mergeCells>
  <phoneticPr fontId="36" type="noConversion"/>
  <dataValidations count="2">
    <dataValidation type="list" allowBlank="1" showInputMessage="1" showErrorMessage="1" sqref="Z9:Z11 AW9:AW14" xr:uid="{CEC3F559-10F0-47D6-9763-D8C406F6DCD7}">
      <formula1>"O,X"</formula1>
    </dataValidation>
    <dataValidation type="list" allowBlank="1" showInputMessage="1" showErrorMessage="1" sqref="AY9:AY14 BA9:BA14 BC9:BC14" xr:uid="{A47C470C-E9E6-4706-B60F-107C56843493}">
      <formula1>"OK,NG"</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57E48-4198-4DFB-8447-22960F595209}">
  <dimension ref="A1:BE20"/>
  <sheetViews>
    <sheetView zoomScale="63" zoomScaleNormal="63" workbookViewId="0">
      <selection activeCell="N25" sqref="N25"/>
    </sheetView>
  </sheetViews>
  <sheetFormatPr defaultRowHeight="14.5"/>
  <sheetData>
    <row r="1" spans="1:57">
      <c r="A1" s="199" t="s">
        <v>380</v>
      </c>
    </row>
    <row r="3" spans="1:57">
      <c r="A3" t="s">
        <v>477</v>
      </c>
    </row>
    <row r="6" spans="1:57" s="194" customFormat="1" ht="11.5">
      <c r="A6" s="194">
        <v>1</v>
      </c>
      <c r="B6" s="194">
        <v>2</v>
      </c>
      <c r="C6" s="194">
        <v>3</v>
      </c>
      <c r="D6" s="194">
        <v>4</v>
      </c>
      <c r="E6" s="194">
        <v>5</v>
      </c>
      <c r="F6" s="194">
        <v>6</v>
      </c>
      <c r="G6" s="194">
        <v>7</v>
      </c>
      <c r="H6" s="194">
        <v>8</v>
      </c>
      <c r="I6" s="194">
        <v>9</v>
      </c>
      <c r="J6" s="194">
        <v>10</v>
      </c>
      <c r="K6" s="194">
        <v>11</v>
      </c>
      <c r="L6" s="194">
        <v>12</v>
      </c>
      <c r="M6" s="194">
        <v>13</v>
      </c>
      <c r="N6" s="194">
        <v>14</v>
      </c>
      <c r="O6" s="194">
        <v>15</v>
      </c>
      <c r="P6" s="194">
        <v>16</v>
      </c>
      <c r="Q6" s="194">
        <v>17</v>
      </c>
      <c r="R6" s="194">
        <v>18</v>
      </c>
      <c r="S6" s="194">
        <v>19</v>
      </c>
      <c r="T6" s="194">
        <v>20</v>
      </c>
      <c r="U6" s="194">
        <v>21</v>
      </c>
      <c r="V6" s="194">
        <v>22</v>
      </c>
      <c r="W6" s="194">
        <v>23</v>
      </c>
      <c r="X6" s="194">
        <v>24</v>
      </c>
      <c r="Y6" s="194">
        <v>25</v>
      </c>
      <c r="Z6" s="194">
        <v>26</v>
      </c>
      <c r="AA6" s="194">
        <v>27</v>
      </c>
      <c r="AB6" s="194">
        <v>28</v>
      </c>
      <c r="AC6" s="194">
        <v>29</v>
      </c>
      <c r="AD6" s="194">
        <v>30</v>
      </c>
      <c r="AE6" s="194">
        <v>31</v>
      </c>
      <c r="AF6" s="194">
        <v>32</v>
      </c>
      <c r="AG6" s="194">
        <v>33</v>
      </c>
      <c r="AH6" s="194">
        <v>34</v>
      </c>
      <c r="AI6" s="194">
        <v>35</v>
      </c>
      <c r="AJ6" s="194">
        <v>36</v>
      </c>
      <c r="AK6" s="194">
        <v>37</v>
      </c>
      <c r="AL6" s="194">
        <v>38</v>
      </c>
      <c r="AM6" s="194">
        <v>39</v>
      </c>
      <c r="AN6" s="194">
        <v>40</v>
      </c>
      <c r="AO6" s="194">
        <v>41</v>
      </c>
      <c r="AP6" s="194">
        <v>42</v>
      </c>
      <c r="AQ6" s="194">
        <v>43</v>
      </c>
      <c r="AR6" s="194">
        <v>44</v>
      </c>
      <c r="AS6" s="194">
        <v>45</v>
      </c>
      <c r="AT6" s="194">
        <v>46</v>
      </c>
      <c r="AU6" s="194">
        <v>47</v>
      </c>
      <c r="AV6" s="194">
        <v>48</v>
      </c>
      <c r="AW6" s="194">
        <v>49</v>
      </c>
      <c r="AX6" s="194">
        <v>50</v>
      </c>
      <c r="AY6" s="194">
        <v>51</v>
      </c>
      <c r="AZ6" s="194">
        <v>52</v>
      </c>
      <c r="BA6" s="194">
        <v>53</v>
      </c>
      <c r="BB6" s="194">
        <v>54</v>
      </c>
      <c r="BC6" s="194">
        <v>55</v>
      </c>
      <c r="BD6" s="194">
        <v>56</v>
      </c>
      <c r="BE6" s="194">
        <v>57</v>
      </c>
    </row>
    <row r="7" spans="1:57" s="189" customFormat="1" ht="23">
      <c r="A7" s="358" t="s">
        <v>186</v>
      </c>
      <c r="B7" s="358" t="s">
        <v>212</v>
      </c>
      <c r="C7" s="363" t="s">
        <v>334</v>
      </c>
      <c r="D7" s="363"/>
      <c r="E7" s="363"/>
      <c r="F7" s="363"/>
      <c r="G7" s="363"/>
      <c r="H7" s="363"/>
      <c r="I7" s="363"/>
      <c r="J7" s="363"/>
      <c r="K7" s="363"/>
      <c r="L7" s="363"/>
      <c r="M7" s="363"/>
      <c r="N7" s="363"/>
      <c r="O7" s="363"/>
      <c r="P7" s="363"/>
      <c r="Q7" s="363"/>
      <c r="R7" s="363"/>
      <c r="S7" s="363"/>
      <c r="T7" s="363"/>
      <c r="U7" s="363"/>
      <c r="V7" s="363"/>
      <c r="W7" s="363"/>
      <c r="X7" s="363"/>
      <c r="Y7" s="363"/>
      <c r="Z7" s="363"/>
      <c r="AA7" s="363"/>
      <c r="AB7" s="212" t="s">
        <v>390</v>
      </c>
      <c r="AC7" s="364" t="s">
        <v>333</v>
      </c>
      <c r="AD7" s="364"/>
      <c r="AE7" s="364"/>
      <c r="AF7" s="364"/>
      <c r="AG7" s="364"/>
      <c r="AH7" s="364"/>
      <c r="AI7" s="364"/>
      <c r="AJ7" s="364"/>
      <c r="AK7" s="364"/>
      <c r="AL7" s="364"/>
      <c r="AM7" s="364"/>
      <c r="AN7" s="364"/>
      <c r="AO7" s="364"/>
      <c r="AP7" s="364"/>
      <c r="AQ7" s="364"/>
      <c r="AR7" s="364"/>
      <c r="AS7" s="364"/>
      <c r="AT7" s="364"/>
      <c r="AU7" s="364"/>
      <c r="AV7" s="364"/>
      <c r="AW7" s="190" t="s">
        <v>166</v>
      </c>
      <c r="AX7" s="362" t="s">
        <v>165</v>
      </c>
      <c r="AY7" s="362"/>
      <c r="AZ7" s="357" t="s">
        <v>374</v>
      </c>
      <c r="BA7" s="357"/>
      <c r="BB7" s="357"/>
      <c r="BC7" s="357"/>
      <c r="BD7" s="357"/>
      <c r="BE7" s="357"/>
    </row>
    <row r="8" spans="1:57" s="189" customFormat="1" ht="14.5" customHeight="1">
      <c r="A8" s="358"/>
      <c r="B8" s="358"/>
      <c r="C8" s="358" t="s">
        <v>251</v>
      </c>
      <c r="D8" s="358" t="s">
        <v>226</v>
      </c>
      <c r="E8" s="358" t="s">
        <v>227</v>
      </c>
      <c r="F8" s="358" t="s">
        <v>228</v>
      </c>
      <c r="G8" s="358" t="s">
        <v>229</v>
      </c>
      <c r="H8" s="358" t="s">
        <v>230</v>
      </c>
      <c r="I8" s="358" t="s">
        <v>231</v>
      </c>
      <c r="J8" s="358" t="s">
        <v>232</v>
      </c>
      <c r="K8" s="358" t="s">
        <v>233</v>
      </c>
      <c r="L8" s="358" t="s">
        <v>234</v>
      </c>
      <c r="M8" s="358"/>
      <c r="N8" s="358"/>
      <c r="O8" s="358"/>
      <c r="P8" s="358"/>
      <c r="Q8" s="358"/>
      <c r="R8" s="358" t="s">
        <v>235</v>
      </c>
      <c r="S8" s="358" t="s">
        <v>236</v>
      </c>
      <c r="T8" s="358" t="s">
        <v>237</v>
      </c>
      <c r="U8" s="358" t="s">
        <v>238</v>
      </c>
      <c r="V8" s="358" t="s">
        <v>239</v>
      </c>
      <c r="W8" s="358" t="s">
        <v>240</v>
      </c>
      <c r="X8" s="358" t="s">
        <v>241</v>
      </c>
      <c r="Y8" s="358" t="s">
        <v>242</v>
      </c>
      <c r="Z8" s="358" t="s">
        <v>243</v>
      </c>
      <c r="AA8" s="358" t="s">
        <v>250</v>
      </c>
      <c r="AB8" s="365" t="s">
        <v>385</v>
      </c>
      <c r="AC8" s="361" t="s">
        <v>144</v>
      </c>
      <c r="AD8" s="361" t="s">
        <v>146</v>
      </c>
      <c r="AE8" s="361" t="s">
        <v>112</v>
      </c>
      <c r="AF8" s="361" t="s">
        <v>40</v>
      </c>
      <c r="AG8" s="361" t="s">
        <v>41</v>
      </c>
      <c r="AH8" s="361" t="s">
        <v>145</v>
      </c>
      <c r="AI8" s="361" t="s">
        <v>148</v>
      </c>
      <c r="AJ8" s="361" t="s">
        <v>149</v>
      </c>
      <c r="AK8" s="361" t="s">
        <v>152</v>
      </c>
      <c r="AL8" s="361" t="s">
        <v>150</v>
      </c>
      <c r="AM8" s="361" t="s">
        <v>69</v>
      </c>
      <c r="AN8" s="361" t="s">
        <v>147</v>
      </c>
      <c r="AO8" s="361" t="s">
        <v>362</v>
      </c>
      <c r="AP8" s="359" t="s">
        <v>366</v>
      </c>
      <c r="AQ8" s="361" t="s">
        <v>363</v>
      </c>
      <c r="AR8" s="361" t="s">
        <v>364</v>
      </c>
      <c r="AS8" s="361" t="s">
        <v>225</v>
      </c>
      <c r="AT8" s="361" t="s">
        <v>223</v>
      </c>
      <c r="AU8" s="361" t="s">
        <v>224</v>
      </c>
      <c r="AV8" s="361" t="s">
        <v>355</v>
      </c>
      <c r="AW8" s="362" t="s">
        <v>167</v>
      </c>
      <c r="AX8" s="362" t="s">
        <v>164</v>
      </c>
      <c r="AY8" s="362" t="s">
        <v>202</v>
      </c>
      <c r="AZ8" s="357" t="s">
        <v>369</v>
      </c>
      <c r="BA8" s="357"/>
      <c r="BB8" s="357" t="s">
        <v>370</v>
      </c>
      <c r="BC8" s="357"/>
      <c r="BD8" s="357" t="s">
        <v>371</v>
      </c>
      <c r="BE8" s="357"/>
    </row>
    <row r="9" spans="1:57" s="189" customFormat="1" ht="138">
      <c r="A9" s="358"/>
      <c r="B9" s="358"/>
      <c r="C9" s="358"/>
      <c r="D9" s="358"/>
      <c r="E9" s="358"/>
      <c r="F9" s="358"/>
      <c r="G9" s="358"/>
      <c r="H9" s="358"/>
      <c r="I9" s="358"/>
      <c r="J9" s="358"/>
      <c r="K9" s="358"/>
      <c r="L9" s="183" t="s">
        <v>244</v>
      </c>
      <c r="M9" s="183" t="s">
        <v>245</v>
      </c>
      <c r="N9" s="183" t="s">
        <v>246</v>
      </c>
      <c r="O9" s="183" t="s">
        <v>247</v>
      </c>
      <c r="P9" s="183" t="s">
        <v>248</v>
      </c>
      <c r="Q9" s="183" t="s">
        <v>249</v>
      </c>
      <c r="R9" s="358"/>
      <c r="S9" s="358"/>
      <c r="T9" s="358"/>
      <c r="U9" s="358"/>
      <c r="V9" s="358"/>
      <c r="W9" s="358"/>
      <c r="X9" s="358"/>
      <c r="Y9" s="358"/>
      <c r="Z9" s="358"/>
      <c r="AA9" s="358"/>
      <c r="AB9" s="366"/>
      <c r="AC9" s="361"/>
      <c r="AD9" s="361"/>
      <c r="AE9" s="361"/>
      <c r="AF9" s="361"/>
      <c r="AG9" s="361"/>
      <c r="AH9" s="361"/>
      <c r="AI9" s="361"/>
      <c r="AJ9" s="361"/>
      <c r="AK9" s="361"/>
      <c r="AL9" s="361"/>
      <c r="AM9" s="361"/>
      <c r="AN9" s="361"/>
      <c r="AO9" s="361"/>
      <c r="AP9" s="360"/>
      <c r="AQ9" s="361"/>
      <c r="AR9" s="361"/>
      <c r="AS9" s="361"/>
      <c r="AT9" s="361"/>
      <c r="AU9" s="361"/>
      <c r="AV9" s="361"/>
      <c r="AW9" s="362"/>
      <c r="AX9" s="362"/>
      <c r="AY9" s="362"/>
      <c r="AZ9" s="197" t="s">
        <v>372</v>
      </c>
      <c r="BA9" s="197" t="s">
        <v>373</v>
      </c>
      <c r="BB9" s="197" t="s">
        <v>372</v>
      </c>
      <c r="BC9" s="197" t="s">
        <v>373</v>
      </c>
      <c r="BD9" s="197" t="s">
        <v>372</v>
      </c>
      <c r="BE9" s="197" t="s">
        <v>373</v>
      </c>
    </row>
    <row r="10" spans="1:57" s="189" customFormat="1" ht="11.5">
      <c r="A10" s="195"/>
      <c r="B10" s="191" t="s">
        <v>343</v>
      </c>
      <c r="C10" s="192"/>
      <c r="D10" s="184"/>
      <c r="E10" s="184"/>
      <c r="F10" s="184"/>
      <c r="G10" s="184"/>
      <c r="H10" s="184"/>
      <c r="I10" s="184"/>
      <c r="J10" s="184"/>
      <c r="K10" s="184"/>
      <c r="L10" s="184"/>
      <c r="M10" s="184"/>
      <c r="N10" s="184"/>
      <c r="O10" s="184"/>
      <c r="P10" s="184"/>
      <c r="Q10" s="185"/>
      <c r="R10" s="185"/>
      <c r="S10" s="185"/>
      <c r="T10" s="185"/>
      <c r="U10" s="185"/>
      <c r="V10" s="184"/>
      <c r="W10" s="184"/>
      <c r="X10" s="184"/>
      <c r="Y10" s="184"/>
      <c r="Z10" s="186"/>
      <c r="AA10" s="184"/>
      <c r="AB10" s="184"/>
      <c r="AC10" s="191"/>
      <c r="AD10" s="191"/>
      <c r="AE10" s="191"/>
      <c r="AF10" s="191"/>
      <c r="AG10" s="191"/>
      <c r="AH10" s="191"/>
      <c r="AI10" s="191"/>
      <c r="AJ10" s="191"/>
      <c r="AK10" s="191"/>
      <c r="AL10" s="191"/>
      <c r="AM10" s="191"/>
      <c r="AN10" s="191"/>
      <c r="AO10" s="191"/>
      <c r="AP10" s="191"/>
      <c r="AQ10" s="191"/>
      <c r="AR10" s="191"/>
      <c r="AS10" s="191"/>
      <c r="AT10" s="191"/>
      <c r="AU10" s="191"/>
      <c r="AV10" s="191"/>
      <c r="AW10" s="196"/>
      <c r="AX10" s="196"/>
      <c r="AY10" s="196"/>
      <c r="AZ10" s="196"/>
      <c r="BA10" s="196"/>
      <c r="BB10" s="196"/>
      <c r="BC10" s="196"/>
      <c r="BD10" s="196"/>
      <c r="BE10" s="196"/>
    </row>
    <row r="11" spans="1:57" s="189" customFormat="1" ht="11.5">
      <c r="A11" s="195"/>
      <c r="B11" s="191" t="s">
        <v>108</v>
      </c>
      <c r="C11" s="192"/>
      <c r="D11" s="184"/>
      <c r="E11" s="184"/>
      <c r="F11" s="184"/>
      <c r="G11" s="184"/>
      <c r="H11" s="184"/>
      <c r="I11" s="184"/>
      <c r="J11" s="184"/>
      <c r="K11" s="184"/>
      <c r="L11" s="184"/>
      <c r="M11" s="185"/>
      <c r="N11" s="184"/>
      <c r="O11" s="184"/>
      <c r="P11" s="184"/>
      <c r="Q11" s="184"/>
      <c r="R11" s="184"/>
      <c r="S11" s="184"/>
      <c r="T11" s="184"/>
      <c r="U11" s="184"/>
      <c r="V11" s="184"/>
      <c r="W11" s="184"/>
      <c r="X11" s="184"/>
      <c r="Y11" s="184"/>
      <c r="Z11" s="186"/>
      <c r="AA11" s="184"/>
      <c r="AB11" s="184"/>
      <c r="AC11" s="191"/>
      <c r="AD11" s="191"/>
      <c r="AE11" s="191"/>
      <c r="AF11" s="191"/>
      <c r="AG11" s="191"/>
      <c r="AH11" s="191"/>
      <c r="AI11" s="191"/>
      <c r="AJ11" s="191"/>
      <c r="AK11" s="191"/>
      <c r="AL11" s="191"/>
      <c r="AM11" s="191"/>
      <c r="AN11" s="191"/>
      <c r="AO11" s="191"/>
      <c r="AP11" s="191"/>
      <c r="AQ11" s="191"/>
      <c r="AR11" s="191"/>
      <c r="AS11" s="191"/>
      <c r="AT11" s="191"/>
      <c r="AU11" s="191"/>
      <c r="AV11" s="191"/>
      <c r="AW11" s="196"/>
      <c r="AX11" s="196"/>
      <c r="AY11" s="196"/>
      <c r="AZ11" s="196"/>
      <c r="BA11" s="196"/>
      <c r="BB11" s="196"/>
      <c r="BC11" s="196"/>
      <c r="BD11" s="196"/>
      <c r="BE11" s="196"/>
    </row>
    <row r="12" spans="1:57" s="189" customFormat="1" ht="11.5">
      <c r="A12" s="195"/>
      <c r="B12" s="191" t="s">
        <v>107</v>
      </c>
      <c r="C12" s="192"/>
      <c r="D12" s="184"/>
      <c r="E12" s="184"/>
      <c r="F12" s="184"/>
      <c r="G12" s="184"/>
      <c r="H12" s="184"/>
      <c r="I12" s="184"/>
      <c r="J12" s="184"/>
      <c r="K12" s="184"/>
      <c r="L12" s="184"/>
      <c r="M12" s="184"/>
      <c r="N12" s="184"/>
      <c r="O12" s="184"/>
      <c r="P12" s="184"/>
      <c r="Q12" s="184"/>
      <c r="R12" s="184"/>
      <c r="S12" s="184"/>
      <c r="T12" s="184"/>
      <c r="U12" s="184"/>
      <c r="V12" s="184"/>
      <c r="W12" s="184"/>
      <c r="X12" s="184"/>
      <c r="Y12" s="184"/>
      <c r="Z12" s="186"/>
      <c r="AA12" s="184"/>
      <c r="AB12" s="184"/>
      <c r="AC12" s="191"/>
      <c r="AD12" s="191"/>
      <c r="AE12" s="191"/>
      <c r="AF12" s="191"/>
      <c r="AG12" s="191"/>
      <c r="AH12" s="191"/>
      <c r="AI12" s="191"/>
      <c r="AJ12" s="191"/>
      <c r="AK12" s="191"/>
      <c r="AL12" s="191"/>
      <c r="AM12" s="191"/>
      <c r="AN12" s="191"/>
      <c r="AO12" s="191"/>
      <c r="AP12" s="191"/>
      <c r="AQ12" s="191"/>
      <c r="AR12" s="191"/>
      <c r="AS12" s="191"/>
      <c r="AT12" s="191"/>
      <c r="AU12" s="191"/>
      <c r="AV12" s="191"/>
      <c r="AW12" s="196"/>
      <c r="AX12" s="196"/>
      <c r="AY12" s="196"/>
      <c r="AZ12" s="196"/>
      <c r="BA12" s="196"/>
      <c r="BB12" s="196"/>
      <c r="BC12" s="196"/>
      <c r="BD12" s="196"/>
      <c r="BE12" s="196"/>
    </row>
    <row r="13" spans="1:57" s="189" customFormat="1" ht="11.5">
      <c r="A13" s="195"/>
      <c r="B13" s="191" t="s">
        <v>109</v>
      </c>
      <c r="C13" s="192"/>
      <c r="D13" s="184"/>
      <c r="E13" s="184"/>
      <c r="F13" s="184"/>
      <c r="G13" s="184"/>
      <c r="H13" s="184"/>
      <c r="I13" s="184"/>
      <c r="J13" s="184"/>
      <c r="K13" s="184"/>
      <c r="L13" s="184"/>
      <c r="M13" s="184"/>
      <c r="N13" s="184"/>
      <c r="O13" s="184"/>
      <c r="P13" s="184"/>
      <c r="Q13" s="184"/>
      <c r="R13" s="184"/>
      <c r="S13" s="184"/>
      <c r="T13" s="184"/>
      <c r="U13" s="184"/>
      <c r="V13" s="184"/>
      <c r="W13" s="184"/>
      <c r="X13" s="187"/>
      <c r="Y13" s="187"/>
      <c r="Z13" s="187"/>
      <c r="AA13" s="184"/>
      <c r="AB13" s="184"/>
      <c r="AC13" s="191"/>
      <c r="AD13" s="191"/>
      <c r="AE13" s="191"/>
      <c r="AF13" s="191"/>
      <c r="AG13" s="191"/>
      <c r="AH13" s="191"/>
      <c r="AI13" s="191"/>
      <c r="AJ13" s="191"/>
      <c r="AK13" s="191"/>
      <c r="AL13" s="191"/>
      <c r="AM13" s="191"/>
      <c r="AN13" s="191"/>
      <c r="AO13" s="191"/>
      <c r="AP13" s="191"/>
      <c r="AQ13" s="191"/>
      <c r="AR13" s="191"/>
      <c r="AS13" s="191"/>
      <c r="AT13" s="191"/>
      <c r="AU13" s="191"/>
      <c r="AV13" s="191"/>
      <c r="AW13" s="196"/>
      <c r="AX13" s="196"/>
      <c r="AY13" s="196"/>
      <c r="AZ13" s="196"/>
      <c r="BA13" s="196"/>
      <c r="BB13" s="196"/>
      <c r="BC13" s="196"/>
      <c r="BD13" s="196"/>
      <c r="BE13" s="196"/>
    </row>
    <row r="14" spans="1:57" s="189" customFormat="1" ht="11.5">
      <c r="A14" s="195"/>
      <c r="B14" s="191" t="s">
        <v>106</v>
      </c>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6"/>
      <c r="AX14" s="196"/>
      <c r="AY14" s="196"/>
      <c r="AZ14" s="196"/>
      <c r="BA14" s="196"/>
      <c r="BB14" s="196"/>
      <c r="BC14" s="196"/>
      <c r="BD14" s="196"/>
      <c r="BE14" s="196"/>
    </row>
    <row r="15" spans="1:57" s="189" customFormat="1" ht="11.5">
      <c r="A15" s="191"/>
      <c r="B15" s="191"/>
      <c r="C15" s="191"/>
      <c r="D15" s="191"/>
      <c r="E15" s="191"/>
      <c r="F15" s="191"/>
      <c r="G15" s="191"/>
      <c r="H15" s="191"/>
      <c r="I15" s="191"/>
      <c r="J15" s="191"/>
      <c r="K15" s="191"/>
      <c r="L15" s="191"/>
      <c r="M15" s="191"/>
      <c r="N15" s="191"/>
      <c r="O15" s="191"/>
      <c r="P15" s="191"/>
      <c r="Q15" s="191"/>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6"/>
      <c r="AX15" s="196"/>
      <c r="AY15" s="196"/>
      <c r="AZ15" s="196"/>
      <c r="BA15" s="196"/>
      <c r="BB15" s="196"/>
      <c r="BC15" s="196"/>
      <c r="BD15" s="196"/>
      <c r="BE15" s="196"/>
    </row>
    <row r="17" spans="2:2">
      <c r="B17" s="215" t="s">
        <v>401</v>
      </c>
    </row>
    <row r="18" spans="2:2">
      <c r="B18" s="215" t="s">
        <v>402</v>
      </c>
    </row>
    <row r="19" spans="2:2">
      <c r="B19" s="215" t="s">
        <v>403</v>
      </c>
    </row>
    <row r="20" spans="2:2">
      <c r="B20" s="215" t="s">
        <v>404</v>
      </c>
    </row>
  </sheetData>
  <mergeCells count="53">
    <mergeCell ref="BD8:BE8"/>
    <mergeCell ref="AW8:AW9"/>
    <mergeCell ref="AX8:AX9"/>
    <mergeCell ref="AY8:AY9"/>
    <mergeCell ref="AZ8:BA8"/>
    <mergeCell ref="BB8:BC8"/>
    <mergeCell ref="AZ7:BE7"/>
    <mergeCell ref="C8:C9"/>
    <mergeCell ref="D8:D9"/>
    <mergeCell ref="E8:E9"/>
    <mergeCell ref="F8:F9"/>
    <mergeCell ref="G8:G9"/>
    <mergeCell ref="H8:H9"/>
    <mergeCell ref="I8:I9"/>
    <mergeCell ref="J8:J9"/>
    <mergeCell ref="K8:K9"/>
    <mergeCell ref="L8:Q8"/>
    <mergeCell ref="R8:R9"/>
    <mergeCell ref="S8:S9"/>
    <mergeCell ref="T8:T9"/>
    <mergeCell ref="U8:U9"/>
    <mergeCell ref="V8:V9"/>
    <mergeCell ref="AX7:AY7"/>
    <mergeCell ref="W8:W9"/>
    <mergeCell ref="X8:X9"/>
    <mergeCell ref="Y8:Y9"/>
    <mergeCell ref="Z8:Z9"/>
    <mergeCell ref="AA8:AA9"/>
    <mergeCell ref="AC8:AC9"/>
    <mergeCell ref="AD8:AD9"/>
    <mergeCell ref="AE8:AE9"/>
    <mergeCell ref="AF8:AF9"/>
    <mergeCell ref="AG8:AG9"/>
    <mergeCell ref="AH8:AH9"/>
    <mergeCell ref="AI8:AI9"/>
    <mergeCell ref="AJ8:AJ9"/>
    <mergeCell ref="AK8:AK9"/>
    <mergeCell ref="AL8:AL9"/>
    <mergeCell ref="AB8:AB9"/>
    <mergeCell ref="A7:A9"/>
    <mergeCell ref="B7:B9"/>
    <mergeCell ref="C7:AA7"/>
    <mergeCell ref="AC7:AV7"/>
    <mergeCell ref="AM8:AM9"/>
    <mergeCell ref="AN8:AN9"/>
    <mergeCell ref="AO8:AO9"/>
    <mergeCell ref="AP8:AP9"/>
    <mergeCell ref="AQ8:AQ9"/>
    <mergeCell ref="AR8:AR9"/>
    <mergeCell ref="AS8:AS9"/>
    <mergeCell ref="AT8:AT9"/>
    <mergeCell ref="AU8:AU9"/>
    <mergeCell ref="AV8:AV9"/>
  </mergeCells>
  <dataValidations count="2">
    <dataValidation type="list" allowBlank="1" showInputMessage="1" showErrorMessage="1" sqref="Z10:Z12 AX10:AX15" xr:uid="{99C7FA9C-BA1C-4D1D-9284-EB139A409807}">
      <formula1>"O,X"</formula1>
    </dataValidation>
    <dataValidation type="list" allowBlank="1" showInputMessage="1" showErrorMessage="1" sqref="AZ10:AZ15 BB10:BB15 BD10:BD15" xr:uid="{046A13C4-0C82-4A7E-9DA5-595C0CB03403}">
      <formula1>"OK,NG"</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B8EC-442D-44BD-9071-9F25B68A2390}">
  <dimension ref="A1:AL13"/>
  <sheetViews>
    <sheetView topLeftCell="U1" workbookViewId="0">
      <selection activeCell="AB15" sqref="AB15"/>
    </sheetView>
  </sheetViews>
  <sheetFormatPr defaultRowHeight="14.5"/>
  <cols>
    <col min="2" max="2" width="26.36328125" customWidth="1"/>
  </cols>
  <sheetData>
    <row r="1" spans="1:38">
      <c r="B1" t="s">
        <v>384</v>
      </c>
    </row>
    <row r="3" spans="1:38">
      <c r="I3" s="209" t="s">
        <v>389</v>
      </c>
      <c r="AJ3" t="s">
        <v>387</v>
      </c>
      <c r="AK3" t="s">
        <v>387</v>
      </c>
      <c r="AL3" s="209" t="s">
        <v>389</v>
      </c>
    </row>
    <row r="4" spans="1:38" ht="14.5" customHeight="1">
      <c r="C4" s="172">
        <v>1</v>
      </c>
      <c r="D4" s="172">
        <v>2</v>
      </c>
      <c r="E4" s="172">
        <v>2</v>
      </c>
      <c r="F4" s="172">
        <v>3</v>
      </c>
      <c r="G4" s="172">
        <v>4</v>
      </c>
      <c r="H4" s="172">
        <v>5</v>
      </c>
      <c r="I4" s="210">
        <v>6</v>
      </c>
      <c r="J4" s="172">
        <v>7</v>
      </c>
      <c r="K4" s="172">
        <v>8</v>
      </c>
      <c r="L4" s="172">
        <v>9</v>
      </c>
      <c r="M4" s="172">
        <v>10</v>
      </c>
      <c r="N4" s="172">
        <v>11</v>
      </c>
      <c r="O4" s="172">
        <v>12</v>
      </c>
      <c r="P4" s="343">
        <f>O4+1</f>
        <v>13</v>
      </c>
      <c r="Q4" s="344"/>
      <c r="R4" s="344"/>
      <c r="S4" s="344"/>
      <c r="T4" s="344"/>
      <c r="U4" s="345"/>
      <c r="V4" s="167">
        <v>14</v>
      </c>
      <c r="W4" s="172">
        <f>V4+1</f>
        <v>15</v>
      </c>
      <c r="X4" s="172">
        <f t="shared" ref="X4:AL4" si="0">W4+1</f>
        <v>16</v>
      </c>
      <c r="Y4" s="172">
        <f t="shared" si="0"/>
        <v>17</v>
      </c>
      <c r="Z4" s="172">
        <f t="shared" si="0"/>
        <v>18</v>
      </c>
      <c r="AA4" s="172">
        <f t="shared" si="0"/>
        <v>19</v>
      </c>
      <c r="AB4" s="172">
        <f t="shared" si="0"/>
        <v>20</v>
      </c>
      <c r="AC4" s="172">
        <f t="shared" si="0"/>
        <v>21</v>
      </c>
      <c r="AD4" s="172">
        <f t="shared" si="0"/>
        <v>22</v>
      </c>
      <c r="AE4" s="172">
        <f t="shared" si="0"/>
        <v>23</v>
      </c>
      <c r="AF4" s="172">
        <f t="shared" si="0"/>
        <v>24</v>
      </c>
      <c r="AG4" s="172">
        <f t="shared" si="0"/>
        <v>25</v>
      </c>
      <c r="AH4" s="172">
        <f t="shared" si="0"/>
        <v>26</v>
      </c>
      <c r="AI4" s="172">
        <f t="shared" si="0"/>
        <v>27</v>
      </c>
      <c r="AJ4" s="206">
        <f t="shared" si="0"/>
        <v>28</v>
      </c>
      <c r="AK4" s="207">
        <f t="shared" si="0"/>
        <v>29</v>
      </c>
      <c r="AL4" s="210">
        <f t="shared" si="0"/>
        <v>30</v>
      </c>
    </row>
    <row r="5" spans="1:38">
      <c r="B5" s="372" t="s">
        <v>409</v>
      </c>
      <c r="C5" s="367" t="s">
        <v>251</v>
      </c>
      <c r="D5" s="377" t="s">
        <v>313</v>
      </c>
      <c r="E5" s="367" t="s">
        <v>314</v>
      </c>
      <c r="F5" s="367" t="s">
        <v>315</v>
      </c>
      <c r="G5" s="367" t="s">
        <v>308</v>
      </c>
      <c r="H5" s="367" t="s">
        <v>226</v>
      </c>
      <c r="I5" s="379" t="s">
        <v>227</v>
      </c>
      <c r="J5" s="367" t="s">
        <v>228</v>
      </c>
      <c r="K5" s="367" t="s">
        <v>229</v>
      </c>
      <c r="L5" s="367" t="s">
        <v>230</v>
      </c>
      <c r="M5" s="367" t="s">
        <v>231</v>
      </c>
      <c r="N5" s="367" t="s">
        <v>232</v>
      </c>
      <c r="O5" s="367" t="s">
        <v>233</v>
      </c>
      <c r="P5" s="369" t="s">
        <v>234</v>
      </c>
      <c r="Q5" s="370"/>
      <c r="R5" s="370"/>
      <c r="S5" s="370"/>
      <c r="T5" s="370"/>
      <c r="U5" s="371"/>
      <c r="V5" s="367" t="s">
        <v>235</v>
      </c>
      <c r="W5" s="367" t="s">
        <v>236</v>
      </c>
      <c r="X5" s="367" t="s">
        <v>237</v>
      </c>
      <c r="Y5" s="367" t="s">
        <v>238</v>
      </c>
      <c r="Z5" s="367" t="s">
        <v>239</v>
      </c>
      <c r="AA5" s="367" t="s">
        <v>240</v>
      </c>
      <c r="AB5" s="367" t="s">
        <v>241</v>
      </c>
      <c r="AC5" s="367" t="s">
        <v>242</v>
      </c>
      <c r="AD5" s="367" t="s">
        <v>316</v>
      </c>
      <c r="AE5" s="367" t="s">
        <v>317</v>
      </c>
      <c r="AF5" s="367" t="s">
        <v>243</v>
      </c>
      <c r="AG5" s="367" t="s">
        <v>318</v>
      </c>
      <c r="AH5" s="356" t="s">
        <v>319</v>
      </c>
      <c r="AI5" s="356" t="s">
        <v>320</v>
      </c>
      <c r="AJ5" s="375" t="s">
        <v>385</v>
      </c>
      <c r="AK5" s="376" t="s">
        <v>386</v>
      </c>
      <c r="AL5" s="374" t="s">
        <v>388</v>
      </c>
    </row>
    <row r="6" spans="1:38" ht="115">
      <c r="A6" s="213" t="s">
        <v>351</v>
      </c>
      <c r="B6" s="373"/>
      <c r="C6" s="368"/>
      <c r="D6" s="378"/>
      <c r="E6" s="368"/>
      <c r="F6" s="368"/>
      <c r="G6" s="368"/>
      <c r="H6" s="368"/>
      <c r="I6" s="380"/>
      <c r="J6" s="368"/>
      <c r="K6" s="368"/>
      <c r="L6" s="368"/>
      <c r="M6" s="368"/>
      <c r="N6" s="368"/>
      <c r="O6" s="368"/>
      <c r="P6" s="168" t="s">
        <v>244</v>
      </c>
      <c r="Q6" s="168" t="s">
        <v>245</v>
      </c>
      <c r="R6" s="168" t="s">
        <v>246</v>
      </c>
      <c r="S6" s="168" t="s">
        <v>247</v>
      </c>
      <c r="T6" s="168" t="s">
        <v>248</v>
      </c>
      <c r="U6" s="168" t="s">
        <v>249</v>
      </c>
      <c r="V6" s="368"/>
      <c r="W6" s="368"/>
      <c r="X6" s="368"/>
      <c r="Y6" s="368"/>
      <c r="Z6" s="368"/>
      <c r="AA6" s="368"/>
      <c r="AB6" s="368"/>
      <c r="AC6" s="368"/>
      <c r="AD6" s="368"/>
      <c r="AE6" s="368"/>
      <c r="AF6" s="368"/>
      <c r="AG6" s="368"/>
      <c r="AH6" s="356"/>
      <c r="AI6" s="356"/>
      <c r="AJ6" s="375"/>
      <c r="AK6" s="376"/>
      <c r="AL6" s="374"/>
    </row>
    <row r="7" spans="1:38">
      <c r="A7" s="181" t="s">
        <v>39</v>
      </c>
      <c r="B7" s="191" t="s">
        <v>343</v>
      </c>
      <c r="C7" s="127"/>
      <c r="D7" s="200">
        <v>1</v>
      </c>
      <c r="E7" s="200"/>
      <c r="F7" s="201" t="e">
        <f>VLOOKUP(E7,[1]Master!C:D,2,0)</f>
        <v>#N/A</v>
      </c>
      <c r="G7" s="202"/>
      <c r="H7" s="202"/>
      <c r="I7" s="211"/>
      <c r="J7" s="202"/>
      <c r="K7" s="201" t="str">
        <f>P7&amp;" "&amp;Q7&amp;" "&amp;R7&amp;""&amp;S7&amp;" "&amp;T7&amp;" "&amp;U7</f>
        <v xml:space="preserve">    </v>
      </c>
      <c r="L7" s="202"/>
      <c r="M7" s="202"/>
      <c r="N7" s="202"/>
      <c r="O7" s="202"/>
      <c r="P7" s="202"/>
      <c r="Q7" s="202"/>
      <c r="R7" s="202"/>
      <c r="S7" s="202"/>
      <c r="T7" s="202"/>
      <c r="U7" s="203"/>
      <c r="V7" s="203"/>
      <c r="W7" s="203"/>
      <c r="X7" s="203"/>
      <c r="Y7" s="203"/>
      <c r="Z7" s="202"/>
      <c r="AA7" s="202"/>
      <c r="AB7" s="201"/>
      <c r="AC7" s="201"/>
      <c r="AD7" s="204" t="s">
        <v>121</v>
      </c>
      <c r="AE7" s="202"/>
      <c r="AF7" s="205"/>
      <c r="AG7" s="205"/>
      <c r="AH7" s="202"/>
      <c r="AI7" s="202"/>
      <c r="AJ7" s="127"/>
      <c r="AK7" s="208"/>
      <c r="AL7" s="209"/>
    </row>
    <row r="8" spans="1:38">
      <c r="A8" s="181" t="s">
        <v>39</v>
      </c>
      <c r="B8" s="191" t="s">
        <v>108</v>
      </c>
      <c r="C8" s="127"/>
      <c r="D8" s="200">
        <v>2</v>
      </c>
      <c r="E8" s="200"/>
      <c r="F8" s="201" t="e">
        <f>VLOOKUP(E8,[1]Master!C:D,2,0)</f>
        <v>#N/A</v>
      </c>
      <c r="G8" s="202"/>
      <c r="H8" s="202"/>
      <c r="I8" s="211"/>
      <c r="J8" s="202"/>
      <c r="K8" s="201" t="str">
        <f t="shared" ref="K8:K11" si="1">P8&amp;" "&amp;Q8&amp;" "&amp;R8&amp;""&amp;S8&amp;" "&amp;T8&amp;" "&amp;U8</f>
        <v xml:space="preserve">    </v>
      </c>
      <c r="L8" s="202"/>
      <c r="M8" s="202"/>
      <c r="N8" s="202"/>
      <c r="O8" s="202"/>
      <c r="P8" s="202"/>
      <c r="Q8" s="203"/>
      <c r="R8" s="202"/>
      <c r="S8" s="202"/>
      <c r="T8" s="202"/>
      <c r="U8" s="202"/>
      <c r="V8" s="203"/>
      <c r="W8" s="203"/>
      <c r="X8" s="202"/>
      <c r="Y8" s="202"/>
      <c r="Z8" s="202"/>
      <c r="AA8" s="202"/>
      <c r="AB8" s="201"/>
      <c r="AC8" s="201"/>
      <c r="AD8" s="204" t="s">
        <v>39</v>
      </c>
      <c r="AE8" s="202"/>
      <c r="AF8" s="205"/>
      <c r="AG8" s="205"/>
      <c r="AH8" s="202"/>
      <c r="AI8" s="202"/>
      <c r="AJ8" s="127"/>
      <c r="AK8" s="208"/>
      <c r="AL8" s="209"/>
    </row>
    <row r="9" spans="1:38">
      <c r="A9" s="181" t="s">
        <v>39</v>
      </c>
      <c r="B9" s="191" t="s">
        <v>107</v>
      </c>
      <c r="C9" s="127"/>
      <c r="D9" s="200">
        <v>3</v>
      </c>
      <c r="E9" s="200"/>
      <c r="F9" s="201" t="e">
        <f>VLOOKUP(E9,[1]Master!C:D,2,0)</f>
        <v>#N/A</v>
      </c>
      <c r="G9" s="202"/>
      <c r="H9" s="202"/>
      <c r="I9" s="211"/>
      <c r="J9" s="202"/>
      <c r="K9" s="201" t="str">
        <f t="shared" si="1"/>
        <v xml:space="preserve">    </v>
      </c>
      <c r="L9" s="202"/>
      <c r="M9" s="202"/>
      <c r="N9" s="202"/>
      <c r="O9" s="202"/>
      <c r="P9" s="202"/>
      <c r="Q9" s="202"/>
      <c r="R9" s="202"/>
      <c r="S9" s="202"/>
      <c r="T9" s="202"/>
      <c r="U9" s="202"/>
      <c r="V9" s="203"/>
      <c r="W9" s="203"/>
      <c r="X9" s="202"/>
      <c r="Y9" s="202"/>
      <c r="Z9" s="202"/>
      <c r="AA9" s="202"/>
      <c r="AB9" s="201"/>
      <c r="AC9" s="201"/>
      <c r="AD9" s="204" t="s">
        <v>39</v>
      </c>
      <c r="AE9" s="202"/>
      <c r="AF9" s="205"/>
      <c r="AG9" s="205"/>
      <c r="AH9" s="202"/>
      <c r="AI9" s="202"/>
      <c r="AJ9" s="127"/>
      <c r="AK9" s="208"/>
      <c r="AL9" s="209"/>
    </row>
    <row r="10" spans="1:38">
      <c r="A10" s="181" t="s">
        <v>39</v>
      </c>
      <c r="B10" s="191" t="s">
        <v>109</v>
      </c>
      <c r="C10" s="127"/>
      <c r="D10" s="200">
        <v>4</v>
      </c>
      <c r="E10" s="200"/>
      <c r="F10" s="201" t="e">
        <f>VLOOKUP(E10,[1]Master!C:D,2,0)</f>
        <v>#N/A</v>
      </c>
      <c r="G10" s="202"/>
      <c r="H10" s="202"/>
      <c r="I10" s="211"/>
      <c r="J10" s="202"/>
      <c r="K10" s="201" t="str">
        <f t="shared" si="1"/>
        <v xml:space="preserve">    </v>
      </c>
      <c r="L10" s="202"/>
      <c r="M10" s="202"/>
      <c r="N10" s="202"/>
      <c r="O10" s="202"/>
      <c r="P10" s="202"/>
      <c r="Q10" s="202"/>
      <c r="R10" s="202"/>
      <c r="S10" s="202"/>
      <c r="T10" s="202"/>
      <c r="U10" s="202"/>
      <c r="V10" s="203"/>
      <c r="W10" s="203"/>
      <c r="X10" s="202"/>
      <c r="Y10" s="202"/>
      <c r="Z10" s="202"/>
      <c r="AA10" s="202"/>
      <c r="AB10" s="201"/>
      <c r="AC10" s="201"/>
      <c r="AD10" s="204" t="s">
        <v>39</v>
      </c>
      <c r="AE10" s="202"/>
      <c r="AF10" s="205"/>
      <c r="AG10" s="205"/>
      <c r="AH10" s="202"/>
      <c r="AI10" s="202"/>
      <c r="AJ10" s="127"/>
      <c r="AK10" s="208"/>
      <c r="AL10" s="209"/>
    </row>
    <row r="11" spans="1:38">
      <c r="A11" s="181" t="s">
        <v>39</v>
      </c>
      <c r="B11" s="191" t="s">
        <v>106</v>
      </c>
      <c r="C11" s="127"/>
      <c r="D11" s="200">
        <v>5</v>
      </c>
      <c r="E11" s="200"/>
      <c r="F11" s="201" t="e">
        <f>VLOOKUP(E11,[1]Master!C:D,2,0)</f>
        <v>#N/A</v>
      </c>
      <c r="G11" s="202"/>
      <c r="H11" s="202"/>
      <c r="I11" s="211"/>
      <c r="J11" s="202"/>
      <c r="K11" s="201" t="str">
        <f t="shared" si="1"/>
        <v xml:space="preserve">    </v>
      </c>
      <c r="L11" s="202"/>
      <c r="M11" s="202"/>
      <c r="N11" s="202"/>
      <c r="O11" s="202"/>
      <c r="P11" s="202"/>
      <c r="Q11" s="202"/>
      <c r="R11" s="202"/>
      <c r="S11" s="202"/>
      <c r="T11" s="202"/>
      <c r="U11" s="202"/>
      <c r="V11" s="203"/>
      <c r="W11" s="203"/>
      <c r="X11" s="202"/>
      <c r="Y11" s="202"/>
      <c r="Z11" s="202"/>
      <c r="AA11" s="202"/>
      <c r="AB11" s="201"/>
      <c r="AC11" s="201"/>
      <c r="AD11" s="204" t="s">
        <v>39</v>
      </c>
      <c r="AE11" s="202"/>
      <c r="AF11" s="205"/>
      <c r="AG11" s="205"/>
      <c r="AH11" s="202"/>
      <c r="AI11" s="202"/>
      <c r="AJ11" s="127"/>
      <c r="AK11" s="208"/>
      <c r="AL11" s="209"/>
    </row>
    <row r="13" spans="1:38">
      <c r="B13" s="222" t="s">
        <v>417</v>
      </c>
    </row>
  </sheetData>
  <mergeCells count="33">
    <mergeCell ref="N5:N6"/>
    <mergeCell ref="O5:O6"/>
    <mergeCell ref="I5:I6"/>
    <mergeCell ref="J5:J6"/>
    <mergeCell ref="K5:K6"/>
    <mergeCell ref="L5:L6"/>
    <mergeCell ref="M5:M6"/>
    <mergeCell ref="D5:D6"/>
    <mergeCell ref="E5:E6"/>
    <mergeCell ref="F5:F6"/>
    <mergeCell ref="G5:G6"/>
    <mergeCell ref="H5:H6"/>
    <mergeCell ref="AA5:AA6"/>
    <mergeCell ref="V5:V6"/>
    <mergeCell ref="AC5:AC6"/>
    <mergeCell ref="W5:W6"/>
    <mergeCell ref="P4:U4"/>
    <mergeCell ref="AB5:AB6"/>
    <mergeCell ref="P5:U5"/>
    <mergeCell ref="B5:B6"/>
    <mergeCell ref="AL5:AL6"/>
    <mergeCell ref="AJ5:AJ6"/>
    <mergeCell ref="C5:C6"/>
    <mergeCell ref="AK5:AK6"/>
    <mergeCell ref="AD5:AD6"/>
    <mergeCell ref="AE5:AE6"/>
    <mergeCell ref="AF5:AF6"/>
    <mergeCell ref="AG5:AG6"/>
    <mergeCell ref="AH5:AH6"/>
    <mergeCell ref="AI5:AI6"/>
    <mergeCell ref="X5:X6"/>
    <mergeCell ref="Y5:Y6"/>
    <mergeCell ref="Z5:Z6"/>
  </mergeCells>
  <dataValidations count="5">
    <dataValidation type="list" allowBlank="1" showInputMessage="1" showErrorMessage="1" sqref="W7:W11" xr:uid="{815BADC2-3765-4D81-AD98-0C976CB102B1}">
      <formula1>"CO,CQ,CO&amp;CQ"</formula1>
    </dataValidation>
    <dataValidation type="list" allowBlank="1" showInputMessage="1" showErrorMessage="1" sqref="V7:V11" xr:uid="{77C2C04C-E56E-4E88-B108-5C0BF6037DE0}">
      <formula1>",Need (cần)"</formula1>
    </dataValidation>
    <dataValidation type="list" allowBlank="1" showInputMessage="1" showErrorMessage="1" sqref="AH7:AH11" xr:uid="{5C1A668E-785B-4D98-8D72-3059C897A8DF}">
      <formula1>" ,O"</formula1>
    </dataValidation>
    <dataValidation type="list" allowBlank="1" showInputMessage="1" showErrorMessage="1" sqref="G7:G11" xr:uid="{7F7347B3-5DAA-4C87-8E51-6DD2BEDF0787}">
      <formula1>"A,E,Ngoài danh mục"</formula1>
    </dataValidation>
    <dataValidation type="list" allowBlank="1" showInputMessage="1" showErrorMessage="1" sqref="AD7:AD11" xr:uid="{3F9C1713-28F5-4352-8BA7-DD67B13A4FC3}">
      <formula1>"O,X"</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A1E5C-DB08-4242-BF7A-18B493451418}">
  <dimension ref="A2:AF10"/>
  <sheetViews>
    <sheetView workbookViewId="0">
      <selection activeCell="E15" sqref="E15"/>
    </sheetView>
  </sheetViews>
  <sheetFormatPr defaultRowHeight="14.5"/>
  <sheetData>
    <row r="2" spans="1:32" ht="21">
      <c r="A2" s="76" t="s">
        <v>131</v>
      </c>
    </row>
    <row r="3" spans="1:32" ht="13.5" customHeight="1"/>
    <row r="4" spans="1:32" ht="36" customHeight="1">
      <c r="A4" s="381" t="s">
        <v>132</v>
      </c>
      <c r="B4" s="382" t="s">
        <v>142</v>
      </c>
      <c r="C4" s="382" t="s">
        <v>42</v>
      </c>
      <c r="D4" s="382" t="s">
        <v>74</v>
      </c>
      <c r="E4" s="382" t="s">
        <v>144</v>
      </c>
      <c r="F4" s="382" t="s">
        <v>141</v>
      </c>
      <c r="G4" s="382" t="s">
        <v>112</v>
      </c>
      <c r="H4" s="382" t="s">
        <v>40</v>
      </c>
      <c r="I4" s="382" t="s">
        <v>41</v>
      </c>
      <c r="J4" s="382" t="s">
        <v>145</v>
      </c>
      <c r="K4" s="382" t="s">
        <v>151</v>
      </c>
      <c r="L4" s="382" t="s">
        <v>37</v>
      </c>
      <c r="M4" s="383" t="s">
        <v>38</v>
      </c>
      <c r="N4" s="383" t="s">
        <v>64</v>
      </c>
      <c r="O4" s="353" t="s">
        <v>144</v>
      </c>
      <c r="P4" s="353" t="s">
        <v>146</v>
      </c>
      <c r="Q4" s="353" t="s">
        <v>112</v>
      </c>
      <c r="R4" s="353" t="s">
        <v>40</v>
      </c>
      <c r="S4" s="353" t="s">
        <v>41</v>
      </c>
      <c r="T4" s="353" t="s">
        <v>145</v>
      </c>
      <c r="U4" s="353" t="s">
        <v>148</v>
      </c>
      <c r="V4" s="353" t="s">
        <v>149</v>
      </c>
      <c r="W4" s="353" t="s">
        <v>152</v>
      </c>
      <c r="X4" s="353" t="s">
        <v>150</v>
      </c>
      <c r="Y4" s="353" t="s">
        <v>69</v>
      </c>
      <c r="Z4" s="353" t="s">
        <v>147</v>
      </c>
      <c r="AA4" s="353" t="s">
        <v>153</v>
      </c>
      <c r="AB4" s="68"/>
      <c r="AC4" s="68"/>
      <c r="AD4" s="68"/>
      <c r="AE4" s="68"/>
      <c r="AF4" s="68"/>
    </row>
    <row r="5" spans="1:32" ht="52">
      <c r="A5" s="381"/>
      <c r="B5" s="382" t="s">
        <v>36</v>
      </c>
      <c r="C5" s="382"/>
      <c r="D5" s="382"/>
      <c r="E5" s="382"/>
      <c r="F5" s="382"/>
      <c r="G5" s="382"/>
      <c r="H5" s="382"/>
      <c r="I5" s="382"/>
      <c r="J5" s="382"/>
      <c r="K5" s="382"/>
      <c r="L5" s="382"/>
      <c r="M5" s="384"/>
      <c r="N5" s="384"/>
      <c r="O5" s="353"/>
      <c r="P5" s="353"/>
      <c r="Q5" s="353"/>
      <c r="R5" s="353"/>
      <c r="S5" s="353"/>
      <c r="T5" s="353"/>
      <c r="U5" s="353"/>
      <c r="V5" s="353"/>
      <c r="W5" s="353"/>
      <c r="X5" s="353"/>
      <c r="Y5" s="353"/>
      <c r="Z5" s="353"/>
      <c r="AA5" s="353"/>
      <c r="AB5" s="73" t="s">
        <v>71</v>
      </c>
      <c r="AC5" s="73" t="s">
        <v>70</v>
      </c>
      <c r="AD5" s="73" t="s">
        <v>122</v>
      </c>
      <c r="AE5" s="73" t="s">
        <v>123</v>
      </c>
      <c r="AF5" s="57" t="s">
        <v>130</v>
      </c>
    </row>
    <row r="6" spans="1:32">
      <c r="A6" s="75"/>
      <c r="B6" s="80"/>
      <c r="C6" s="81"/>
      <c r="D6" s="81"/>
      <c r="E6" s="81"/>
      <c r="F6" s="81" t="str">
        <f>L6&amp;" "&amp;M6&amp;" "&amp;N6&amp;""&amp;O6&amp;" "&amp;P6&amp;" "&amp;Q6</f>
        <v xml:space="preserve">    </v>
      </c>
      <c r="G6" s="81"/>
      <c r="H6" s="81"/>
      <c r="I6" s="81"/>
      <c r="J6" s="81"/>
      <c r="K6" s="81"/>
      <c r="L6" s="81"/>
      <c r="M6" s="81"/>
      <c r="N6" s="82"/>
      <c r="O6" s="70"/>
      <c r="P6" s="70"/>
      <c r="Q6" s="70"/>
      <c r="R6" s="70"/>
      <c r="S6" s="70"/>
      <c r="T6" s="70"/>
      <c r="U6" s="70"/>
      <c r="V6" s="70"/>
      <c r="W6" s="70"/>
      <c r="X6" s="70"/>
      <c r="Y6" s="70"/>
      <c r="Z6" s="70"/>
      <c r="AA6" s="70"/>
      <c r="AB6" s="72"/>
      <c r="AC6" s="72"/>
      <c r="AD6" s="72"/>
      <c r="AE6" s="72"/>
      <c r="AF6" s="72"/>
    </row>
    <row r="7" spans="1:32">
      <c r="A7" s="75"/>
      <c r="B7" s="80"/>
      <c r="C7" s="81"/>
      <c r="D7" s="81"/>
      <c r="E7" s="81"/>
      <c r="F7" s="81" t="str">
        <f>L7&amp;" "&amp;M7&amp;" "&amp;N7&amp;""&amp;O7&amp;" "&amp;P7&amp;" "&amp;Q7</f>
        <v xml:space="preserve">    </v>
      </c>
      <c r="G7" s="81"/>
      <c r="H7" s="81"/>
      <c r="I7" s="81"/>
      <c r="J7" s="81"/>
      <c r="K7" s="81"/>
      <c r="L7" s="81"/>
      <c r="M7" s="81"/>
      <c r="N7" s="82"/>
      <c r="O7" s="70"/>
      <c r="P7" s="70"/>
      <c r="Q7" s="70"/>
      <c r="R7" s="70"/>
      <c r="S7" s="70"/>
      <c r="T7" s="70"/>
      <c r="U7" s="70"/>
      <c r="V7" s="70"/>
      <c r="W7" s="70"/>
      <c r="X7" s="70"/>
      <c r="Y7" s="70"/>
      <c r="Z7" s="70"/>
      <c r="AA7" s="70"/>
      <c r="AB7" s="72"/>
      <c r="AC7" s="72"/>
      <c r="AD7" s="72"/>
      <c r="AE7" s="72"/>
      <c r="AF7" s="72"/>
    </row>
    <row r="8" spans="1:32">
      <c r="A8" s="75"/>
      <c r="B8" s="80"/>
      <c r="C8" s="81"/>
      <c r="D8" s="81"/>
      <c r="E8" s="81"/>
      <c r="F8" s="81" t="str">
        <f>L8&amp;" "&amp;M8&amp;" "&amp;N8&amp;""&amp;O8&amp;" "&amp;P8&amp;" "&amp;Q8</f>
        <v xml:space="preserve">    </v>
      </c>
      <c r="G8" s="81"/>
      <c r="H8" s="81"/>
      <c r="I8" s="81"/>
      <c r="J8" s="81"/>
      <c r="K8" s="81"/>
      <c r="L8" s="81"/>
      <c r="M8" s="81"/>
      <c r="N8" s="82"/>
      <c r="O8" s="70"/>
      <c r="P8" s="70"/>
      <c r="Q8" s="70"/>
      <c r="R8" s="70"/>
      <c r="S8" s="70"/>
      <c r="T8" s="70"/>
      <c r="U8" s="70"/>
      <c r="V8" s="70"/>
      <c r="W8" s="70"/>
      <c r="X8" s="70"/>
      <c r="Y8" s="70"/>
      <c r="Z8" s="70"/>
      <c r="AA8" s="70"/>
    </row>
    <row r="9" spans="1:32">
      <c r="A9" s="75"/>
      <c r="B9" s="80"/>
      <c r="C9" s="81"/>
      <c r="D9" s="81"/>
      <c r="E9" s="81"/>
      <c r="F9" s="81" t="str">
        <f>L9&amp;" "&amp;M9&amp;" "&amp;N9&amp;""&amp;O9&amp;" "&amp;P9&amp;" "&amp;Q9</f>
        <v xml:space="preserve">    </v>
      </c>
      <c r="G9" s="81"/>
      <c r="H9" s="81"/>
      <c r="I9" s="81"/>
      <c r="J9" s="81"/>
      <c r="K9" s="81"/>
      <c r="L9" s="81"/>
      <c r="M9" s="81"/>
      <c r="N9" s="82"/>
      <c r="O9" s="70"/>
      <c r="P9" s="70"/>
      <c r="Q9" s="70"/>
      <c r="R9" s="70"/>
      <c r="S9" s="70"/>
      <c r="T9" s="70"/>
      <c r="U9" s="70"/>
      <c r="V9" s="70"/>
      <c r="W9" s="70"/>
      <c r="X9" s="70"/>
      <c r="Y9" s="70"/>
      <c r="Z9" s="70"/>
      <c r="AA9" s="70"/>
    </row>
    <row r="10" spans="1:32">
      <c r="A10" s="75"/>
      <c r="B10" s="80"/>
      <c r="C10" s="81"/>
      <c r="D10" s="81"/>
      <c r="E10" s="81"/>
      <c r="F10" s="81" t="str">
        <f>L10&amp;" "&amp;M10&amp;" "&amp;N10&amp;""&amp;O10&amp;" "&amp;P10&amp;" "&amp;Q10</f>
        <v xml:space="preserve">    </v>
      </c>
      <c r="G10" s="81"/>
      <c r="H10" s="81"/>
      <c r="I10" s="81"/>
      <c r="J10" s="81"/>
      <c r="K10" s="81"/>
      <c r="L10" s="81"/>
      <c r="M10" s="81"/>
      <c r="N10" s="82"/>
      <c r="O10" s="70"/>
      <c r="P10" s="70"/>
      <c r="Q10" s="70"/>
      <c r="R10" s="70"/>
      <c r="S10" s="70"/>
      <c r="T10" s="70"/>
      <c r="U10" s="70"/>
      <c r="V10" s="70"/>
      <c r="W10" s="70"/>
      <c r="X10" s="70"/>
      <c r="Y10" s="70"/>
      <c r="Z10" s="70"/>
      <c r="AA10" s="70"/>
    </row>
  </sheetData>
  <mergeCells count="27">
    <mergeCell ref="AA4:AA5"/>
    <mergeCell ref="U4:U5"/>
    <mergeCell ref="V4:V5"/>
    <mergeCell ref="W4:W5"/>
    <mergeCell ref="X4:X5"/>
    <mergeCell ref="Y4:Y5"/>
    <mergeCell ref="P4:P5"/>
    <mergeCell ref="Z4:Z5"/>
    <mergeCell ref="S4:S5"/>
    <mergeCell ref="T4:T5"/>
    <mergeCell ref="R4:R5"/>
    <mergeCell ref="A4:A5"/>
    <mergeCell ref="H4:H5"/>
    <mergeCell ref="I4:I5"/>
    <mergeCell ref="J4:J5"/>
    <mergeCell ref="Q4:Q5"/>
    <mergeCell ref="B4:B5"/>
    <mergeCell ref="C4:C5"/>
    <mergeCell ref="D4:D5"/>
    <mergeCell ref="E4:E5"/>
    <mergeCell ref="F4:F5"/>
    <mergeCell ref="G4:G5"/>
    <mergeCell ref="K4:K5"/>
    <mergeCell ref="L4:L5"/>
    <mergeCell ref="M4:M5"/>
    <mergeCell ref="N4:N5"/>
    <mergeCell ref="O4:O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CB2-79DE-481E-BEAF-244863EB8D7E}">
  <dimension ref="A1:Y27"/>
  <sheetViews>
    <sheetView topLeftCell="A7" zoomScale="70" zoomScaleNormal="70" workbookViewId="0">
      <selection activeCell="E43" sqref="E43"/>
    </sheetView>
  </sheetViews>
  <sheetFormatPr defaultColWidth="9.1796875" defaultRowHeight="13"/>
  <cols>
    <col min="1" max="1" width="31.90625" style="78" customWidth="1"/>
    <col min="2" max="2" width="19.1796875" style="69" customWidth="1"/>
    <col min="3" max="3" width="9.7265625" style="69" customWidth="1"/>
    <col min="4" max="4" width="15.453125" style="69" bestFit="1" customWidth="1"/>
    <col min="5" max="5" width="14.81640625" style="69" customWidth="1"/>
    <col min="6" max="6" width="14.54296875" style="69" customWidth="1"/>
    <col min="7" max="8" width="9.1796875" style="69"/>
    <col min="9" max="9" width="14.453125" style="69" customWidth="1"/>
    <col min="10" max="10" width="17.81640625" style="69" customWidth="1"/>
    <col min="11" max="11" width="13.1796875" style="69" customWidth="1"/>
    <col min="12" max="12" width="14.54296875" style="69" customWidth="1"/>
    <col min="13" max="13" width="15.54296875" style="69" customWidth="1"/>
    <col min="14" max="14" width="15.1796875" style="69" customWidth="1"/>
    <col min="15" max="15" width="21.1796875" style="69" customWidth="1"/>
    <col min="16" max="20" width="12.1796875" style="69" customWidth="1"/>
    <col min="21" max="26" width="9.1796875" style="69"/>
    <col min="27" max="27" width="23.54296875" style="69" customWidth="1"/>
    <col min="28" max="16384" width="9.1796875" style="69"/>
  </cols>
  <sheetData>
    <row r="1" spans="1:5">
      <c r="A1" s="78" t="s">
        <v>58</v>
      </c>
      <c r="B1" s="69" t="s">
        <v>59</v>
      </c>
    </row>
    <row r="2" spans="1:5">
      <c r="A2" s="78" t="s">
        <v>60</v>
      </c>
      <c r="B2" s="69" t="s">
        <v>61</v>
      </c>
    </row>
    <row r="4" spans="1:5">
      <c r="A4" s="78" t="s">
        <v>62</v>
      </c>
      <c r="B4" s="69" t="s">
        <v>138</v>
      </c>
      <c r="D4" s="79"/>
      <c r="E4" s="79"/>
    </row>
    <row r="6" spans="1:5">
      <c r="A6" s="78" t="s">
        <v>66</v>
      </c>
    </row>
    <row r="7" spans="1:5">
      <c r="B7" s="69" t="s">
        <v>139</v>
      </c>
      <c r="C7" s="79" t="s">
        <v>67</v>
      </c>
    </row>
    <row r="8" spans="1:5">
      <c r="B8" s="69" t="s">
        <v>68</v>
      </c>
    </row>
    <row r="9" spans="1:5">
      <c r="B9" s="78" t="s">
        <v>155</v>
      </c>
    </row>
    <row r="10" spans="1:5">
      <c r="B10" s="69" t="s">
        <v>140</v>
      </c>
    </row>
    <row r="11" spans="1:5">
      <c r="B11" s="78" t="s">
        <v>156</v>
      </c>
    </row>
    <row r="12" spans="1:5">
      <c r="B12" s="83" t="s">
        <v>252</v>
      </c>
    </row>
    <row r="13" spans="1:5">
      <c r="B13" s="69">
        <v>1</v>
      </c>
      <c r="C13" s="69" t="s">
        <v>157</v>
      </c>
    </row>
    <row r="14" spans="1:5">
      <c r="C14" s="78" t="s">
        <v>158</v>
      </c>
    </row>
    <row r="15" spans="1:5">
      <c r="B15" s="69">
        <v>2</v>
      </c>
      <c r="C15" s="69" t="s">
        <v>143</v>
      </c>
    </row>
    <row r="16" spans="1:5">
      <c r="C16" s="78" t="s">
        <v>154</v>
      </c>
    </row>
    <row r="18" spans="1:25" ht="13" customHeight="1">
      <c r="A18" s="356" t="s">
        <v>251</v>
      </c>
      <c r="B18" s="356" t="s">
        <v>226</v>
      </c>
      <c r="C18" s="356" t="s">
        <v>227</v>
      </c>
      <c r="D18" s="356" t="s">
        <v>228</v>
      </c>
      <c r="E18" s="356" t="s">
        <v>229</v>
      </c>
      <c r="F18" s="356" t="s">
        <v>230</v>
      </c>
      <c r="G18" s="356" t="s">
        <v>231</v>
      </c>
      <c r="H18" s="356" t="s">
        <v>232</v>
      </c>
      <c r="I18" s="356" t="s">
        <v>233</v>
      </c>
      <c r="J18" s="356" t="s">
        <v>234</v>
      </c>
      <c r="K18" s="356"/>
      <c r="L18" s="356"/>
      <c r="M18" s="356"/>
      <c r="N18" s="356"/>
      <c r="O18" s="356"/>
      <c r="P18" s="356" t="s">
        <v>235</v>
      </c>
      <c r="Q18" s="356" t="s">
        <v>236</v>
      </c>
      <c r="R18" s="356" t="s">
        <v>237</v>
      </c>
      <c r="S18" s="356" t="s">
        <v>238</v>
      </c>
      <c r="T18" s="356" t="s">
        <v>239</v>
      </c>
      <c r="U18" s="356" t="s">
        <v>240</v>
      </c>
      <c r="V18" s="356" t="s">
        <v>241</v>
      </c>
      <c r="W18" s="356" t="s">
        <v>242</v>
      </c>
      <c r="X18" s="356" t="s">
        <v>243</v>
      </c>
      <c r="Y18" s="356" t="s">
        <v>250</v>
      </c>
    </row>
    <row r="19" spans="1:25" ht="69">
      <c r="A19" s="356"/>
      <c r="B19" s="356"/>
      <c r="C19" s="356"/>
      <c r="D19" s="356"/>
      <c r="E19" s="356"/>
      <c r="F19" s="356"/>
      <c r="G19" s="356"/>
      <c r="H19" s="356"/>
      <c r="I19" s="356"/>
      <c r="J19" s="128" t="s">
        <v>244</v>
      </c>
      <c r="K19" s="128" t="s">
        <v>245</v>
      </c>
      <c r="L19" s="128" t="s">
        <v>246</v>
      </c>
      <c r="M19" s="128" t="s">
        <v>247</v>
      </c>
      <c r="N19" s="128" t="s">
        <v>248</v>
      </c>
      <c r="O19" s="128" t="s">
        <v>249</v>
      </c>
      <c r="P19" s="356"/>
      <c r="Q19" s="356"/>
      <c r="R19" s="356"/>
      <c r="S19" s="356"/>
      <c r="T19" s="356"/>
      <c r="U19" s="356"/>
      <c r="V19" s="356"/>
      <c r="W19" s="356"/>
      <c r="X19" s="356"/>
      <c r="Y19" s="356"/>
    </row>
    <row r="20" spans="1:25" s="97" customFormat="1">
      <c r="A20" s="104"/>
      <c r="B20" s="99"/>
      <c r="C20" s="99"/>
      <c r="D20" s="99"/>
      <c r="E20" s="99"/>
      <c r="F20" s="99"/>
      <c r="G20" s="99"/>
      <c r="H20" s="99"/>
      <c r="I20" s="99"/>
      <c r="J20" s="99"/>
      <c r="K20" s="99"/>
      <c r="L20" s="99"/>
      <c r="M20" s="99"/>
      <c r="N20" s="99"/>
      <c r="O20" s="100"/>
      <c r="P20" s="100"/>
      <c r="Q20" s="100"/>
      <c r="R20" s="100"/>
      <c r="S20" s="100"/>
      <c r="T20" s="99"/>
      <c r="U20" s="99"/>
      <c r="V20" s="99"/>
      <c r="W20" s="99"/>
      <c r="X20" s="101"/>
      <c r="Y20" s="99"/>
    </row>
    <row r="21" spans="1:25" s="97" customFormat="1">
      <c r="A21" s="104"/>
      <c r="B21" s="99"/>
      <c r="C21" s="99"/>
      <c r="D21" s="99"/>
      <c r="E21" s="99"/>
      <c r="F21" s="99"/>
      <c r="G21" s="99"/>
      <c r="H21" s="99"/>
      <c r="I21" s="99"/>
      <c r="J21" s="99"/>
      <c r="K21" s="100"/>
      <c r="L21" s="99"/>
      <c r="M21" s="99"/>
      <c r="N21" s="99"/>
      <c r="O21" s="99"/>
      <c r="P21" s="99"/>
      <c r="Q21" s="99"/>
      <c r="R21" s="99"/>
      <c r="S21" s="99"/>
      <c r="T21" s="99"/>
      <c r="U21" s="99"/>
      <c r="V21" s="99"/>
      <c r="W21" s="99"/>
      <c r="X21" s="101"/>
      <c r="Y21" s="99"/>
    </row>
    <row r="22" spans="1:25" s="97" customFormat="1">
      <c r="A22" s="104"/>
      <c r="B22" s="99"/>
      <c r="C22" s="99"/>
      <c r="D22" s="99"/>
      <c r="E22" s="99"/>
      <c r="F22" s="99"/>
      <c r="G22" s="99"/>
      <c r="H22" s="99"/>
      <c r="I22" s="99"/>
      <c r="J22" s="99"/>
      <c r="K22" s="99"/>
      <c r="L22" s="99"/>
      <c r="M22" s="99"/>
      <c r="N22" s="99"/>
      <c r="O22" s="99"/>
      <c r="P22" s="99"/>
      <c r="Q22" s="99"/>
      <c r="R22" s="99"/>
      <c r="S22" s="99"/>
      <c r="T22" s="99"/>
      <c r="U22" s="99"/>
      <c r="V22" s="99"/>
      <c r="W22" s="99"/>
      <c r="X22" s="101"/>
      <c r="Y22" s="99"/>
    </row>
    <row r="23" spans="1:25" s="97" customFormat="1" ht="14.5">
      <c r="A23" s="104"/>
      <c r="B23" s="175"/>
      <c r="C23" s="99"/>
      <c r="D23" s="99"/>
      <c r="E23" s="99"/>
      <c r="F23" s="99"/>
      <c r="G23" s="99"/>
      <c r="H23" s="99"/>
      <c r="I23" s="99"/>
      <c r="J23" s="99"/>
      <c r="K23" s="99"/>
      <c r="L23" s="99"/>
      <c r="M23" s="99"/>
      <c r="N23" s="99"/>
      <c r="O23" s="99"/>
      <c r="P23" s="99"/>
      <c r="Q23" s="99"/>
      <c r="R23" s="99"/>
      <c r="S23" s="99"/>
      <c r="T23" s="99"/>
      <c r="U23" s="99"/>
      <c r="V23" s="102"/>
      <c r="W23" s="102"/>
      <c r="X23" s="102"/>
      <c r="Y23" s="103"/>
    </row>
    <row r="24" spans="1:25" s="97" customFormat="1" ht="14.5">
      <c r="A24" s="95"/>
      <c r="B24" s="176"/>
      <c r="C24" s="96"/>
      <c r="D24" s="96"/>
      <c r="E24" s="96"/>
      <c r="F24" s="96"/>
      <c r="G24" s="96"/>
      <c r="H24" s="96"/>
      <c r="I24" s="96"/>
      <c r="J24" s="96"/>
      <c r="K24" s="96"/>
      <c r="L24" s="96"/>
      <c r="M24" s="96"/>
      <c r="N24" s="96"/>
      <c r="O24" s="96"/>
      <c r="P24" s="96"/>
      <c r="Q24" s="96"/>
      <c r="R24" s="96"/>
      <c r="S24" s="96"/>
      <c r="T24" s="96"/>
      <c r="U24" s="96"/>
      <c r="V24" s="98"/>
      <c r="W24" s="98"/>
      <c r="X24" s="98"/>
    </row>
    <row r="26" spans="1:25">
      <c r="C26" s="78"/>
    </row>
    <row r="27" spans="1:25">
      <c r="A27" s="105" t="s">
        <v>253</v>
      </c>
      <c r="C27" s="78" t="s">
        <v>476</v>
      </c>
    </row>
  </sheetData>
  <mergeCells count="20">
    <mergeCell ref="F18:F19"/>
    <mergeCell ref="U18:U19"/>
    <mergeCell ref="V18:V19"/>
    <mergeCell ref="W18:W19"/>
    <mergeCell ref="Q18:Q19"/>
    <mergeCell ref="R18:R19"/>
    <mergeCell ref="T18:T19"/>
    <mergeCell ref="S18:S19"/>
    <mergeCell ref="X18:X19"/>
    <mergeCell ref="Y18:Y19"/>
    <mergeCell ref="G18:G19"/>
    <mergeCell ref="H18:H19"/>
    <mergeCell ref="I18:I19"/>
    <mergeCell ref="J18:O18"/>
    <mergeCell ref="P18:P19"/>
    <mergeCell ref="A18:A19"/>
    <mergeCell ref="B18:B19"/>
    <mergeCell ref="C18:C19"/>
    <mergeCell ref="D18:D19"/>
    <mergeCell ref="E18:E19"/>
  </mergeCells>
  <dataValidations count="1">
    <dataValidation type="list" allowBlank="1" showInputMessage="1" showErrorMessage="1" sqref="X20:X22" xr:uid="{21B88D9B-313D-4DA7-8853-7551CD19E6B3}">
      <formula1>"O,X"</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7C9E-4941-436C-A9F6-398B3FF6C1AD}">
  <dimension ref="A1:M70"/>
  <sheetViews>
    <sheetView topLeftCell="A16" zoomScale="130" zoomScaleNormal="130" workbookViewId="0">
      <selection activeCell="L70" sqref="L70"/>
    </sheetView>
  </sheetViews>
  <sheetFormatPr defaultRowHeight="10.5"/>
  <cols>
    <col min="1" max="1" width="13.7265625" style="110" customWidth="1"/>
    <col min="2" max="2" width="34.90625" style="106" customWidth="1"/>
    <col min="3" max="3" width="12.453125" style="106" customWidth="1"/>
    <col min="4" max="4" width="14.1796875" style="106" customWidth="1"/>
    <col min="5" max="5" width="19.81640625" style="106" customWidth="1"/>
    <col min="6" max="6" width="13.453125" style="106" customWidth="1"/>
    <col min="7" max="7" width="7.54296875" style="121" customWidth="1"/>
    <col min="8" max="8" width="10.08984375" style="110" customWidth="1"/>
    <col min="9" max="10" width="8.7265625" style="106"/>
    <col min="11" max="11" width="20.26953125" style="106" customWidth="1"/>
    <col min="12" max="12" width="14" style="106" customWidth="1"/>
    <col min="13" max="13" width="14.54296875" style="106" customWidth="1"/>
    <col min="14" max="14" width="21.7265625" style="106" customWidth="1"/>
    <col min="15" max="15" width="13.81640625" style="106" customWidth="1"/>
    <col min="16" max="16384" width="8.7265625" style="106"/>
  </cols>
  <sheetData>
    <row r="1" spans="1:13">
      <c r="A1" s="107" t="s">
        <v>260</v>
      </c>
    </row>
    <row r="2" spans="1:13">
      <c r="A2" s="107" t="s">
        <v>261</v>
      </c>
    </row>
    <row r="3" spans="1:13">
      <c r="E3" s="109"/>
    </row>
    <row r="4" spans="1:13" s="126" customFormat="1">
      <c r="A4" s="123"/>
      <c r="B4" s="124"/>
      <c r="C4" s="124"/>
      <c r="D4" s="124" t="s">
        <v>256</v>
      </c>
      <c r="E4" s="125" t="s">
        <v>174</v>
      </c>
      <c r="F4" s="399" t="s">
        <v>219</v>
      </c>
      <c r="G4" s="399"/>
      <c r="H4" s="123" t="s">
        <v>62</v>
      </c>
      <c r="J4" s="126" t="s">
        <v>181</v>
      </c>
      <c r="K4" s="126" t="s">
        <v>259</v>
      </c>
    </row>
    <row r="5" spans="1:13">
      <c r="A5" s="400" t="s">
        <v>262</v>
      </c>
      <c r="B5" s="113" t="s">
        <v>180</v>
      </c>
      <c r="C5" s="113" t="s">
        <v>170</v>
      </c>
      <c r="D5" s="113" t="s">
        <v>169</v>
      </c>
      <c r="E5" s="114" t="s">
        <v>175</v>
      </c>
      <c r="F5" s="113" t="s">
        <v>121</v>
      </c>
      <c r="G5" s="122" t="s">
        <v>121</v>
      </c>
      <c r="H5" s="111"/>
    </row>
    <row r="6" spans="1:13">
      <c r="A6" s="400"/>
      <c r="B6" s="113" t="s">
        <v>178</v>
      </c>
      <c r="C6" s="113" t="s">
        <v>171</v>
      </c>
      <c r="D6" s="113" t="s">
        <v>169</v>
      </c>
      <c r="E6" s="114" t="s">
        <v>176</v>
      </c>
      <c r="F6" s="113" t="s">
        <v>255</v>
      </c>
      <c r="G6" s="395" t="s">
        <v>181</v>
      </c>
      <c r="H6" s="390" t="s">
        <v>259</v>
      </c>
      <c r="K6" s="106" t="s">
        <v>284</v>
      </c>
    </row>
    <row r="7" spans="1:13">
      <c r="A7" s="400"/>
      <c r="B7" s="113" t="s">
        <v>179</v>
      </c>
      <c r="C7" s="113" t="s">
        <v>172</v>
      </c>
      <c r="D7" s="113" t="s">
        <v>169</v>
      </c>
      <c r="E7" s="114" t="s">
        <v>177</v>
      </c>
      <c r="F7" s="113" t="s">
        <v>254</v>
      </c>
      <c r="G7" s="395"/>
      <c r="H7" s="391"/>
      <c r="K7" s="106" t="s">
        <v>289</v>
      </c>
      <c r="L7" s="108" t="s">
        <v>285</v>
      </c>
      <c r="M7" s="109" t="s">
        <v>297</v>
      </c>
    </row>
    <row r="8" spans="1:13">
      <c r="A8" s="400"/>
      <c r="B8" s="113" t="s">
        <v>263</v>
      </c>
      <c r="C8" s="113" t="s">
        <v>170</v>
      </c>
      <c r="D8" s="113" t="s">
        <v>168</v>
      </c>
      <c r="E8" s="114" t="s">
        <v>176</v>
      </c>
      <c r="F8" s="113" t="s">
        <v>255</v>
      </c>
      <c r="G8" s="395"/>
      <c r="H8" s="391"/>
      <c r="K8" s="106" t="s">
        <v>286</v>
      </c>
      <c r="L8" s="108" t="s">
        <v>285</v>
      </c>
    </row>
    <row r="9" spans="1:13">
      <c r="A9" s="400"/>
      <c r="B9" s="113" t="s">
        <v>264</v>
      </c>
      <c r="C9" s="113" t="s">
        <v>171</v>
      </c>
      <c r="D9" s="113" t="s">
        <v>168</v>
      </c>
      <c r="E9" s="114" t="s">
        <v>177</v>
      </c>
      <c r="F9" s="113" t="s">
        <v>254</v>
      </c>
      <c r="G9" s="395"/>
      <c r="H9" s="392"/>
      <c r="K9" s="106" t="s">
        <v>287</v>
      </c>
    </row>
    <row r="10" spans="1:13">
      <c r="A10" s="400"/>
      <c r="B10" s="400" t="s">
        <v>265</v>
      </c>
      <c r="C10" s="113" t="s">
        <v>170</v>
      </c>
      <c r="D10" s="113" t="s">
        <v>168</v>
      </c>
      <c r="E10" s="114" t="s">
        <v>176</v>
      </c>
      <c r="F10" s="113" t="s">
        <v>255</v>
      </c>
      <c r="G10" s="395" t="s">
        <v>183</v>
      </c>
      <c r="H10" s="390" t="s">
        <v>278</v>
      </c>
      <c r="K10" s="106" t="s">
        <v>288</v>
      </c>
      <c r="L10" s="108" t="s">
        <v>285</v>
      </c>
    </row>
    <row r="11" spans="1:13">
      <c r="A11" s="400"/>
      <c r="B11" s="400"/>
      <c r="C11" s="113" t="s">
        <v>171</v>
      </c>
      <c r="D11" s="113" t="s">
        <v>168</v>
      </c>
      <c r="E11" s="114" t="s">
        <v>177</v>
      </c>
      <c r="F11" s="113" t="s">
        <v>255</v>
      </c>
      <c r="G11" s="395"/>
      <c r="H11" s="391"/>
      <c r="K11" s="106" t="s">
        <v>182</v>
      </c>
    </row>
    <row r="12" spans="1:13">
      <c r="A12" s="400"/>
      <c r="B12" s="113" t="s">
        <v>266</v>
      </c>
      <c r="C12" s="113" t="s">
        <v>170</v>
      </c>
      <c r="D12" s="113" t="s">
        <v>169</v>
      </c>
      <c r="E12" s="114" t="s">
        <v>175</v>
      </c>
      <c r="F12" s="113" t="s">
        <v>254</v>
      </c>
      <c r="G12" s="395"/>
      <c r="H12" s="392"/>
    </row>
    <row r="13" spans="1:13" ht="14.25" customHeight="1">
      <c r="A13" s="111" t="s">
        <v>267</v>
      </c>
      <c r="B13" s="112" t="s">
        <v>257</v>
      </c>
      <c r="C13" s="112" t="s">
        <v>170</v>
      </c>
      <c r="D13" s="112" t="s">
        <v>72</v>
      </c>
      <c r="E13" s="115" t="s">
        <v>258</v>
      </c>
      <c r="F13" s="112" t="s">
        <v>254</v>
      </c>
      <c r="G13" s="122" t="s">
        <v>277</v>
      </c>
      <c r="H13" s="111"/>
    </row>
    <row r="14" spans="1:13" ht="14.25" customHeight="1">
      <c r="A14" s="111" t="s">
        <v>268</v>
      </c>
      <c r="B14" s="112"/>
      <c r="C14" s="112" t="s">
        <v>170</v>
      </c>
      <c r="D14" s="112" t="s">
        <v>168</v>
      </c>
      <c r="E14" s="115" t="s">
        <v>176</v>
      </c>
      <c r="F14" s="112" t="s">
        <v>121</v>
      </c>
      <c r="G14" s="122" t="s">
        <v>121</v>
      </c>
      <c r="H14" s="111"/>
      <c r="J14" s="126" t="s">
        <v>183</v>
      </c>
      <c r="K14" s="126" t="s">
        <v>278</v>
      </c>
    </row>
    <row r="15" spans="1:13">
      <c r="A15" s="396" t="s">
        <v>269</v>
      </c>
      <c r="B15" s="116"/>
      <c r="C15" s="116" t="s">
        <v>170</v>
      </c>
      <c r="D15" s="116" t="s">
        <v>168</v>
      </c>
      <c r="E15" s="117" t="s">
        <v>176</v>
      </c>
      <c r="F15" s="116" t="s">
        <v>255</v>
      </c>
      <c r="G15" s="395" t="s">
        <v>184</v>
      </c>
      <c r="H15" s="390" t="s">
        <v>279</v>
      </c>
    </row>
    <row r="16" spans="1:13">
      <c r="A16" s="396"/>
      <c r="B16" s="116"/>
      <c r="C16" s="116" t="s">
        <v>170</v>
      </c>
      <c r="D16" s="116" t="s">
        <v>169</v>
      </c>
      <c r="E16" s="117" t="s">
        <v>177</v>
      </c>
      <c r="F16" s="116" t="s">
        <v>254</v>
      </c>
      <c r="G16" s="395"/>
      <c r="H16" s="392"/>
      <c r="K16" s="106" t="s">
        <v>293</v>
      </c>
    </row>
    <row r="17" spans="1:13">
      <c r="A17" s="397" t="s">
        <v>270</v>
      </c>
      <c r="B17" s="118" t="s">
        <v>271</v>
      </c>
      <c r="C17" s="118" t="s">
        <v>170</v>
      </c>
      <c r="D17" s="118" t="s">
        <v>168</v>
      </c>
      <c r="E17" s="119" t="s">
        <v>176</v>
      </c>
      <c r="F17" s="118" t="s">
        <v>255</v>
      </c>
      <c r="G17" s="395" t="s">
        <v>185</v>
      </c>
      <c r="H17" s="390" t="s">
        <v>280</v>
      </c>
      <c r="K17" s="106" t="s">
        <v>294</v>
      </c>
    </row>
    <row r="18" spans="1:13">
      <c r="A18" s="398"/>
      <c r="B18" s="118" t="s">
        <v>272</v>
      </c>
      <c r="C18" s="118" t="s">
        <v>171</v>
      </c>
      <c r="D18" s="118" t="s">
        <v>168</v>
      </c>
      <c r="E18" s="119" t="s">
        <v>177</v>
      </c>
      <c r="F18" s="118" t="s">
        <v>281</v>
      </c>
      <c r="G18" s="395"/>
      <c r="H18" s="391"/>
      <c r="K18" s="106" t="s">
        <v>289</v>
      </c>
      <c r="L18" s="108" t="s">
        <v>285</v>
      </c>
      <c r="M18" s="109" t="s">
        <v>297</v>
      </c>
    </row>
    <row r="19" spans="1:13">
      <c r="A19" s="398"/>
      <c r="B19" s="118" t="s">
        <v>273</v>
      </c>
      <c r="C19" s="118" t="s">
        <v>172</v>
      </c>
      <c r="D19" s="118" t="s">
        <v>168</v>
      </c>
      <c r="E19" s="119" t="s">
        <v>176</v>
      </c>
      <c r="F19" s="118" t="s">
        <v>254</v>
      </c>
      <c r="G19" s="395"/>
      <c r="H19" s="391"/>
      <c r="K19" s="106" t="s">
        <v>286</v>
      </c>
      <c r="L19" s="108" t="s">
        <v>285</v>
      </c>
    </row>
    <row r="20" spans="1:13">
      <c r="A20" s="398"/>
      <c r="B20" s="118" t="s">
        <v>274</v>
      </c>
      <c r="C20" s="118" t="s">
        <v>173</v>
      </c>
      <c r="D20" s="118" t="s">
        <v>168</v>
      </c>
      <c r="E20" s="119" t="s">
        <v>177</v>
      </c>
      <c r="F20" s="118" t="s">
        <v>254</v>
      </c>
      <c r="G20" s="395"/>
      <c r="H20" s="392"/>
      <c r="K20" s="106" t="s">
        <v>290</v>
      </c>
      <c r="L20" s="108" t="s">
        <v>285</v>
      </c>
    </row>
    <row r="21" spans="1:13" ht="21">
      <c r="A21" s="398"/>
      <c r="B21" s="120" t="s">
        <v>276</v>
      </c>
      <c r="C21" s="118" t="s">
        <v>170</v>
      </c>
      <c r="D21" s="118" t="s">
        <v>168</v>
      </c>
      <c r="E21" s="119" t="s">
        <v>176</v>
      </c>
      <c r="F21" s="118" t="s">
        <v>254</v>
      </c>
      <c r="G21" s="122" t="s">
        <v>213</v>
      </c>
      <c r="H21" s="111" t="s">
        <v>282</v>
      </c>
      <c r="I21" s="129" t="s">
        <v>307</v>
      </c>
      <c r="K21" s="106" t="s">
        <v>182</v>
      </c>
    </row>
    <row r="22" spans="1:13">
      <c r="A22" s="398"/>
      <c r="B22" s="118" t="s">
        <v>412</v>
      </c>
      <c r="C22" s="118" t="s">
        <v>170</v>
      </c>
      <c r="D22" s="118" t="s">
        <v>168</v>
      </c>
      <c r="E22" s="119" t="s">
        <v>176</v>
      </c>
      <c r="F22" s="118" t="s">
        <v>254</v>
      </c>
      <c r="G22" s="122" t="s">
        <v>410</v>
      </c>
      <c r="H22" s="111" t="s">
        <v>418</v>
      </c>
      <c r="I22" s="129" t="s">
        <v>307</v>
      </c>
    </row>
    <row r="23" spans="1:13">
      <c r="A23" s="398"/>
      <c r="B23" s="219" t="s">
        <v>413</v>
      </c>
      <c r="C23" s="219" t="s">
        <v>170</v>
      </c>
      <c r="D23" s="118" t="s">
        <v>389</v>
      </c>
      <c r="E23" s="119" t="s">
        <v>177</v>
      </c>
      <c r="F23" s="118" t="s">
        <v>254</v>
      </c>
      <c r="G23" s="387" t="s">
        <v>396</v>
      </c>
      <c r="H23" s="390" t="s">
        <v>397</v>
      </c>
      <c r="I23" s="129" t="s">
        <v>307</v>
      </c>
    </row>
    <row r="24" spans="1:13">
      <c r="A24" s="398"/>
      <c r="B24" s="219" t="s">
        <v>414</v>
      </c>
      <c r="C24" s="219" t="s">
        <v>170</v>
      </c>
      <c r="D24" s="221" t="s">
        <v>387</v>
      </c>
      <c r="E24" s="119" t="s">
        <v>176</v>
      </c>
      <c r="F24" s="118" t="s">
        <v>254</v>
      </c>
      <c r="G24" s="388"/>
      <c r="H24" s="392"/>
      <c r="I24" s="129" t="s">
        <v>307</v>
      </c>
      <c r="J24" s="126" t="s">
        <v>184</v>
      </c>
      <c r="K24" s="126" t="s">
        <v>279</v>
      </c>
    </row>
    <row r="25" spans="1:13">
      <c r="A25" s="220"/>
      <c r="B25" s="220"/>
      <c r="C25" s="220"/>
      <c r="D25" s="221"/>
      <c r="E25" s="119"/>
      <c r="H25" s="111"/>
      <c r="I25" s="129" t="s">
        <v>307</v>
      </c>
    </row>
    <row r="26" spans="1:13">
      <c r="A26" s="385" t="s">
        <v>394</v>
      </c>
      <c r="B26" s="214" t="s">
        <v>395</v>
      </c>
      <c r="C26" s="112" t="s">
        <v>171</v>
      </c>
      <c r="D26" s="112" t="s">
        <v>168</v>
      </c>
      <c r="E26" s="115" t="s">
        <v>177</v>
      </c>
      <c r="F26" s="112" t="s">
        <v>255</v>
      </c>
      <c r="G26" s="387" t="s">
        <v>396</v>
      </c>
      <c r="H26" s="390" t="s">
        <v>397</v>
      </c>
      <c r="I26" s="129" t="s">
        <v>307</v>
      </c>
      <c r="K26" s="106" t="s">
        <v>291</v>
      </c>
    </row>
    <row r="27" spans="1:13">
      <c r="A27" s="386"/>
      <c r="B27" s="214" t="s">
        <v>415</v>
      </c>
      <c r="C27" s="112" t="s">
        <v>170</v>
      </c>
      <c r="D27" s="112" t="s">
        <v>387</v>
      </c>
      <c r="E27" s="115" t="s">
        <v>176</v>
      </c>
      <c r="F27" s="112" t="s">
        <v>254</v>
      </c>
      <c r="G27" s="388"/>
      <c r="H27" s="391"/>
      <c r="I27" s="129" t="s">
        <v>307</v>
      </c>
      <c r="K27" s="106" t="s">
        <v>292</v>
      </c>
    </row>
    <row r="28" spans="1:13">
      <c r="A28" s="386"/>
      <c r="B28" s="214" t="s">
        <v>415</v>
      </c>
      <c r="C28" s="112" t="s">
        <v>170</v>
      </c>
      <c r="D28" s="112" t="s">
        <v>389</v>
      </c>
      <c r="E28" s="115" t="s">
        <v>175</v>
      </c>
      <c r="F28" s="112" t="s">
        <v>254</v>
      </c>
      <c r="G28" s="389"/>
      <c r="H28" s="392"/>
      <c r="I28" s="129" t="s">
        <v>307</v>
      </c>
      <c r="K28" s="106" t="s">
        <v>294</v>
      </c>
    </row>
    <row r="29" spans="1:13">
      <c r="I29" s="129" t="s">
        <v>307</v>
      </c>
      <c r="K29" s="106" t="s">
        <v>289</v>
      </c>
      <c r="L29" s="108" t="s">
        <v>285</v>
      </c>
      <c r="M29" s="109" t="s">
        <v>298</v>
      </c>
    </row>
    <row r="30" spans="1:13">
      <c r="B30" s="106" t="s">
        <v>416</v>
      </c>
      <c r="C30" s="116" t="s">
        <v>170</v>
      </c>
      <c r="D30" s="116" t="s">
        <v>168</v>
      </c>
      <c r="E30" s="115" t="s">
        <v>177</v>
      </c>
      <c r="F30" s="112" t="s">
        <v>255</v>
      </c>
      <c r="G30" s="393" t="s">
        <v>275</v>
      </c>
      <c r="H30" s="394" t="s">
        <v>283</v>
      </c>
      <c r="K30" s="106" t="s">
        <v>286</v>
      </c>
      <c r="L30" s="108" t="s">
        <v>285</v>
      </c>
    </row>
    <row r="31" spans="1:13">
      <c r="C31" s="116" t="s">
        <v>170</v>
      </c>
      <c r="D31" s="116" t="s">
        <v>169</v>
      </c>
      <c r="E31" s="115" t="s">
        <v>176</v>
      </c>
      <c r="F31" s="112" t="s">
        <v>254</v>
      </c>
      <c r="G31" s="393"/>
      <c r="H31" s="394"/>
      <c r="K31" s="106" t="s">
        <v>290</v>
      </c>
      <c r="L31" s="108" t="s">
        <v>285</v>
      </c>
    </row>
    <row r="32" spans="1:13">
      <c r="K32" s="106" t="s">
        <v>182</v>
      </c>
    </row>
    <row r="34" spans="10:13">
      <c r="J34" s="126" t="s">
        <v>295</v>
      </c>
      <c r="K34" s="126" t="s">
        <v>280</v>
      </c>
    </row>
    <row r="36" spans="10:13">
      <c r="K36" s="106" t="s">
        <v>296</v>
      </c>
    </row>
    <row r="37" spans="10:13">
      <c r="K37" s="106" t="s">
        <v>289</v>
      </c>
      <c r="L37" s="108" t="s">
        <v>285</v>
      </c>
      <c r="M37" s="109" t="s">
        <v>299</v>
      </c>
    </row>
    <row r="38" spans="10:13">
      <c r="K38" s="106" t="s">
        <v>286</v>
      </c>
      <c r="L38" s="108" t="s">
        <v>285</v>
      </c>
    </row>
    <row r="39" spans="10:13">
      <c r="K39" s="106" t="s">
        <v>182</v>
      </c>
    </row>
    <row r="41" spans="10:13">
      <c r="J41" s="126" t="s">
        <v>300</v>
      </c>
      <c r="K41" s="126" t="s">
        <v>282</v>
      </c>
    </row>
    <row r="43" spans="10:13">
      <c r="K43" s="106" t="s">
        <v>301</v>
      </c>
    </row>
    <row r="44" spans="10:13">
      <c r="K44" s="106" t="s">
        <v>302</v>
      </c>
    </row>
    <row r="45" spans="10:13">
      <c r="K45" s="106" t="s">
        <v>289</v>
      </c>
      <c r="L45" s="108" t="s">
        <v>285</v>
      </c>
      <c r="M45" s="109" t="s">
        <v>303</v>
      </c>
    </row>
    <row r="46" spans="10:13">
      <c r="K46" s="106" t="s">
        <v>286</v>
      </c>
      <c r="L46" s="108" t="s">
        <v>285</v>
      </c>
    </row>
    <row r="47" spans="10:13">
      <c r="K47" s="106" t="s">
        <v>182</v>
      </c>
    </row>
    <row r="50" spans="10:13">
      <c r="J50" s="126" t="s">
        <v>275</v>
      </c>
      <c r="K50" s="126" t="s">
        <v>283</v>
      </c>
    </row>
    <row r="52" spans="10:13">
      <c r="K52" s="106" t="s">
        <v>304</v>
      </c>
    </row>
    <row r="53" spans="10:13">
      <c r="K53" s="106" t="s">
        <v>305</v>
      </c>
    </row>
    <row r="54" spans="10:13">
      <c r="K54" s="106" t="s">
        <v>289</v>
      </c>
      <c r="L54" s="108" t="s">
        <v>285</v>
      </c>
      <c r="M54" s="109" t="s">
        <v>306</v>
      </c>
    </row>
    <row r="55" spans="10:13">
      <c r="K55" s="106" t="s">
        <v>182</v>
      </c>
    </row>
    <row r="58" spans="10:13">
      <c r="J58" s="126" t="s">
        <v>396</v>
      </c>
      <c r="K58" s="126" t="s">
        <v>397</v>
      </c>
    </row>
    <row r="60" spans="10:13">
      <c r="K60" s="106" t="s">
        <v>398</v>
      </c>
    </row>
    <row r="62" spans="10:13">
      <c r="K62" s="106" t="s">
        <v>289</v>
      </c>
      <c r="L62" s="108" t="s">
        <v>285</v>
      </c>
      <c r="M62" s="109" t="s">
        <v>399</v>
      </c>
    </row>
    <row r="63" spans="10:13">
      <c r="K63" s="106" t="s">
        <v>286</v>
      </c>
      <c r="L63" s="108" t="s">
        <v>285</v>
      </c>
    </row>
    <row r="64" spans="10:13">
      <c r="K64" s="106" t="s">
        <v>400</v>
      </c>
      <c r="L64" s="108" t="s">
        <v>285</v>
      </c>
    </row>
    <row r="65" spans="10:13">
      <c r="K65" s="106" t="s">
        <v>182</v>
      </c>
    </row>
    <row r="66" spans="10:13">
      <c r="J66" s="126" t="s">
        <v>410</v>
      </c>
      <c r="K66" s="126" t="s">
        <v>418</v>
      </c>
    </row>
    <row r="68" spans="10:13">
      <c r="K68" s="106" t="s">
        <v>411</v>
      </c>
    </row>
    <row r="69" spans="10:13">
      <c r="K69" s="106" t="s">
        <v>289</v>
      </c>
      <c r="L69" s="108" t="s">
        <v>285</v>
      </c>
      <c r="M69" s="109" t="s">
        <v>399</v>
      </c>
    </row>
    <row r="70" spans="10:13">
      <c r="K70" s="106" t="s">
        <v>182</v>
      </c>
    </row>
  </sheetData>
  <mergeCells count="20">
    <mergeCell ref="F4:G4"/>
    <mergeCell ref="B10:B11"/>
    <mergeCell ref="G6:G9"/>
    <mergeCell ref="G10:G12"/>
    <mergeCell ref="A5:A12"/>
    <mergeCell ref="G15:G16"/>
    <mergeCell ref="A15:A16"/>
    <mergeCell ref="G17:G20"/>
    <mergeCell ref="H6:H9"/>
    <mergeCell ref="H10:H12"/>
    <mergeCell ref="H15:H16"/>
    <mergeCell ref="H17:H20"/>
    <mergeCell ref="A17:A24"/>
    <mergeCell ref="G23:G24"/>
    <mergeCell ref="H23:H24"/>
    <mergeCell ref="A26:A28"/>
    <mergeCell ref="G26:G28"/>
    <mergeCell ref="H26:H28"/>
    <mergeCell ref="G30:G31"/>
    <mergeCell ref="H30:H31"/>
  </mergeCells>
  <phoneticPr fontId="36" type="noConversion"/>
  <hyperlinks>
    <hyperlink ref="E5" r:id="rId1" xr:uid="{A6AB1E34-419D-43FD-AD45-7FDFA72754AC}"/>
    <hyperlink ref="E6" r:id="rId2" xr:uid="{1B1BA0A5-0E1D-4AAC-8093-CFAEB49F779F}"/>
    <hyperlink ref="E7" r:id="rId3" xr:uid="{5EEA2BAD-4C8A-4057-BF99-47A3CF6FF8AE}"/>
    <hyperlink ref="E9" r:id="rId4" xr:uid="{12320299-F0D0-4889-907A-1DE2473873DD}"/>
    <hyperlink ref="E8" r:id="rId5" xr:uid="{E7665F9A-8465-491F-AE7E-70B3B635368B}"/>
    <hyperlink ref="E16" r:id="rId6" xr:uid="{DCAFD12B-5520-49DC-943D-3B85F6DD7FED}"/>
    <hyperlink ref="E17" r:id="rId7" xr:uid="{2392E658-E773-4C80-AD3A-4F29570EBFB6}"/>
    <hyperlink ref="E11" r:id="rId8" xr:uid="{B3E0AEE2-1184-4420-B827-0B88020007BE}"/>
    <hyperlink ref="E10" r:id="rId9" xr:uid="{AA68E72D-5F1A-41B1-8A4E-A85D6E49BC4D}"/>
    <hyperlink ref="E12" r:id="rId10" xr:uid="{99235062-C369-4A16-BC07-47EB9C934CA3}"/>
    <hyperlink ref="E13" r:id="rId11" xr:uid="{8D433E95-B009-4C87-9A91-35C3AE4A934A}"/>
    <hyperlink ref="E14" r:id="rId12" xr:uid="{B18F2159-557D-49BA-BF23-089CA4CABC7C}"/>
    <hyperlink ref="E15" r:id="rId13" xr:uid="{DA7CD179-1675-4026-985A-7B748FAB3F27}"/>
    <hyperlink ref="E21" r:id="rId14" xr:uid="{50871A9D-91FB-487C-AC80-C131B6EB8C00}"/>
    <hyperlink ref="E18" r:id="rId15" xr:uid="{028EDE77-AFC3-461E-A50D-B6E3A399A933}"/>
    <hyperlink ref="E19" r:id="rId16" xr:uid="{299FACBE-A312-418F-AA16-4D9B456352C3}"/>
    <hyperlink ref="E20" r:id="rId17" xr:uid="{FAB35394-F6D1-49ED-83E1-F3309B06CA9D}"/>
    <hyperlink ref="E22" r:id="rId18" xr:uid="{683FD1FB-995D-4338-BB5F-A91BF61C82C1}"/>
    <hyperlink ref="E26" r:id="rId19" xr:uid="{F9B79EC1-F16D-48FD-8A62-9DB47AD571D0}"/>
    <hyperlink ref="E27" r:id="rId20" xr:uid="{BA6AD8B0-CBB1-43A2-A105-B32A695D1FE3}"/>
    <hyperlink ref="E28" r:id="rId21" xr:uid="{503DF600-1139-484D-A398-4FE17D65F9AA}"/>
    <hyperlink ref="E23" r:id="rId22" xr:uid="{67262EAC-E84F-4AD7-8CE8-F920EA2CDD95}"/>
    <hyperlink ref="E24" r:id="rId23" xr:uid="{C5A44DC6-5385-4F1B-A105-1B308BC995A9}"/>
    <hyperlink ref="E30" r:id="rId24" xr:uid="{6EED29E9-0B99-4989-9924-69583F671374}"/>
    <hyperlink ref="E31" r:id="rId25" xr:uid="{A03E8F4B-4A41-40AB-A5CB-EE3583C78E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12</vt:i4>
      </vt:variant>
    </vt:vector>
  </HeadingPairs>
  <TitlesOfParts>
    <vt:vector size="12" baseType="lpstr">
      <vt:lpstr>Rev_History</vt:lpstr>
      <vt:lpstr>KH viết phần mềm</vt:lpstr>
      <vt:lpstr>Form</vt:lpstr>
      <vt:lpstr>1. Ycau báo giá</vt:lpstr>
      <vt:lpstr>2. Nhập báo giá</vt:lpstr>
      <vt:lpstr>2.1</vt:lpstr>
      <vt:lpstr>3. Lựa chọn NCC</vt:lpstr>
      <vt:lpstr>4. yêu cầu hàng hóa</vt:lpstr>
      <vt:lpstr>5. Mã mới tạo code và tên</vt:lpstr>
      <vt:lpstr>Master quản lý giá </vt:lpstr>
      <vt:lpstr>4. Mail xin báo giá</vt:lpstr>
      <vt:lpstr>5. Quyền phê duyệt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 NguyenThi (BIVN-R&amp;D IT)</dc:creator>
  <cp:lastModifiedBy>Thuy, VuThiPhuong (BIVN-PUR PUR)</cp:lastModifiedBy>
  <cp:lastPrinted>2026-01-30T02:18:16Z</cp:lastPrinted>
  <dcterms:created xsi:type="dcterms:W3CDTF">2025-04-21T04:22:02Z</dcterms:created>
  <dcterms:modified xsi:type="dcterms:W3CDTF">2026-01-30T10:30:56Z</dcterms:modified>
</cp:coreProperties>
</file>
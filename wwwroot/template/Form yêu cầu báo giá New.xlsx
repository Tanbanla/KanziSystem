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bivnap12\Share\Project_Document\Cost management\01_Clearifycation\2025-PUR-PUR_Quoctaion_Request\"/>
    </mc:Choice>
  </mc:AlternateContent>
  <xr:revisionPtr revIDLastSave="0" documentId="13_ncr:1_{AD9C7427-44F7-45DE-AB87-041C019C858F}" xr6:coauthVersionLast="47" xr6:coauthVersionMax="47" xr10:uidLastSave="{00000000-0000-0000-0000-000000000000}"/>
  <bookViews>
    <workbookView xWindow="-110" yWindow="-110" windowWidth="19420" windowHeight="11500" xr2:uid="{F4BD22E2-5202-4BAA-B608-770E176E4E09}"/>
  </bookViews>
  <sheets>
    <sheet name="Form blank" sheetId="2" r:id="rId1"/>
    <sheet name="フォーム説明" sheetId="7" r:id="rId2"/>
    <sheet name="Master" sheetId="6" r:id="rId3"/>
    <sheet name="Sheet4" sheetId="5" state="hidden" r:id="rId4"/>
  </sheets>
  <definedNames>
    <definedName name="_xlnm._FilterDatabase" localSheetId="1" hidden="1">フォーム説明!$B$1:$H$35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6" i="2" l="1"/>
  <c r="H17" i="2"/>
  <c r="B23" i="7"/>
  <c r="B24" i="7" s="1"/>
  <c r="B25" i="7" s="1"/>
  <c r="B26" i="7" s="1"/>
  <c r="B27" i="7" s="1"/>
  <c r="B28" i="7" s="1"/>
  <c r="B29" i="7" s="1"/>
  <c r="B30" i="7" s="1"/>
  <c r="B31" i="7" s="1"/>
  <c r="B32" i="7" s="1"/>
  <c r="B33" i="7" s="1"/>
  <c r="B34" i="7" s="1"/>
  <c r="B35" i="7" s="1"/>
  <c r="B16" i="7"/>
  <c r="T7" i="2"/>
  <c r="U7" i="2" s="1"/>
  <c r="V7" i="2" s="1"/>
  <c r="W7" i="2" s="1"/>
  <c r="X7" i="2" s="1"/>
  <c r="Y7" i="2" s="1"/>
  <c r="Z7" i="2" s="1"/>
  <c r="AA7" i="2" s="1"/>
  <c r="AB7" i="2" s="1"/>
  <c r="AC7" i="2" s="1"/>
  <c r="AD7" i="2" s="1"/>
  <c r="AE7" i="2" s="1"/>
  <c r="AF7" i="2" s="1"/>
  <c r="C11" i="2"/>
  <c r="C12" i="2"/>
  <c r="C13" i="2"/>
  <c r="C14" i="2"/>
  <c r="C15" i="2"/>
  <c r="C16" i="2"/>
  <c r="C17" i="2"/>
  <c r="C18" i="2"/>
  <c r="C19" i="2"/>
  <c r="C20" i="2"/>
  <c r="C21" i="2"/>
  <c r="C22" i="2"/>
  <c r="C23" i="2"/>
  <c r="C24" i="2"/>
  <c r="C25" i="2"/>
  <c r="C26" i="2"/>
  <c r="C27" i="2"/>
  <c r="C28" i="2"/>
  <c r="C29" i="2"/>
  <c r="C10" i="2"/>
  <c r="H29" i="2"/>
  <c r="H28" i="2"/>
  <c r="H27" i="2"/>
  <c r="H26" i="2"/>
  <c r="H25" i="2"/>
  <c r="H24" i="2"/>
  <c r="H23" i="2"/>
  <c r="H22" i="2"/>
  <c r="H21" i="2"/>
  <c r="H20" i="2"/>
  <c r="H19" i="2"/>
  <c r="H18" i="2"/>
  <c r="H15" i="2"/>
  <c r="H14" i="2"/>
  <c r="H13" i="2"/>
  <c r="H12" i="2"/>
  <c r="H11" i="2"/>
  <c r="H10" i="2"/>
  <c r="M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4" authorId="0" shapeId="0" xr:uid="{CDCB4511-9152-473A-BFE5-6B7839E072A4}">
      <text>
        <r>
          <rPr>
            <b/>
            <sz val="9"/>
            <color indexed="81"/>
            <rFont val="Tahoma"/>
            <family val="2"/>
          </rPr>
          <t>Ra tự động theo ngày làm đơn</t>
        </r>
        <r>
          <rPr>
            <sz val="9"/>
            <color indexed="81"/>
            <rFont val="Tahoma"/>
            <family val="2"/>
          </rPr>
          <t xml:space="preserve">
</t>
        </r>
      </text>
    </comment>
    <comment ref="I4" authorId="0" shapeId="0" xr:uid="{13E039CF-FB54-40AD-B386-B95C7CAEF07D}">
      <text>
        <r>
          <rPr>
            <b/>
            <sz val="9"/>
            <color indexed="81"/>
            <rFont val="Tahoma"/>
            <family val="2"/>
          </rPr>
          <t>RQ-Mã phòng-Năm tháng ngày-Số thứ tự</t>
        </r>
        <r>
          <rPr>
            <sz val="9"/>
            <color indexed="81"/>
            <rFont val="Tahoma"/>
            <family val="2"/>
          </rPr>
          <t xml:space="preserve">
</t>
        </r>
      </text>
    </comment>
    <comment ref="E8" authorId="0" shapeId="0" xr:uid="{B3DC43AC-EE5D-4715-A9FA-56009D8CFCFC}">
      <text>
        <r>
          <rPr>
            <sz val="9"/>
            <color indexed="81"/>
            <rFont val="Tahoma"/>
            <family val="2"/>
          </rPr>
          <t xml:space="preserve">Phòng ban nào cần mua về lắp thành 1 thiết bị thì ghi
</t>
        </r>
      </text>
    </comment>
    <comment ref="F8" authorId="0" shapeId="0" xr:uid="{4B370B5E-CF7F-4C67-9290-127CE498CBFA}">
      <text>
        <r>
          <rPr>
            <sz val="9"/>
            <color indexed="81"/>
            <rFont val="Tahoma"/>
            <family val="2"/>
          </rPr>
          <t xml:space="preserve">Với mã hàng đã từng mua thì bắt buộc phải điền
</t>
        </r>
      </text>
    </comment>
    <comment ref="G8" authorId="0" shapeId="0" xr:uid="{658B0544-26E4-49C7-A1D5-45DC182665DE}">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H8" authorId="0" shapeId="0" xr:uid="{C44CAE75-28B6-43E3-8033-2A662B12DCCD}">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L8" authorId="0" shapeId="0" xr:uid="{59F77C8F-B839-409E-AB62-72959F42769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W8" authorId="0" shapeId="0" xr:uid="{584C6A92-9AA4-4D7C-9540-3E5996174A3C}">
      <text>
        <r>
          <rPr>
            <b/>
            <sz val="9"/>
            <color indexed="81"/>
            <rFont val="Tahoma"/>
            <family val="2"/>
          </rPr>
          <t>Nếu là hàng tự thiết kế thì copy link bản vẽ</t>
        </r>
        <r>
          <rPr>
            <sz val="9"/>
            <color indexed="81"/>
            <rFont val="Tahoma"/>
            <family val="2"/>
          </rPr>
          <t xml:space="preserve">
</t>
        </r>
      </text>
    </comment>
    <comment ref="X8" authorId="0" shapeId="0" xr:uid="{2031F715-A19E-439C-8F06-D2FA097ABE9D}">
      <text>
        <r>
          <rPr>
            <b/>
            <sz val="9"/>
            <color indexed="81"/>
            <rFont val="Tahoma"/>
            <family val="2"/>
          </rPr>
          <t>Mã đã mua: Vlook up từ master</t>
        </r>
        <r>
          <rPr>
            <sz val="9"/>
            <color indexed="81"/>
            <rFont val="Tahoma"/>
            <family val="2"/>
          </rPr>
          <t xml:space="preserve">
Mã mới: Tự điền</t>
        </r>
      </text>
    </comment>
    <comment ref="Y8" authorId="0" shapeId="0" xr:uid="{25846F2E-68AB-43F5-9072-8217BA8CCB87}">
      <text>
        <r>
          <rPr>
            <b/>
            <sz val="9"/>
            <color indexed="81"/>
            <rFont val="Tahoma"/>
            <family val="2"/>
          </rPr>
          <t>Link từ cột chủng loại hàng+master</t>
        </r>
      </text>
    </comment>
    <comment ref="Z8" authorId="0" shapeId="0" xr:uid="{5A78AF0F-55EC-4CDC-81C8-98A3F7B4A16E}">
      <text>
        <r>
          <rPr>
            <b/>
            <sz val="9"/>
            <color indexed="81"/>
            <rFont val="Tahoma"/>
            <family val="2"/>
          </rPr>
          <t>Link từ cột chủng loại hàng+master</t>
        </r>
      </text>
    </comment>
    <comment ref="AA8" authorId="0" shapeId="0" xr:uid="{0E7EC18D-965A-41AA-BF79-B35D7DE22E09}">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AB8" authorId="0" shapeId="0" xr:uid="{430290D7-13CC-4323-BFD2-9111081C5583}">
      <text>
        <r>
          <rPr>
            <b/>
            <sz val="9"/>
            <color indexed="81"/>
            <rFont val="Tahoma"/>
            <family val="2"/>
          </rPr>
          <t>Điền lý do hợp lý với các NCC chọn X ở cột số 14</t>
        </r>
        <r>
          <rPr>
            <sz val="9"/>
            <color indexed="81"/>
            <rFont val="Tahoma"/>
            <family val="2"/>
          </rPr>
          <t xml:space="preserve">
</t>
        </r>
      </text>
    </comment>
    <comment ref="AD8" authorId="0" shapeId="0" xr:uid="{6A4019DE-CA6C-4B9F-B84D-868094F11B5B}">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AF8" authorId="0" shapeId="0" xr:uid="{BBDF42CB-3AF5-484C-AA5D-18F7B32DAF81}">
      <text>
        <r>
          <rPr>
            <sz val="9"/>
            <color indexed="81"/>
            <rFont val="Tahoma"/>
            <family val="2"/>
          </rPr>
          <t>Tên của người yêu cầu mặt hàng này
(vì mỗi phòng có 1 đảm nhiệm làm đơn, ghi chú này để ghi chú nhận yêu cầu từ ai</t>
        </r>
      </text>
    </comment>
    <comment ref="M9" authorId="0" shapeId="0" xr:uid="{EBC9761A-BCC2-473C-9580-51A425DF0175}">
      <text>
        <r>
          <rPr>
            <b/>
            <sz val="9"/>
            <color indexed="81"/>
            <rFont val="Tahoma"/>
            <family val="2"/>
          </rPr>
          <t>Tấm, khay, hộp...</t>
        </r>
        <r>
          <rPr>
            <sz val="9"/>
            <color indexed="81"/>
            <rFont val="Tahoma"/>
            <family val="2"/>
          </rPr>
          <t xml:space="preserve">
</t>
        </r>
      </text>
    </comment>
    <comment ref="N9" authorId="0" shapeId="0" xr:uid="{888579DA-1C79-4B56-9ECE-881EF147E7AC}">
      <text>
        <r>
          <rPr>
            <b/>
            <sz val="9"/>
            <color indexed="81"/>
            <rFont val="Tahoma"/>
            <family val="2"/>
          </rPr>
          <t>thép, nhựa ABS, nhôm...</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C8" authorId="0" shapeId="0" xr:uid="{14DCA1D7-CBF9-476F-A880-9B4A82396041}">
      <text>
        <r>
          <rPr>
            <sz val="9"/>
            <color indexed="81"/>
            <rFont val="Tahoma"/>
            <family val="2"/>
          </rPr>
          <t xml:space="preserve">Phòng ban nào cần mua về lắp thành 1 thiết bị thì ghi
</t>
        </r>
      </text>
    </comment>
    <comment ref="C9" authorId="0" shapeId="0" xr:uid="{79555DDC-B7E2-4F16-9EB6-506636D83188}">
      <text>
        <r>
          <rPr>
            <sz val="9"/>
            <color indexed="81"/>
            <rFont val="Tahoma"/>
            <family val="2"/>
          </rPr>
          <t xml:space="preserve">Với mã hàng đã từng mua thì bắt buộc phải điền
</t>
        </r>
      </text>
    </comment>
    <comment ref="C10" authorId="0" shapeId="0" xr:uid="{3782406C-60B4-4E6D-A473-84CB32B3BDE9}">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C11" authorId="0" shapeId="0" xr:uid="{1A81E7F9-1253-49BE-859F-305461B4EB3B}">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C15" authorId="0" shapeId="0" xr:uid="{D536552C-A5AB-4DB9-A4E9-81CBB6CCBB05}">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D16" authorId="0" shapeId="0" xr:uid="{92DC9819-BFF6-484B-8002-83D2AF3F365E}">
      <text>
        <r>
          <rPr>
            <b/>
            <sz val="9"/>
            <color indexed="81"/>
            <rFont val="Tahoma"/>
            <family val="2"/>
          </rPr>
          <t>Tấm, khay, hộp...</t>
        </r>
        <r>
          <rPr>
            <sz val="9"/>
            <color indexed="81"/>
            <rFont val="Tahoma"/>
            <family val="2"/>
          </rPr>
          <t xml:space="preserve">
</t>
        </r>
      </text>
    </comment>
    <comment ref="D17" authorId="0" shapeId="0" xr:uid="{12B26B6C-233F-4C70-B4AA-10854642FFEB}">
      <text>
        <r>
          <rPr>
            <b/>
            <sz val="9"/>
            <color indexed="81"/>
            <rFont val="Tahoma"/>
            <family val="2"/>
          </rPr>
          <t>thép, nhựa ABS, nhôm...</t>
        </r>
        <r>
          <rPr>
            <sz val="9"/>
            <color indexed="81"/>
            <rFont val="Tahoma"/>
            <family val="2"/>
          </rPr>
          <t xml:space="preserve">
</t>
        </r>
      </text>
    </comment>
    <comment ref="C26" authorId="0" shapeId="0" xr:uid="{87D5A3CA-7A9A-4B3F-903E-FE78AC2BD5AE}">
      <text>
        <r>
          <rPr>
            <b/>
            <sz val="9"/>
            <color indexed="81"/>
            <rFont val="Tahoma"/>
            <family val="2"/>
          </rPr>
          <t>Nếu là hàng tự thiết kế thì copy link bản vẽ</t>
        </r>
        <r>
          <rPr>
            <sz val="9"/>
            <color indexed="81"/>
            <rFont val="Tahoma"/>
            <family val="2"/>
          </rPr>
          <t xml:space="preserve">
</t>
        </r>
      </text>
    </comment>
    <comment ref="C27" authorId="0" shapeId="0" xr:uid="{EF9A42DA-FE62-43FE-8A90-5C78797EB63F}">
      <text>
        <r>
          <rPr>
            <b/>
            <sz val="9"/>
            <color indexed="81"/>
            <rFont val="Tahoma"/>
            <family val="2"/>
          </rPr>
          <t>Mã đã mua: Vlook up từ master</t>
        </r>
        <r>
          <rPr>
            <sz val="9"/>
            <color indexed="81"/>
            <rFont val="Tahoma"/>
            <family val="2"/>
          </rPr>
          <t xml:space="preserve">
Mã mới: Tự điền</t>
        </r>
      </text>
    </comment>
    <comment ref="C28" authorId="0" shapeId="0" xr:uid="{B710650C-AFC1-4FF4-837D-8D4BFE881DDC}">
      <text>
        <r>
          <rPr>
            <b/>
            <sz val="9"/>
            <color indexed="81"/>
            <rFont val="Tahoma"/>
            <family val="2"/>
          </rPr>
          <t>Link từ cột chủng loại hàng+master</t>
        </r>
      </text>
    </comment>
    <comment ref="C29" authorId="0" shapeId="0" xr:uid="{8227E630-EFCF-4141-9978-506D91A19523}">
      <text>
        <r>
          <rPr>
            <b/>
            <sz val="9"/>
            <color indexed="81"/>
            <rFont val="Tahoma"/>
            <family val="2"/>
          </rPr>
          <t>Link từ cột chủng loại hàng+master</t>
        </r>
      </text>
    </comment>
    <comment ref="C30" authorId="0" shapeId="0" xr:uid="{DC13FD0A-44E9-4F00-BFBC-0883BD53C961}">
      <text>
        <r>
          <rPr>
            <b/>
            <sz val="9"/>
            <color indexed="81"/>
            <rFont val="Tahoma"/>
            <family val="2"/>
          </rPr>
          <t>O: cần lấy báo giá
X: Không cần</t>
        </r>
        <r>
          <rPr>
            <sz val="9"/>
            <color indexed="81"/>
            <rFont val="Tahoma"/>
            <family val="2"/>
          </rPr>
          <t xml:space="preserve">
Nếu Không muốn lấy báo gía NCC nào thì PIC tự đổi thành X dòng tương ứng tên NCC đó</t>
        </r>
      </text>
    </comment>
    <comment ref="C31" authorId="0" shapeId="0" xr:uid="{FF8FE531-F454-42D4-92C0-85A289A7AAD4}">
      <text>
        <r>
          <rPr>
            <b/>
            <sz val="9"/>
            <color indexed="81"/>
            <rFont val="Tahoma"/>
            <family val="2"/>
          </rPr>
          <t>Điền lý do hợp lý với các NCC chọn X ở cột số 14</t>
        </r>
        <r>
          <rPr>
            <sz val="9"/>
            <color indexed="81"/>
            <rFont val="Tahoma"/>
            <family val="2"/>
          </rPr>
          <t xml:space="preserve">
</t>
        </r>
      </text>
    </comment>
    <comment ref="C33" authorId="0" shapeId="0" xr:uid="{BB0B882B-32B0-4BAC-A89C-B13C8A7EBFED}">
      <text>
        <r>
          <rPr>
            <b/>
            <sz val="9"/>
            <color indexed="81"/>
            <rFont val="Tahoma"/>
            <family val="2"/>
          </rPr>
          <t>Ngày này đã bao gồm kỳ hạn lấy xong giá và đến bước lựa chọn NCC rồi. Vì các phòng ban đã có bước đề xuất NCC từ lúc đầu nên Pur sau khi lấy giá sẽ tự đề xuất NCC phù hợp giá và kỳ hạn giao hàng trong số NCC đó</t>
        </r>
        <r>
          <rPr>
            <sz val="9"/>
            <color indexed="81"/>
            <rFont val="Tahoma"/>
            <family val="2"/>
          </rPr>
          <t xml:space="preserve">
</t>
        </r>
      </text>
    </comment>
    <comment ref="C35" authorId="0" shapeId="0" xr:uid="{12F48217-7AC3-4F64-9606-D9D1A67690E4}">
      <text>
        <r>
          <rPr>
            <sz val="9"/>
            <color indexed="81"/>
            <rFont val="Tahoma"/>
            <family val="2"/>
          </rPr>
          <t>Tên của người yêu cầu mặt hàng này
(vì mỗi phòng có 1 đảm nhiệm làm đơn, ghi chú này để ghi chú nhận yêu cầu từ ai</t>
        </r>
      </text>
    </comment>
  </commentList>
</comments>
</file>

<file path=xl/sharedStrings.xml><?xml version="1.0" encoding="utf-8"?>
<sst xmlns="http://schemas.openxmlformats.org/spreadsheetml/2006/main" count="649" uniqueCount="477">
  <si>
    <t>No</t>
  </si>
  <si>
    <r>
      <t xml:space="preserve">Dự thảo </t>
    </r>
    <r>
      <rPr>
        <sz val="10"/>
        <rFont val="ＭＳ Ｐ明朝"/>
        <family val="1"/>
        <charset val="128"/>
      </rPr>
      <t>起案</t>
    </r>
  </si>
  <si>
    <t>Thẩm tra審査</t>
  </si>
  <si>
    <t>PIC phòng ban
要求課スタッフ</t>
  </si>
  <si>
    <t>QLSC phòng ban
要求課係長</t>
  </si>
  <si>
    <t>QLTC phòng ban
中級管理職</t>
  </si>
  <si>
    <t>PIC phòng Pur
購買スタッフ</t>
  </si>
  <si>
    <t>QLSC phòng Pur
購買係長</t>
  </si>
  <si>
    <t>O</t>
  </si>
  <si>
    <t>Ngày 日付(*)</t>
  </si>
  <si>
    <t>1110</t>
  </si>
  <si>
    <t>GA-GA-CANTEEN</t>
  </si>
  <si>
    <t>1130</t>
  </si>
  <si>
    <t>GA-GA-DORMITORY</t>
  </si>
  <si>
    <t>1210</t>
  </si>
  <si>
    <t>GA-GA</t>
  </si>
  <si>
    <t>1211</t>
  </si>
  <si>
    <t>ADM-PER</t>
  </si>
  <si>
    <t>1212</t>
  </si>
  <si>
    <t>GA-SFE</t>
  </si>
  <si>
    <t>1220</t>
  </si>
  <si>
    <t>GA-FAC</t>
  </si>
  <si>
    <t>1221</t>
  </si>
  <si>
    <t>TT Factory GA COMMON</t>
  </si>
  <si>
    <t>1310</t>
  </si>
  <si>
    <t>ADM-ACC</t>
  </si>
  <si>
    <t>1410</t>
  </si>
  <si>
    <t>ADM-MP</t>
  </si>
  <si>
    <t>2210</t>
  </si>
  <si>
    <t>PR2-PR2 COMMON</t>
  </si>
  <si>
    <t>2310</t>
  </si>
  <si>
    <t>R&amp;D-PE</t>
  </si>
  <si>
    <t>2311</t>
  </si>
  <si>
    <t>R&amp;D-EE</t>
  </si>
  <si>
    <t>2312</t>
  </si>
  <si>
    <t>R&amp;D-DE</t>
  </si>
  <si>
    <t>2421</t>
  </si>
  <si>
    <t>PR1-PR3-SP</t>
  </si>
  <si>
    <t>2490</t>
  </si>
  <si>
    <t>PR1-PR3 COMMON</t>
  </si>
  <si>
    <t>2510</t>
  </si>
  <si>
    <t>PR1-MC</t>
  </si>
  <si>
    <t>2610</t>
  </si>
  <si>
    <t>PR2-PR4 COMMON</t>
  </si>
  <si>
    <t>2710</t>
  </si>
  <si>
    <t>PR2-PR5 COMMON</t>
  </si>
  <si>
    <t>3110</t>
  </si>
  <si>
    <t>PUR-PUR</t>
  </si>
  <si>
    <t>3111</t>
  </si>
  <si>
    <t>PUR-PRO</t>
  </si>
  <si>
    <t>3210</t>
  </si>
  <si>
    <t>PC-SHIP</t>
  </si>
  <si>
    <t>PC-SHIP-OF</t>
  </si>
  <si>
    <t>3211</t>
  </si>
  <si>
    <t>PC-SHIP-WH</t>
  </si>
  <si>
    <t>3212</t>
  </si>
  <si>
    <t>TT Factory - PC-SHIP WH</t>
  </si>
  <si>
    <t>3310</t>
  </si>
  <si>
    <t>PC-PC</t>
  </si>
  <si>
    <t>3320</t>
  </si>
  <si>
    <t>PC-MC</t>
  </si>
  <si>
    <t>3321</t>
  </si>
  <si>
    <t>TT Factory - PC-MC</t>
  </si>
  <si>
    <t>3410</t>
  </si>
  <si>
    <t>SQM-SEM</t>
  </si>
  <si>
    <t>3510</t>
  </si>
  <si>
    <t>ADM-IT</t>
  </si>
  <si>
    <t>R&amp;D-IT</t>
  </si>
  <si>
    <t>4110</t>
  </si>
  <si>
    <t>QA-QA</t>
  </si>
  <si>
    <t>4111</t>
  </si>
  <si>
    <t>TT Factory - QA-QA</t>
  </si>
  <si>
    <t>4140</t>
  </si>
  <si>
    <t>QA-QM</t>
  </si>
  <si>
    <t>4210</t>
  </si>
  <si>
    <t>SQM-IQC</t>
  </si>
  <si>
    <t>4211</t>
  </si>
  <si>
    <t>TT Factory - SQM-IQC</t>
  </si>
  <si>
    <t>4230</t>
  </si>
  <si>
    <t>SQM-SQC</t>
  </si>
  <si>
    <t>4240</t>
  </si>
  <si>
    <t>SQM-PSU</t>
  </si>
  <si>
    <t>5110</t>
  </si>
  <si>
    <t>MPE-MP1 (F1)</t>
  </si>
  <si>
    <t>PP-MP1-F1</t>
  </si>
  <si>
    <t>5120</t>
  </si>
  <si>
    <t>MPE-MP1 (M301)</t>
  </si>
  <si>
    <t>MPE-MP2-M301</t>
  </si>
  <si>
    <t>PP-MP4-M301</t>
  </si>
  <si>
    <t>5130</t>
  </si>
  <si>
    <t>MPE-MP1 (F4)</t>
  </si>
  <si>
    <t>MPE-MP3-F4</t>
  </si>
  <si>
    <t>PP-MP2-F4</t>
  </si>
  <si>
    <t>5150</t>
  </si>
  <si>
    <t>MPE-MP1 (COMMON)</t>
  </si>
  <si>
    <t>MPE-MP-MM</t>
  </si>
  <si>
    <t>5170</t>
  </si>
  <si>
    <t>MPE-PE</t>
  </si>
  <si>
    <t>5210</t>
  </si>
  <si>
    <t>MPE-MP2 (PLASTIC)</t>
  </si>
  <si>
    <t>MPE-MP-TTF</t>
  </si>
  <si>
    <t>6110</t>
  </si>
  <si>
    <t>R&amp;D-BPS</t>
  </si>
  <si>
    <t>STR-BPS</t>
  </si>
  <si>
    <t>7110</t>
  </si>
  <si>
    <t>EPE-PCB COMMON</t>
  </si>
  <si>
    <t>7111</t>
  </si>
  <si>
    <t>EPE-PCB SUB-PS PCB</t>
  </si>
  <si>
    <t>7112</t>
  </si>
  <si>
    <t>EPE-PCB MAIN PCB</t>
  </si>
  <si>
    <t>7120</t>
  </si>
  <si>
    <t>EPE-EE</t>
  </si>
  <si>
    <t>8110</t>
  </si>
  <si>
    <t>Strategy Promotion section</t>
  </si>
  <si>
    <t>A004</t>
  </si>
  <si>
    <t>PR1-PR1-DSL SCANNER</t>
  </si>
  <si>
    <t>A005</t>
  </si>
  <si>
    <t>PR1-PR1-DLL SCANNER</t>
  </si>
  <si>
    <t>A006</t>
  </si>
  <si>
    <t>PR1-PR1-DL SCANNER</t>
  </si>
  <si>
    <t>A007</t>
  </si>
  <si>
    <t>PR1-PR1-ELL SCANNER</t>
  </si>
  <si>
    <t>A008</t>
  </si>
  <si>
    <t>PR1-PR1-EL SCANNER</t>
  </si>
  <si>
    <t>A009</t>
  </si>
  <si>
    <t>PR2-PR5-FC SCANNER</t>
  </si>
  <si>
    <t>B005</t>
  </si>
  <si>
    <t>PR2-PR2-DSL</t>
  </si>
  <si>
    <t>PROD2 - PROD4 - DSL</t>
  </si>
  <si>
    <t>B006</t>
  </si>
  <si>
    <t>PR2-PR5-DLL</t>
  </si>
  <si>
    <t>B007</t>
  </si>
  <si>
    <t>DLProject Main body</t>
  </si>
  <si>
    <t>B008</t>
  </si>
  <si>
    <t>PROD1-ELL</t>
  </si>
  <si>
    <t>B009</t>
  </si>
  <si>
    <t>PROD4-ECL</t>
  </si>
  <si>
    <t>B010</t>
  </si>
  <si>
    <t>PR1-PR3-EL</t>
  </si>
  <si>
    <t>B011</t>
  </si>
  <si>
    <t>PR2-PR4-FCL</t>
  </si>
  <si>
    <t>B014</t>
  </si>
  <si>
    <t>PR2-PR5-FC</t>
  </si>
  <si>
    <t>B015</t>
  </si>
  <si>
    <t>PR1-PR3-TD</t>
  </si>
  <si>
    <t>B016</t>
  </si>
  <si>
    <t>PR2-PR2-ESL</t>
  </si>
  <si>
    <t>PR2-PR4-ESL</t>
  </si>
  <si>
    <t>B017</t>
  </si>
  <si>
    <t>PR2-PR4-PD</t>
  </si>
  <si>
    <t>B019</t>
  </si>
  <si>
    <t>PR1-PR3-DOMINO</t>
  </si>
  <si>
    <t>B020</t>
  </si>
  <si>
    <t>C002</t>
  </si>
  <si>
    <t>PR2-PR5-BLL DRTN</t>
  </si>
  <si>
    <t>C003</t>
  </si>
  <si>
    <t>PR2-PR5-BL DRTN</t>
  </si>
  <si>
    <t>C004</t>
  </si>
  <si>
    <t>PR2-PR2-DSL DRTN</t>
  </si>
  <si>
    <t>PR2-PR4-DSL DRTN</t>
  </si>
  <si>
    <t>C005</t>
  </si>
  <si>
    <t>PR2-PR5-DLL DRTN</t>
  </si>
  <si>
    <t>C006</t>
  </si>
  <si>
    <t>PR1-PR3-DL DRTN</t>
  </si>
  <si>
    <t>PR2-PR2-DL DRTN</t>
  </si>
  <si>
    <t>C007</t>
  </si>
  <si>
    <t>PR2-PR5-DCL DRTN</t>
  </si>
  <si>
    <t>C008</t>
  </si>
  <si>
    <t>PR1-PR1-ELL DRTN</t>
  </si>
  <si>
    <t>PR2-PR2-ELL DRTN</t>
  </si>
  <si>
    <t>C009</t>
  </si>
  <si>
    <t>PR2-PR2-ECL DR TN</t>
  </si>
  <si>
    <t>PR2-PR4-ECL DRTN</t>
  </si>
  <si>
    <t>C010</t>
  </si>
  <si>
    <t>PR1-PR1-EL DRTN</t>
  </si>
  <si>
    <t>PR1-PR3-EL DRTN</t>
  </si>
  <si>
    <t>PR2-PR2-EL DRTN</t>
  </si>
  <si>
    <t>C011</t>
  </si>
  <si>
    <t>PR2-PR2-FCL DRTN</t>
  </si>
  <si>
    <t>PR2-PR4-FCL DRTN</t>
  </si>
  <si>
    <t>C014</t>
  </si>
  <si>
    <t>PR2-PR5-FC DRTN</t>
  </si>
  <si>
    <t>C015</t>
  </si>
  <si>
    <t>PR2-PR2-ESL DRTN</t>
  </si>
  <si>
    <t>PR2-PR4-ESL DRTN</t>
  </si>
  <si>
    <t>C016</t>
  </si>
  <si>
    <t>PR2-PR2-BH Cartridge</t>
  </si>
  <si>
    <t>Y0162300</t>
  </si>
  <si>
    <t>FCL Project - R&amp;D</t>
  </si>
  <si>
    <t>Y0162311</t>
  </si>
  <si>
    <t>FCL Project - R&amp;D-EE</t>
  </si>
  <si>
    <t>Y0172300</t>
  </si>
  <si>
    <t>EL Project - R&amp;D</t>
  </si>
  <si>
    <t>Y0172311</t>
  </si>
  <si>
    <t>EL Project - R&amp;D-EE</t>
  </si>
  <si>
    <t>Y0182310</t>
  </si>
  <si>
    <t>ELLe Project - R&amp;D-PE</t>
  </si>
  <si>
    <t>Y0182311</t>
  </si>
  <si>
    <t>ELLe Project - R&amp;D-EE</t>
  </si>
  <si>
    <t>Y0182312</t>
  </si>
  <si>
    <t>ELLe Project - R&amp;D-DE</t>
  </si>
  <si>
    <t>Y0182510</t>
  </si>
  <si>
    <t>ELLe Project-PR1-MC</t>
  </si>
  <si>
    <t>Y0184110</t>
  </si>
  <si>
    <t>ELLe Project - QA-QA</t>
  </si>
  <si>
    <t>Y0201220</t>
  </si>
  <si>
    <t>TT Factory - GA</t>
  </si>
  <si>
    <t>TT Factory Stage 2 - GA</t>
  </si>
  <si>
    <t>Y0202311</t>
  </si>
  <si>
    <t>TT Project - R&amp;D-EE</t>
  </si>
  <si>
    <t>Y0202312</t>
  </si>
  <si>
    <t>TT Project - R&amp;D-DE</t>
  </si>
  <si>
    <t>Y0202510</t>
  </si>
  <si>
    <t>TT Factory - PROD</t>
  </si>
  <si>
    <t>Y0203300</t>
  </si>
  <si>
    <t>TT Factory - PC</t>
  </si>
  <si>
    <t>Y0203510</t>
  </si>
  <si>
    <t>TT Factory - ADM</t>
  </si>
  <si>
    <t>Y0204200</t>
  </si>
  <si>
    <t>TT Factory - SQM</t>
  </si>
  <si>
    <t>Y0204210</t>
  </si>
  <si>
    <t>TT Project - SQM-IQC</t>
  </si>
  <si>
    <t>Y0207100</t>
  </si>
  <si>
    <t>TT Factory - EPE</t>
  </si>
  <si>
    <t>Y0212310</t>
  </si>
  <si>
    <t>FC Project - R&amp;D-PE</t>
  </si>
  <si>
    <t>Y0212311</t>
  </si>
  <si>
    <t>FC Project - R&amp;D-EE</t>
  </si>
  <si>
    <t>Y0212312</t>
  </si>
  <si>
    <t>FC Project - R&amp;D-DE</t>
  </si>
  <si>
    <t>Y0212510</t>
  </si>
  <si>
    <t>FC Project-PR1-MC</t>
  </si>
  <si>
    <t>Y0214110</t>
  </si>
  <si>
    <t>FC Project - QA-QA</t>
  </si>
  <si>
    <t>Y0214140</t>
  </si>
  <si>
    <t>FC Project - QA-QM</t>
  </si>
  <si>
    <t>Y0214210</t>
  </si>
  <si>
    <t>FC Project - SQM-IQC</t>
  </si>
  <si>
    <t>Y021A009</t>
  </si>
  <si>
    <t>FC Project Scanner</t>
  </si>
  <si>
    <t>Y021B014</t>
  </si>
  <si>
    <t>FC Project Main body</t>
  </si>
  <si>
    <t>Y021C014</t>
  </si>
  <si>
    <t>FC Project DRTN</t>
  </si>
  <si>
    <t>Y0222310</t>
  </si>
  <si>
    <t>TD Project - R&amp;D-PE</t>
  </si>
  <si>
    <t>Y0222311</t>
  </si>
  <si>
    <t>TD Project - R&amp;D-EE</t>
  </si>
  <si>
    <t>Y0222312</t>
  </si>
  <si>
    <t>TD Project - R&amp;D-DE</t>
  </si>
  <si>
    <t>Y0222510</t>
  </si>
  <si>
    <t>TD Project-PR1-MC</t>
  </si>
  <si>
    <t>Y0224110</t>
  </si>
  <si>
    <t>TD Project - QA-QA</t>
  </si>
  <si>
    <t>Y0224210</t>
  </si>
  <si>
    <t>TD Project - SQM-IQC</t>
  </si>
  <si>
    <t>Y022B014</t>
  </si>
  <si>
    <t>TD Project Main body</t>
  </si>
  <si>
    <t>Y0242310</t>
  </si>
  <si>
    <t>ESL Project - R&amp;D-PE</t>
  </si>
  <si>
    <t>Y0242311</t>
  </si>
  <si>
    <t>ESL Project - R&amp;D-EE</t>
  </si>
  <si>
    <t>Y0242510</t>
  </si>
  <si>
    <t>ESL Project-PR1-MC</t>
  </si>
  <si>
    <t>Y0244110</t>
  </si>
  <si>
    <t>ESL Project - QA-QA</t>
  </si>
  <si>
    <t>Y0244210</t>
  </si>
  <si>
    <t>ESL Project - SQM-IQC</t>
  </si>
  <si>
    <t>Y024B016</t>
  </si>
  <si>
    <t>ESL Project Main body</t>
  </si>
  <si>
    <t>Y024C015</t>
  </si>
  <si>
    <t>ESL Project DRTN</t>
  </si>
  <si>
    <t>Y0252310</t>
  </si>
  <si>
    <t>BH Project - R&amp;D-PE</t>
  </si>
  <si>
    <t>Y0252311</t>
  </si>
  <si>
    <t>BH Project - R&amp;D-EE</t>
  </si>
  <si>
    <t>Y0252312</t>
  </si>
  <si>
    <t>BH Project - R&amp;D-DE</t>
  </si>
  <si>
    <t>Y0252510</t>
  </si>
  <si>
    <t>BH Project-PR1-MC</t>
  </si>
  <si>
    <t>Y0254110</t>
  </si>
  <si>
    <t>BH Project - QA-QA</t>
  </si>
  <si>
    <t>Y0254140</t>
  </si>
  <si>
    <t>BH Project - QA-QM</t>
  </si>
  <si>
    <t>Y0255110</t>
  </si>
  <si>
    <t>BH Project - MPE-MP</t>
  </si>
  <si>
    <t>Y025C016</t>
  </si>
  <si>
    <t>BH Project - Cartridge</t>
  </si>
  <si>
    <t>Y0262310</t>
  </si>
  <si>
    <t>PD7 Project - R&amp;D-PE</t>
  </si>
  <si>
    <t>Y0262311</t>
  </si>
  <si>
    <t>PD7 Project - R&amp;D-EE</t>
  </si>
  <si>
    <t>Y0262510</t>
  </si>
  <si>
    <t>PD7 Project-PR1-MC</t>
  </si>
  <si>
    <t>Y0264110</t>
  </si>
  <si>
    <t>PD7 Project - QA-QA</t>
  </si>
  <si>
    <t>Y0264210</t>
  </si>
  <si>
    <t>PD7 Project - SQM-IQC</t>
  </si>
  <si>
    <t>Y026B017</t>
  </si>
  <si>
    <t>PD7 Project-Main body</t>
  </si>
  <si>
    <t>Y0275110</t>
  </si>
  <si>
    <t>PM Project - MPE-MP</t>
  </si>
  <si>
    <t>PM Project - MPE-MP2</t>
  </si>
  <si>
    <t>Y0282110</t>
  </si>
  <si>
    <t>PJ-PROD1</t>
  </si>
  <si>
    <t>Y0282300</t>
  </si>
  <si>
    <t>PJ-R&amp;D</t>
  </si>
  <si>
    <t>Y0282510</t>
  </si>
  <si>
    <t>PJ-PR1-MC</t>
  </si>
  <si>
    <t>Y0284100</t>
  </si>
  <si>
    <t>PJ-QA</t>
  </si>
  <si>
    <t>Y0292110</t>
  </si>
  <si>
    <t>DOMINO-PROD1</t>
  </si>
  <si>
    <t>Y0292300</t>
  </si>
  <si>
    <t>DOMINO-R&amp;D</t>
  </si>
  <si>
    <t>Y0292510</t>
  </si>
  <si>
    <t>DOMINO-PR1-M</t>
  </si>
  <si>
    <t>Y0294100</t>
  </si>
  <si>
    <t>DOMINO-QA</t>
  </si>
  <si>
    <t>(blank)</t>
  </si>
  <si>
    <t>Grand Total</t>
  </si>
  <si>
    <t>Số đơn</t>
  </si>
  <si>
    <t>Mã phòng</t>
  </si>
  <si>
    <t>tên phòng</t>
  </si>
  <si>
    <t>X</t>
  </si>
  <si>
    <t>Bắt buộc điền　必要</t>
  </si>
  <si>
    <t>Phòng nào cần quản lý theo 1 thiết bị hoặc 1 khuôn (như RD PE hoặc MPE) thì điền mã thiết bị hoặc mã khuôn vào cột này.
Mục đích sau này hệ thống sẽ phát triển là có thể check được giá cho cả thiết bị khi lấy đủ báo giá các mặt hàng nhỏ dùng lắp lên nó
RD PEやMPEのように、1つの設備または1つの金型で管理する必要がある部門は、この列に設備コードまたは金型コードを入力してください。
将来的には、システムを拡張し、関連する小部品の見積もりが揃った際に、設備全体の価格を確認できるようにすることを目的としています。</t>
  </si>
  <si>
    <t>Không bắt buộc　（不要）</t>
  </si>
  <si>
    <t>Hiện tại có mã nội bộ cho hàng A và E
Sau đây thì cả hàng ngoài danh mục cũng sẽ thực hiện tạo mã nội bộ
現在、A品とE品には社内コードがあります。
今後は、リスト外の商品についても社内コードを作成します。</t>
  </si>
  <si>
    <t>Với hàng thị trường bán đại trà : chính là mã/đời model hàng hóa mà NCC đăng trong danh mục hàng hóa trên Web
Với hàng tự thiết kế (BIVN/hay NCC): dùng code bản vẽ
市場で一般販売されている商品については、サプライヤーがWeb上の商品リストに掲載している商品コード／モデル番号を使用します。
自社設計品（BIVNまたはサプライヤー）の場合は、図面コードを使用します。</t>
  </si>
  <si>
    <t>Hàm tự động公式</t>
  </si>
  <si>
    <t>PHIẾU YÊU CẦU BÁO GIÁ HÀNG GIÁN TIẾP</t>
  </si>
  <si>
    <t>Tùy đối tượng</t>
  </si>
  <si>
    <t>Indirect Goods Quotation Request Form</t>
  </si>
  <si>
    <t>Ngày/tháng
 Date/month(*)</t>
  </si>
  <si>
    <t>Số đơn yêu cầu báo giá 
Quotation Request Number</t>
  </si>
  <si>
    <t>Request section code(*)
mã phòng ban</t>
  </si>
  <si>
    <t>Section (*)
Tên phòng</t>
  </si>
  <si>
    <t>Phân loại
Category
(A/E/non list)</t>
  </si>
  <si>
    <t>Mã thiết bị
Equipment code</t>
  </si>
  <si>
    <t>Mã hàng nội bộ
BIVN's part code</t>
  </si>
  <si>
    <t>Mã hàng của NCC
Vendor's good code</t>
  </si>
  <si>
    <t>Số lượng
Quanlity(*)</t>
  </si>
  <si>
    <t>Tên hàng VN dùng để mở thủ tục hải quan (dự thảo)(*)
Part name (Vietnamese)</t>
  </si>
  <si>
    <t>Tên hàng tiếng anh(*)
Part name (English)</t>
  </si>
  <si>
    <t>Đơn vị 
Unit(*)</t>
  </si>
  <si>
    <t>Chủng loại hàng
Part category</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</si>
  <si>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</si>
  <si>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</si>
  <si>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</si>
  <si>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</si>
  <si>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</si>
  <si>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Mô tả hàng hóa Description of goods</t>
  </si>
  <si>
    <t>Yêu cầu MSDS kèm số CAS (đối với hóa chất)
Request MSDS with CAS number (for chemicals)</t>
  </si>
  <si>
    <t>Yêu cầu tiêu chuẩn an toàn
Request for safety standards</t>
  </si>
  <si>
    <t>Dùng đề làm gì
(tính năng)
Purpose of use (or function)</t>
  </si>
  <si>
    <t xml:space="preserve">Yêu cầu ROHS
ROHS requirements
</t>
  </si>
  <si>
    <t>Yêu cầu CO/CQ
CO/Cqrequirements</t>
  </si>
  <si>
    <t>File Thiết kế
Design(*)</t>
  </si>
  <si>
    <t>Nhà Sản xuất
Maker</t>
  </si>
  <si>
    <t>Mã nhà cung cấp
Vendor code</t>
  </si>
  <si>
    <t>Tên nhà cung cấp
Vendor name</t>
  </si>
  <si>
    <t>Lấy báo giá?
Is it a quotation request(*)</t>
  </si>
  <si>
    <t>Lý do không lấy báo giá  
Reason for not making a request</t>
  </si>
  <si>
    <t>Ngày muốn nhận hàng
Desired delivery date(*)</t>
  </si>
  <si>
    <t>Kỳ hạn lựa chọn NCC
Deadline for deciding vendor(*)</t>
  </si>
  <si>
    <t>GẤP urgent</t>
  </si>
  <si>
    <t>Người yêu cầu 
Request person in charge</t>
  </si>
  <si>
    <t xml:space="preserve"> RQ-nămthángngay-Số thứ tự đơn trong ngày</t>
  </si>
  <si>
    <t>Link theo mã phòng 部署コードによるリンク</t>
  </si>
  <si>
    <t>Mã cũ: Link theo master 
Mã mới: Chọn A,E,Ngoài danh mục
旧コード：マスターによるリンク
新コード：A、E、カテゴリ外を選択</t>
  </si>
  <si>
    <t>Mã mới: Lựa chọn trong chủng loại hàng hóa trong master, nếu phát sinh chủng loại mới cần phải liên lạc Pur tạo master thì mới có thể lựa chọn
新コード：マスター内の品目カテゴリから選択、新しいカテゴリが発生した場合は、選択する前にPurに連絡してマスターを作成する必要があります。</t>
  </si>
  <si>
    <r>
      <t xml:space="preserve">Ví dụ : tấm, khay , hộp, giá đỡ, tên thiết bị, tên dụng cụ...
Chú ý: Có thể gắn thêm ảnh mô tả nhưng vẫn phải mô tả bằng ngôn ngữ
</t>
    </r>
    <r>
      <rPr>
        <sz val="9"/>
        <color rgb="FF0000FF"/>
        <rFont val="Times New Roman"/>
        <family val="1"/>
      </rPr>
      <t>Mã đã mua: Link luôn tên hàng dùng để mở hải quan cũ</t>
    </r>
    <r>
      <rPr>
        <sz val="9"/>
        <color theme="1"/>
        <rFont val="Times New Roman"/>
        <family val="1"/>
      </rPr>
      <t xml:space="preserve">
例: プレート、トレー、ボックス、ホルダー、機器名、ツール名など
注意: 説明文に言語を使用する必要があるが、説明用の画像を追加することも可能
購入済みコード：旧税関を開けるために使用した商品の名前をリンクする</t>
    </r>
  </si>
  <si>
    <r>
      <t xml:space="preserve">Ví dụ: inox, nhựa...
Nếu có nhiều loại NVL thì ghi 1 vài NVL chính cấu thành (chiếm tầm 80~90%)
</t>
    </r>
    <r>
      <rPr>
        <sz val="9"/>
        <color rgb="FF0000FF"/>
        <rFont val="Times New Roman"/>
        <family val="1"/>
      </rPr>
      <t>Mã đã mua: Để trống</t>
    </r>
    <r>
      <rPr>
        <sz val="9"/>
        <color theme="1"/>
        <rFont val="Times New Roman"/>
        <family val="1"/>
      </rPr>
      <t xml:space="preserve">
例: ステンレス、プラスチックなど
複数の材料がある場合は、主な構成材料（全体の約80〜90％を占めるもの）をいくつか記載してください。
購入済みコード：空欄のままにする</t>
    </r>
  </si>
  <si>
    <r>
      <t xml:space="preserve">Viết đúng theo thứ tự quy định , đơn vị mm
</t>
    </r>
    <r>
      <rPr>
        <sz val="9"/>
        <color rgb="FF0000FF"/>
        <rFont val="Times New Roman"/>
        <family val="1"/>
      </rPr>
      <t>Mã đã mua: Để trống
規定された順序に従って正しく記入し、単位はmmで記載してください。
旧コード：空欄のままにする</t>
    </r>
  </si>
  <si>
    <r>
      <t xml:space="preserve">ví dụ: máy A, vị trí thao tác lắp cụm frame....
</t>
    </r>
    <r>
      <rPr>
        <sz val="9"/>
        <color rgb="FF0000FF"/>
        <rFont val="Times New Roman"/>
        <family val="1"/>
      </rPr>
      <t>Mã đã mua: Nếu không thay đổi thì copy sang</t>
    </r>
    <r>
      <rPr>
        <sz val="9"/>
        <color theme="1"/>
        <rFont val="Times New Roman"/>
        <family val="1"/>
      </rPr>
      <t xml:space="preserve">
例: A機械、フレームユニットを取り付ける作業位置...
旧コード：変更がない場合はコピーしてください</t>
    </r>
  </si>
  <si>
    <r>
      <t xml:space="preserve">nếu chưa có MSDS thì tra trên mạng và ghi thành phần chính (sao cho chiếm 90% tổng số
</t>
    </r>
    <r>
      <rPr>
        <sz val="9"/>
        <color rgb="FF0000FF"/>
        <rFont val="Times New Roman"/>
        <family val="1"/>
      </rPr>
      <t>Mã đã mua: Để trống</t>
    </r>
    <r>
      <rPr>
        <sz val="9"/>
        <color theme="1"/>
        <rFont val="Times New Roman"/>
        <family val="1"/>
      </rPr>
      <t xml:space="preserve">
MSDSがない場合は、インターネットで調べて主な成分（全体の90%を占めるもの）を記載してください。
旧コード：空欄のままにする</t>
    </r>
  </si>
  <si>
    <t>例: 携帯電話からパソコンに接続する、通路と射出成形機の間に障害物がある…
旧コード：変更がない場合はコピーしてください</t>
  </si>
  <si>
    <t>Điền tên nhãn hãng sản xuất cho mã hàng đó
その商品コードに対してメーカー名を記入してください</t>
  </si>
  <si>
    <t>Link từ cột chủng loại hàng+master
品目カテゴリー+マスターからのリンク</t>
  </si>
  <si>
    <t>O: cần lấy báo giá
X: Không cần
Nếu Không muốn lấy báo gía NCC nào thì PIC tự đổi thành X dòng tương ứng tên NCC đó
O: 見積りが必要
X: 必要なし
特定の仕入先から見積りを取りたくない場合は、担当者がその仕入先名に対応する行をXに変更してください</t>
  </si>
  <si>
    <t>Chỉ Điền lý do hợp lý với các NCC chọn X ở cột số 22
các dòng tick "O" thì ko cần 
列22で「X」を選択した仕入先には、合理的な理由のみ記入してください。
「O」をチェックした行については必要ありません。</t>
  </si>
  <si>
    <t>Gấp : 3 ngày
Thông thường : 3 ngày làm việc/10 linh kiện
Chỉ tính từ khi có đủ thông tin lấy báo giá
緊急: 3日
通常: 3営業日/10部品
見積取得に必要な情報が揃ってからカウントします。</t>
  </si>
  <si>
    <t>Gấp thì tick O không thi bỏ trống
緊急の場合は「O」を入れ、それ以外は空欄にしてください。</t>
  </si>
  <si>
    <t>Phòng ban nào cần quản lý thông tin người đưa yêu cầu thì điền, còn không thì bỏ trống
要求者の情報を管理する必要がある部署は記入してください。それ以外の場合は空欄にしてください。</t>
  </si>
  <si>
    <t>Dòng chảy form: PIC phòng ban có yêu cầu &gt; Quản lý sơ cấp &gt; Quản lý trung cấp &gt; PIC Pur &gt; Quản lý sơ cấp Pur
フォーム流れ: 要求課PIC &gt; 要求課初級管理職 &gt; 要求課中級管理職 &gt; Pur課PIC &gt; Pur課係長</t>
  </si>
  <si>
    <t>Tuỳ yêu cầu phòng ban
部門の要求に応じて
Cần điền "O", Không cần bỏ trống</t>
  </si>
  <si>
    <r>
      <t xml:space="preserve">Mã đã mua: Vlook up theo master
Mã mới: Ghi tên tiếng Việt tự đặt dựa vào </t>
    </r>
    <r>
      <rPr>
        <sz val="9"/>
        <color rgb="FFFF0000"/>
        <rFont val="Times New Roman"/>
        <family val="1"/>
      </rPr>
      <t>phần mô tả hàng hóa</t>
    </r>
    <r>
      <rPr>
        <sz val="9"/>
        <color theme="1"/>
        <rFont val="Times New Roman"/>
        <family val="1"/>
      </rPr>
      <t xml:space="preserve">
旧コード：マスターに基づくVlook up
新コード：商品の説明に基づいて自分で設定したベトナム語名を記入
Cột này chỉ là tên dự thảo của phòng ban, sau Ship sẽ xác nhận lại trước khi phát hành đơn yêu cầu hàng hóa
商品の説明部分の関数＆。通関手続きの名称は使用目的によって変更されます。
この列は部門による仮の名称であり、出荷後に購買依頼書を発行する前に確認されます。</t>
    </r>
  </si>
  <si>
    <t>1 chủng loại linh kiện 1 link BOX kèm mật khẩu
1種類の部品につき1つのBOXリンクとパスワードを付けてください
Hàng ngoài danh mục thì cũ hay mới đều bắt buộc
Hàng thị trường thì không cần</t>
  </si>
  <si>
    <r>
      <rPr>
        <b/>
        <sz val="14"/>
        <color theme="1"/>
        <rFont val="Times New Roman"/>
        <family val="1"/>
      </rPr>
      <t xml:space="preserve">Hàng cũ </t>
    </r>
    <r>
      <rPr>
        <b/>
        <sz val="9"/>
        <color theme="1"/>
        <rFont val="Times New Roman"/>
        <family val="1"/>
      </rPr>
      <t xml:space="preserve">
đang/đã sử dụng
注文した部品</t>
    </r>
  </si>
  <si>
    <r>
      <rPr>
        <b/>
        <sz val="14"/>
        <color theme="1"/>
        <rFont val="Times New Roman"/>
        <family val="1"/>
      </rPr>
      <t xml:space="preserve">Hàng mới </t>
    </r>
    <r>
      <rPr>
        <b/>
        <sz val="9"/>
        <color theme="1"/>
        <rFont val="Times New Roman"/>
        <family val="1"/>
      </rPr>
      <t xml:space="preserve">
(chưa nhập về BIVN bao giờ)
新設部品</t>
    </r>
  </si>
  <si>
    <t>E000299</t>
  </si>
  <si>
    <t>A000018</t>
  </si>
  <si>
    <t>E000300</t>
  </si>
  <si>
    <t>A000014</t>
  </si>
  <si>
    <t>E</t>
  </si>
  <si>
    <t>A</t>
  </si>
  <si>
    <t>Đầu cốt</t>
  </si>
  <si>
    <t>Thước cặp</t>
  </si>
  <si>
    <t>Mặt bàn xanh</t>
  </si>
  <si>
    <t>Thùng danpla</t>
  </si>
  <si>
    <t>Cáp kết nối thước cặp
tới U-wave-T</t>
  </si>
  <si>
    <t>Bánh xe</t>
  </si>
  <si>
    <t>Giấy (văn phòng) Paper (Office)</t>
  </si>
  <si>
    <t>XYZ1</t>
  </si>
  <si>
    <t>XYZ2</t>
  </si>
  <si>
    <t>XYZ3</t>
  </si>
  <si>
    <t>XYZ4</t>
  </si>
  <si>
    <t>XYZ5</t>
  </si>
  <si>
    <t>XYZ6</t>
  </si>
  <si>
    <t>XYZ7</t>
  </si>
  <si>
    <t>A1</t>
  </si>
  <si>
    <t>B1</t>
  </si>
  <si>
    <t>C1</t>
  </si>
  <si>
    <t>D1</t>
  </si>
  <si>
    <t>E1</t>
  </si>
  <si>
    <t>F1</t>
  </si>
  <si>
    <t>F2</t>
  </si>
  <si>
    <t>A2</t>
  </si>
  <si>
    <t>A3</t>
  </si>
  <si>
    <t>A4</t>
  </si>
  <si>
    <t>A5</t>
  </si>
  <si>
    <t>A6</t>
  </si>
  <si>
    <t>G1</t>
  </si>
  <si>
    <t>B2</t>
  </si>
  <si>
    <t>B3</t>
  </si>
  <si>
    <t>B4</t>
  </si>
  <si>
    <t>B5</t>
  </si>
  <si>
    <t>B6</t>
  </si>
  <si>
    <t>C2</t>
  </si>
  <si>
    <t>C3</t>
  </si>
  <si>
    <t>C4</t>
  </si>
  <si>
    <t>C5</t>
  </si>
  <si>
    <t>C6</t>
  </si>
  <si>
    <t>D2</t>
  </si>
  <si>
    <t>D3</t>
  </si>
  <si>
    <t>D4</t>
  </si>
  <si>
    <t>D5</t>
  </si>
  <si>
    <t>D6</t>
  </si>
  <si>
    <t>E2</t>
  </si>
  <si>
    <t>E3</t>
  </si>
  <si>
    <t>E4</t>
  </si>
  <si>
    <t>E5</t>
  </si>
  <si>
    <t>E6</t>
  </si>
  <si>
    <t>F3</t>
  </si>
  <si>
    <t>F4</t>
  </si>
  <si>
    <t>F5</t>
  </si>
  <si>
    <t>F6</t>
  </si>
  <si>
    <t>G2</t>
  </si>
  <si>
    <t>G3</t>
  </si>
  <si>
    <t>G4</t>
  </si>
  <si>
    <t>G5</t>
  </si>
  <si>
    <t>G6</t>
  </si>
  <si>
    <t>Need (cần)</t>
  </si>
  <si>
    <t>CQ</t>
  </si>
  <si>
    <t>\\apbivnap12\Share\Project_Document\Cost management\01_Clearifycation\2025-PUR-PUR_Quoctaion_Request\Link test bản vẽ đính kèm.xlsx</t>
  </si>
  <si>
    <t>Hammer</t>
  </si>
  <si>
    <t>XYZ8</t>
  </si>
  <si>
    <t>K1</t>
  </si>
  <si>
    <t>K2</t>
  </si>
  <si>
    <t>K3</t>
  </si>
  <si>
    <t>K4</t>
  </si>
  <si>
    <t>K5</t>
  </si>
  <si>
    <t>K6</t>
  </si>
  <si>
    <t>Spacio</t>
  </si>
  <si>
    <t>Lan 1</t>
  </si>
  <si>
    <t>Lan 2</t>
  </si>
  <si>
    <t>Lan 3</t>
  </si>
  <si>
    <t>Lan 4</t>
  </si>
  <si>
    <t>Lan 5</t>
  </si>
  <si>
    <t>Lan 6</t>
  </si>
  <si>
    <t>Lan 7</t>
  </si>
  <si>
    <t>Lan 8</t>
  </si>
  <si>
    <t>Lan 9</t>
  </si>
  <si>
    <t>Lan 10</t>
  </si>
  <si>
    <t>Lan 11</t>
  </si>
  <si>
    <t>Lan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</si>
</sst>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15">
    <font>
      <sz val="11"/>
      <color theme="1"/>
      <name val="Aptos Narrow"/>
      <family val="2"/>
      <scheme val="minor"/>
    </font>
    <font>
      <b/>
      <sz val="9"/>
      <color indexed="81"/>
      <name val="Tahoma"/>
      <family val="2"/>
    </font>
    <font>
      <sz val="9"/>
      <color indexed="81"/>
      <name val="Tahoma"/>
      <family val="2"/>
    </font>
    <font>
      <b/>
      <sz val="11"/>
      <color theme="1"/>
      <name val="Times New Roman"/>
      <family val="1"/>
    </font>
    <font>
      <b/>
      <sz val="9"/>
      <color theme="1"/>
      <name val="Times New Roman"/>
      <family val="1"/>
    </font>
    <font>
      <sz val="9"/>
      <color theme="1"/>
      <name val="Times New Roman"/>
      <family val="1"/>
    </font>
    <font>
      <sz val="8"/>
      <color rgb="FFFF0000"/>
      <name val="Times New Roman"/>
      <family val="1"/>
    </font>
    <font>
      <sz val="10"/>
      <name val="ＭＳ Ｐ明朝"/>
      <family val="1"/>
      <charset val="128"/>
    </font>
    <font>
      <sz val="9"/>
      <color rgb="FFFF0000"/>
      <name val="Times New Roman"/>
      <family val="1"/>
    </font>
    <font>
      <sz val="9"/>
      <name val="Times New Roman"/>
      <family val="1"/>
    </font>
    <font>
      <sz val="8"/>
      <color theme="1"/>
      <name val="Times New Roman"/>
      <family val="1"/>
    </font>
    <font>
      <sz val="9"/>
      <color rgb="FF0000FF"/>
      <name val="Times New Roman"/>
      <family val="1"/>
    </font>
    <font>
      <b/>
      <sz val="14"/>
      <color theme="1"/>
      <name val="Times New Roman"/>
      <family val="1"/>
    </font>
    <font>
      <sz val="8"/>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3" tint="0.8999908444471571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14" fillId="0" borderId="0" applyNumberFormat="0" applyFill="0" applyBorder="0" applyAlignment="0" applyProtection="0"/>
  </cellStyleXfs>
  <cellXfs count="60">
    <xf numFmtId="0" fontId="0" fillId="0" borderId="0" xfId="0"/>
    <xf numFmtId="0" fontId="0" fillId="0" borderId="0" xfId="0" applyAlignment="1">
      <alignment horizontal="center" vertical="center"/>
    </xf>
    <xf numFmtId="0" fontId="0" fillId="2" borderId="0" xfId="0" applyFill="1"/>
    <xf numFmtId="0" fontId="0" fillId="2" borderId="0" xfId="0" applyFill="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0" fillId="2" borderId="1" xfId="0" applyFill="1" applyBorder="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left" vertical="center"/>
    </xf>
    <xf numFmtId="0" fontId="5" fillId="2" borderId="0" xfId="0" applyFont="1" applyFill="1" applyAlignment="1">
      <alignment vertical="center"/>
    </xf>
    <xf numFmtId="0" fontId="5" fillId="0" borderId="0" xfId="0" applyFont="1" applyAlignment="1">
      <alignment vertical="center"/>
    </xf>
    <xf numFmtId="0" fontId="5" fillId="0" borderId="1" xfId="0" applyFont="1" applyBorder="1" applyAlignment="1">
      <alignment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vertical="center"/>
    </xf>
    <xf numFmtId="0" fontId="5" fillId="4" borderId="1" xfId="0" applyFont="1" applyFill="1" applyBorder="1" applyAlignment="1">
      <alignment vertical="center" wrapText="1"/>
    </xf>
    <xf numFmtId="0" fontId="5" fillId="0" borderId="0" xfId="0" applyFont="1" applyAlignment="1">
      <alignment vertical="center" wrapText="1"/>
    </xf>
    <xf numFmtId="0" fontId="10" fillId="0" borderId="0" xfId="0" applyFont="1"/>
    <xf numFmtId="0" fontId="5" fillId="2" borderId="0" xfId="0" applyFont="1" applyFill="1" applyAlignment="1">
      <alignment horizontal="righ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5" fillId="0" borderId="1" xfId="0" applyFont="1" applyBorder="1" applyAlignment="1">
      <alignment horizontal="left" vertical="center" wrapText="1"/>
    </xf>
    <xf numFmtId="0" fontId="6" fillId="0" borderId="4" xfId="0" applyFont="1" applyBorder="1" applyAlignment="1">
      <alignment horizontal="center" vertical="center"/>
    </xf>
    <xf numFmtId="0" fontId="5" fillId="2" borderId="0" xfId="0" applyFont="1" applyFill="1" applyAlignment="1">
      <alignment horizontal="right" vertical="center"/>
    </xf>
    <xf numFmtId="0" fontId="6" fillId="0" borderId="1" xfId="0" applyFont="1" applyBorder="1" applyAlignment="1">
      <alignment horizontal="center" vertical="center"/>
    </xf>
    <xf numFmtId="0" fontId="9" fillId="0"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horizontal="left" vertical="center"/>
    </xf>
    <xf numFmtId="0" fontId="4" fillId="0" borderId="1" xfId="0" applyFont="1" applyBorder="1" applyAlignment="1">
      <alignment horizontal="left" vertical="center" wrapText="1"/>
    </xf>
    <xf numFmtId="0" fontId="6" fillId="0" borderId="4" xfId="0" applyFont="1" applyBorder="1" applyAlignment="1">
      <alignment horizontal="left" vertical="center"/>
    </xf>
    <xf numFmtId="0" fontId="0" fillId="0" borderId="1" xfId="0" applyBorder="1"/>
    <xf numFmtId="0" fontId="0" fillId="0" borderId="0" xfId="0" applyFont="1"/>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5" fillId="2" borderId="0" xfId="0" applyFont="1" applyFill="1" applyAlignment="1">
      <alignment horizontal="center" vertical="center" wrapText="1"/>
    </xf>
    <xf numFmtId="164" fontId="5" fillId="3" borderId="0" xfId="0" applyNumberFormat="1" applyFont="1" applyFill="1" applyAlignment="1">
      <alignment horizontal="center" vertical="center"/>
    </xf>
    <xf numFmtId="0" fontId="5" fillId="3" borderId="0" xfId="0" applyFont="1" applyFill="1" applyAlignment="1">
      <alignment horizontal="center" vertical="center"/>
    </xf>
    <xf numFmtId="0" fontId="8" fillId="2" borderId="7" xfId="0" applyFont="1" applyFill="1" applyBorder="1" applyAlignment="1">
      <alignment horizontal="left" vertical="center" wrapText="1"/>
    </xf>
    <xf numFmtId="0" fontId="8" fillId="2" borderId="7" xfId="0" applyFont="1" applyFill="1" applyBorder="1" applyAlignment="1">
      <alignment horizontal="left" vertical="center"/>
    </xf>
    <xf numFmtId="0" fontId="4" fillId="0" borderId="1" xfId="0" applyFont="1" applyBorder="1" applyAlignment="1">
      <alignment horizontal="left" vertical="center" wrapText="1"/>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9" fillId="0" borderId="1" xfId="0" applyFont="1" applyBorder="1" applyAlignment="1">
      <alignment horizontal="left" vertical="center"/>
    </xf>
    <xf numFmtId="0" fontId="6" fillId="0" borderId="1" xfId="0" applyFont="1" applyBorder="1" applyAlignment="1">
      <alignment horizontal="left" vertical="center"/>
    </xf>
    <xf numFmtId="0" fontId="5" fillId="2" borderId="1" xfId="0" applyFont="1" applyFill="1" applyBorder="1" applyAlignment="1">
      <alignment horizontal="center" vertical="center"/>
    </xf>
    <xf numFmtId="0" fontId="14" fillId="4" borderId="1" xfId="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Link%20test%20b&#7843;n%20v&#7869;%20&#273;&#237;nh%20k&#232;m.xlsx" TargetMode="External"/><Relationship Id="rId2" Type="http://schemas.openxmlformats.org/officeDocument/2006/relationships/hyperlink" Target="Link%20test%20b&#7843;n%20v&#7869;%20&#273;&#237;nh%20k&#232;m.xlsx" TargetMode="External"/><Relationship Id="rId1" Type="http://schemas.openxmlformats.org/officeDocument/2006/relationships/hyperlink" Target="Link%20test%20b&#7843;n%20v&#7869;%20&#273;&#237;nh%20k&#232;m.xlsx"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5F5E-2F90-4D1C-BF41-7BF32BF5014E}">
  <dimension ref="A1:AF33"/>
  <sheetViews>
    <sheetView tabSelected="1" topLeftCell="A7" zoomScale="85" zoomScaleNormal="85" workbookViewId="0">
      <selection activeCell="AG19" sqref="AG19"/>
    </sheetView>
  </sheetViews>
  <sheetFormatPr defaultColWidth="9.1796875" defaultRowHeight="11.5"/>
  <cols>
    <col min="1" max="1" width="3.54296875" style="10" customWidth="1"/>
    <col min="2" max="4" width="9.1796875" style="10"/>
    <col min="5" max="5" width="11.1796875" style="10" customWidth="1"/>
    <col min="6" max="6" width="17.1796875" style="10" customWidth="1"/>
    <col min="7" max="7" width="13.81640625" style="10" customWidth="1"/>
    <col min="8" max="8" width="20.81640625" style="10" customWidth="1"/>
    <col min="9" max="9" width="18.26953125" style="10" customWidth="1"/>
    <col min="10" max="10" width="15.54296875" style="10" customWidth="1"/>
    <col min="11" max="11" width="12.1796875" style="10" customWidth="1"/>
    <col min="12" max="13" width="13.81640625" style="10" customWidth="1"/>
    <col min="14" max="14" width="18.26953125" style="10" customWidth="1"/>
    <col min="15" max="15" width="19" style="10" customWidth="1"/>
    <col min="16" max="17" width="13.81640625" style="10" customWidth="1"/>
    <col min="18" max="22" width="15.6328125" style="10" customWidth="1"/>
    <col min="23" max="23" width="9.1796875" style="10"/>
    <col min="24" max="24" width="11.54296875" style="10" customWidth="1"/>
    <col min="25" max="25" width="14.1796875" style="10" bestFit="1" customWidth="1"/>
    <col min="26" max="26" width="14.1796875" style="10" customWidth="1"/>
    <col min="27" max="27" width="13.453125" style="10" customWidth="1"/>
    <col min="28" max="28" width="9.1796875" style="10"/>
    <col min="29" max="29" width="18.1796875" style="10" bestFit="1" customWidth="1"/>
    <col min="30" max="30" width="17.7265625" style="10" customWidth="1"/>
    <col min="31" max="16384" width="9.1796875" style="10"/>
  </cols>
  <sheetData>
    <row r="1" spans="1:32" ht="14">
      <c r="A1" s="8" t="s">
        <v>331</v>
      </c>
      <c r="B1" s="9"/>
      <c r="C1" s="9"/>
      <c r="D1" s="9"/>
      <c r="E1" s="8"/>
      <c r="F1" s="9"/>
      <c r="G1" s="9"/>
      <c r="H1" s="9"/>
      <c r="I1" s="9"/>
      <c r="J1" s="9"/>
      <c r="K1" s="9"/>
      <c r="L1" s="9"/>
      <c r="M1" s="9"/>
      <c r="N1" s="9"/>
      <c r="O1" s="9"/>
      <c r="P1" s="9"/>
      <c r="Q1" s="9"/>
      <c r="R1" s="9"/>
      <c r="S1" s="9"/>
      <c r="T1" s="9"/>
      <c r="U1" s="9"/>
      <c r="V1" s="9"/>
      <c r="W1" s="9"/>
      <c r="X1" s="9"/>
      <c r="Y1" s="9"/>
      <c r="Z1" s="9"/>
      <c r="AA1" s="9"/>
      <c r="AB1" s="9"/>
      <c r="AC1" s="9"/>
      <c r="AD1" s="9"/>
    </row>
    <row r="2" spans="1:32" ht="14">
      <c r="A2" s="8" t="s">
        <v>333</v>
      </c>
      <c r="B2" s="9"/>
      <c r="C2" s="9"/>
      <c r="D2" s="9"/>
      <c r="E2" s="8"/>
      <c r="F2" s="9"/>
      <c r="G2" s="9"/>
      <c r="H2" s="9"/>
      <c r="I2" s="9"/>
      <c r="J2" s="9"/>
      <c r="K2" s="9"/>
      <c r="L2" s="9"/>
      <c r="M2" s="9"/>
      <c r="N2" s="9"/>
      <c r="O2" s="9"/>
      <c r="P2" s="9"/>
      <c r="Q2" s="9"/>
      <c r="R2" s="9"/>
      <c r="S2" s="9"/>
      <c r="T2" s="9"/>
      <c r="U2" s="9"/>
      <c r="V2" s="9"/>
      <c r="W2" s="9"/>
      <c r="X2" s="9"/>
      <c r="Y2" s="9"/>
      <c r="Z2" s="9"/>
      <c r="AA2" s="9"/>
      <c r="AB2" s="9"/>
      <c r="AC2" s="9"/>
      <c r="AD2" s="9"/>
    </row>
    <row r="3" spans="1:32">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2" ht="11.5" customHeight="1">
      <c r="A4" s="9"/>
      <c r="B4" s="46" t="s">
        <v>334</v>
      </c>
      <c r="C4" s="46"/>
      <c r="D4" s="47"/>
      <c r="E4" s="26"/>
      <c r="F4" s="26"/>
      <c r="G4" s="26"/>
      <c r="H4" s="46" t="s">
        <v>335</v>
      </c>
      <c r="I4" s="48"/>
      <c r="J4" s="9"/>
      <c r="K4" s="26"/>
      <c r="M4" s="9"/>
      <c r="N4" s="9"/>
      <c r="O4" s="9"/>
      <c r="R4" s="9"/>
      <c r="S4" s="9"/>
      <c r="T4" s="9"/>
      <c r="U4" s="9"/>
      <c r="V4" s="9"/>
      <c r="W4" s="9"/>
      <c r="X4" s="9"/>
      <c r="Y4" s="9"/>
      <c r="Z4" s="9"/>
      <c r="AA4" s="9"/>
      <c r="AB4" s="9"/>
      <c r="AC4" s="9"/>
      <c r="AD4" s="9"/>
    </row>
    <row r="5" spans="1:32">
      <c r="A5" s="9"/>
      <c r="B5" s="46"/>
      <c r="C5" s="46"/>
      <c r="D5" s="47"/>
      <c r="E5" s="26"/>
      <c r="F5" s="26"/>
      <c r="G5" s="26"/>
      <c r="H5" s="46"/>
      <c r="I5" s="48"/>
      <c r="J5" s="26"/>
      <c r="K5" s="26"/>
      <c r="L5" s="19"/>
      <c r="M5" s="9"/>
      <c r="N5" s="9"/>
      <c r="O5" s="9"/>
      <c r="P5" s="19"/>
      <c r="Q5" s="19"/>
      <c r="R5" s="9"/>
      <c r="S5" s="9"/>
      <c r="T5" s="9"/>
      <c r="U5" s="9"/>
      <c r="V5" s="9"/>
      <c r="W5" s="9"/>
      <c r="X5" s="9"/>
      <c r="Y5" s="9"/>
      <c r="Z5" s="9"/>
      <c r="AA5" s="9"/>
      <c r="AB5" s="9"/>
      <c r="AC5" s="9"/>
      <c r="AD5" s="9"/>
    </row>
    <row r="6" spans="1:32" ht="29.25" customHeight="1">
      <c r="A6" s="49" t="s">
        <v>385</v>
      </c>
      <c r="B6" s="50"/>
      <c r="C6" s="50"/>
      <c r="D6" s="50"/>
      <c r="E6" s="50"/>
      <c r="F6" s="50"/>
      <c r="G6" s="50"/>
      <c r="H6" s="50"/>
      <c r="I6" s="50"/>
      <c r="J6" s="19"/>
      <c r="K6" s="19"/>
      <c r="L6" s="19"/>
      <c r="M6" s="9"/>
      <c r="N6" s="9"/>
      <c r="O6" s="9"/>
      <c r="P6" s="19"/>
      <c r="Q6" s="19"/>
      <c r="R6" s="9"/>
      <c r="S6" s="9"/>
      <c r="T6" s="9"/>
      <c r="U6" s="9"/>
      <c r="V6" s="9"/>
      <c r="W6" s="9"/>
      <c r="X6" s="9"/>
      <c r="Y6" s="9"/>
      <c r="Z6" s="9"/>
      <c r="AA6" s="9"/>
      <c r="AB6" s="9"/>
      <c r="AC6" s="9"/>
      <c r="AD6" s="9"/>
    </row>
    <row r="7" spans="1:32" ht="14.5" customHeight="1">
      <c r="A7" s="23">
        <v>1</v>
      </c>
      <c r="B7" s="23">
        <v>2</v>
      </c>
      <c r="C7" s="23">
        <v>3</v>
      </c>
      <c r="D7" s="27">
        <v>4</v>
      </c>
      <c r="E7" s="27">
        <v>5</v>
      </c>
      <c r="F7" s="27">
        <v>6</v>
      </c>
      <c r="G7" s="27">
        <v>7</v>
      </c>
      <c r="H7" s="27">
        <v>8</v>
      </c>
      <c r="I7" s="27">
        <v>9</v>
      </c>
      <c r="J7" s="27">
        <v>10</v>
      </c>
      <c r="K7" s="27">
        <v>11</v>
      </c>
      <c r="L7" s="27">
        <v>12</v>
      </c>
      <c r="M7" s="38">
        <f>L7+1</f>
        <v>13</v>
      </c>
      <c r="N7" s="39"/>
      <c r="O7" s="39"/>
      <c r="P7" s="39"/>
      <c r="Q7" s="39"/>
      <c r="R7" s="40"/>
      <c r="S7" s="25">
        <v>14</v>
      </c>
      <c r="T7" s="27">
        <f>S7+1</f>
        <v>15</v>
      </c>
      <c r="U7" s="27">
        <f t="shared" ref="U7:AF7" si="0">T7+1</f>
        <v>16</v>
      </c>
      <c r="V7" s="27">
        <f t="shared" si="0"/>
        <v>17</v>
      </c>
      <c r="W7" s="27">
        <f t="shared" si="0"/>
        <v>18</v>
      </c>
      <c r="X7" s="27">
        <f t="shared" si="0"/>
        <v>19</v>
      </c>
      <c r="Y7" s="27">
        <f t="shared" si="0"/>
        <v>20</v>
      </c>
      <c r="Z7" s="27">
        <f t="shared" si="0"/>
        <v>21</v>
      </c>
      <c r="AA7" s="27">
        <f t="shared" si="0"/>
        <v>22</v>
      </c>
      <c r="AB7" s="27">
        <f t="shared" si="0"/>
        <v>23</v>
      </c>
      <c r="AC7" s="27">
        <f t="shared" si="0"/>
        <v>24</v>
      </c>
      <c r="AD7" s="27">
        <f t="shared" si="0"/>
        <v>25</v>
      </c>
      <c r="AE7" s="27">
        <f t="shared" si="0"/>
        <v>26</v>
      </c>
      <c r="AF7" s="27">
        <f t="shared" si="0"/>
        <v>27</v>
      </c>
    </row>
    <row r="8" spans="1:32" s="7" customFormat="1" ht="17.149999999999999" customHeight="1">
      <c r="A8" s="44" t="s">
        <v>0</v>
      </c>
      <c r="B8" s="36" t="s">
        <v>336</v>
      </c>
      <c r="C8" s="36" t="s">
        <v>337</v>
      </c>
      <c r="D8" s="36" t="s">
        <v>338</v>
      </c>
      <c r="E8" s="36" t="s">
        <v>339</v>
      </c>
      <c r="F8" s="36" t="s">
        <v>340</v>
      </c>
      <c r="G8" s="36" t="s">
        <v>341</v>
      </c>
      <c r="H8" s="36" t="s">
        <v>343</v>
      </c>
      <c r="I8" s="36" t="s">
        <v>344</v>
      </c>
      <c r="J8" s="36" t="s">
        <v>342</v>
      </c>
      <c r="K8" s="36" t="s">
        <v>345</v>
      </c>
      <c r="L8" s="36" t="s">
        <v>346</v>
      </c>
      <c r="M8" s="41" t="s">
        <v>352</v>
      </c>
      <c r="N8" s="42"/>
      <c r="O8" s="42"/>
      <c r="P8" s="42"/>
      <c r="Q8" s="42"/>
      <c r="R8" s="43"/>
      <c r="S8" s="36" t="s">
        <v>356</v>
      </c>
      <c r="T8" s="36" t="s">
        <v>357</v>
      </c>
      <c r="U8" s="36" t="s">
        <v>353</v>
      </c>
      <c r="V8" s="36" t="s">
        <v>354</v>
      </c>
      <c r="W8" s="36" t="s">
        <v>358</v>
      </c>
      <c r="X8" s="36" t="s">
        <v>359</v>
      </c>
      <c r="Y8" s="36" t="s">
        <v>360</v>
      </c>
      <c r="Z8" s="36" t="s">
        <v>361</v>
      </c>
      <c r="AA8" s="36" t="s">
        <v>362</v>
      </c>
      <c r="AB8" s="36" t="s">
        <v>363</v>
      </c>
      <c r="AC8" s="36" t="s">
        <v>364</v>
      </c>
      <c r="AD8" s="36" t="s">
        <v>365</v>
      </c>
      <c r="AE8" s="35" t="s">
        <v>366</v>
      </c>
      <c r="AF8" s="35" t="s">
        <v>367</v>
      </c>
    </row>
    <row r="9" spans="1:32" s="7" customFormat="1" ht="80.5">
      <c r="A9" s="45"/>
      <c r="B9" s="37"/>
      <c r="C9" s="37"/>
      <c r="D9" s="37"/>
      <c r="E9" s="37"/>
      <c r="F9" s="37"/>
      <c r="G9" s="37"/>
      <c r="H9" s="37"/>
      <c r="I9" s="37"/>
      <c r="J9" s="37"/>
      <c r="K9" s="37"/>
      <c r="L9" s="37"/>
      <c r="M9" s="20" t="s">
        <v>347</v>
      </c>
      <c r="N9" s="20" t="s">
        <v>348</v>
      </c>
      <c r="O9" s="20" t="s">
        <v>349</v>
      </c>
      <c r="P9" s="20" t="s">
        <v>350</v>
      </c>
      <c r="Q9" s="20" t="s">
        <v>351</v>
      </c>
      <c r="R9" s="20" t="s">
        <v>355</v>
      </c>
      <c r="S9" s="37"/>
      <c r="T9" s="37"/>
      <c r="U9" s="37"/>
      <c r="V9" s="37"/>
      <c r="W9" s="37"/>
      <c r="X9" s="37"/>
      <c r="Y9" s="37"/>
      <c r="Z9" s="37"/>
      <c r="AA9" s="37"/>
      <c r="AB9" s="37"/>
      <c r="AC9" s="37"/>
      <c r="AD9" s="37"/>
      <c r="AE9" s="35"/>
      <c r="AF9" s="35"/>
    </row>
    <row r="10" spans="1:32">
      <c r="A10" s="11">
        <v>1</v>
      </c>
      <c r="B10" s="11" t="s">
        <v>28</v>
      </c>
      <c r="C10" s="12" t="str">
        <f>VLOOKUP(B10,Master!A:B,2,0)</f>
        <v>PR2-PR2 COMMON</v>
      </c>
      <c r="D10" s="13" t="s">
        <v>395</v>
      </c>
      <c r="E10" s="13"/>
      <c r="F10" s="13" t="s">
        <v>391</v>
      </c>
      <c r="G10" s="13"/>
      <c r="H10" s="12" t="str">
        <f>M10&amp;" "&amp;N10&amp;" "&amp;O10&amp;""&amp;P10&amp;" "&amp;Q10&amp;" "&amp;R10</f>
        <v xml:space="preserve">    </v>
      </c>
      <c r="I10" s="13"/>
      <c r="J10" s="13"/>
      <c r="K10" s="13"/>
      <c r="L10" s="13"/>
      <c r="M10" s="13"/>
      <c r="N10" s="13"/>
      <c r="O10" s="13"/>
      <c r="P10" s="13"/>
      <c r="Q10" s="13"/>
      <c r="R10" s="16"/>
      <c r="S10" s="16"/>
      <c r="T10" s="16"/>
      <c r="U10" s="16"/>
      <c r="V10" s="16"/>
      <c r="W10" s="13"/>
      <c r="X10" s="13"/>
      <c r="Y10" s="12"/>
      <c r="Z10" s="12"/>
      <c r="AA10" s="14" t="s">
        <v>324</v>
      </c>
      <c r="AB10" s="13"/>
      <c r="AC10" s="15">
        <v>46142</v>
      </c>
      <c r="AD10" s="15">
        <v>46082</v>
      </c>
      <c r="AE10" s="13" t="s">
        <v>8</v>
      </c>
      <c r="AF10" s="13" t="s">
        <v>465</v>
      </c>
    </row>
    <row r="11" spans="1:32">
      <c r="A11" s="11">
        <v>2</v>
      </c>
      <c r="B11" s="11" t="s">
        <v>28</v>
      </c>
      <c r="C11" s="12" t="str">
        <f>VLOOKUP(B11,Master!A:B,2,0)</f>
        <v>PR2-PR2 COMMON</v>
      </c>
      <c r="D11" s="13" t="s">
        <v>396</v>
      </c>
      <c r="E11" s="13"/>
      <c r="F11" s="13" t="s">
        <v>392</v>
      </c>
      <c r="G11" s="13"/>
      <c r="H11" s="12" t="str">
        <f t="shared" ref="H11:H29" si="1">M11&amp;" "&amp;N11&amp;" "&amp;O11&amp;""&amp;P11&amp;" "&amp;Q11&amp;" "&amp;R11</f>
        <v xml:space="preserve">    </v>
      </c>
      <c r="I11" s="13"/>
      <c r="J11" s="13"/>
      <c r="K11" s="13"/>
      <c r="L11" s="13"/>
      <c r="M11" s="13"/>
      <c r="N11" s="16"/>
      <c r="O11" s="13"/>
      <c r="P11" s="13"/>
      <c r="Q11" s="13"/>
      <c r="R11" s="13"/>
      <c r="S11" s="16"/>
      <c r="T11" s="16"/>
      <c r="U11" s="13"/>
      <c r="V11" s="13"/>
      <c r="W11" s="13"/>
      <c r="X11" s="13"/>
      <c r="Y11" s="12"/>
      <c r="Z11" s="12"/>
      <c r="AA11" s="14" t="s">
        <v>8</v>
      </c>
      <c r="AB11" s="13"/>
      <c r="AC11" s="15">
        <v>46142</v>
      </c>
      <c r="AD11" s="15">
        <v>46082</v>
      </c>
      <c r="AF11" s="13" t="s">
        <v>466</v>
      </c>
    </row>
    <row r="12" spans="1:32">
      <c r="A12" s="11">
        <v>3</v>
      </c>
      <c r="B12" s="11" t="s">
        <v>28</v>
      </c>
      <c r="C12" s="12" t="str">
        <f>VLOOKUP(B12,Master!A:B,2,0)</f>
        <v>PR2-PR2 COMMON</v>
      </c>
      <c r="D12" s="13" t="s">
        <v>395</v>
      </c>
      <c r="E12" s="13"/>
      <c r="F12" s="13" t="s">
        <v>393</v>
      </c>
      <c r="G12" s="13"/>
      <c r="H12" s="12" t="str">
        <f t="shared" si="1"/>
        <v xml:space="preserve">    </v>
      </c>
      <c r="I12" s="13"/>
      <c r="J12" s="13"/>
      <c r="K12" s="13"/>
      <c r="L12" s="13"/>
      <c r="M12" s="13"/>
      <c r="N12" s="13"/>
      <c r="O12" s="13"/>
      <c r="P12" s="13"/>
      <c r="Q12" s="13"/>
      <c r="R12" s="13"/>
      <c r="S12" s="16"/>
      <c r="T12" s="16"/>
      <c r="U12" s="13"/>
      <c r="V12" s="13"/>
      <c r="W12" s="13"/>
      <c r="X12" s="13"/>
      <c r="Y12" s="12"/>
      <c r="Z12" s="12"/>
      <c r="AA12" s="14" t="s">
        <v>8</v>
      </c>
      <c r="AB12" s="13"/>
      <c r="AC12" s="15">
        <v>46142</v>
      </c>
      <c r="AD12" s="15">
        <v>46082</v>
      </c>
      <c r="AE12" s="13"/>
      <c r="AF12" s="13" t="s">
        <v>467</v>
      </c>
    </row>
    <row r="13" spans="1:32">
      <c r="A13" s="11">
        <v>4</v>
      </c>
      <c r="B13" s="11" t="s">
        <v>28</v>
      </c>
      <c r="C13" s="12" t="str">
        <f>VLOOKUP(B13,Master!A:B,2,0)</f>
        <v>PR2-PR2 COMMON</v>
      </c>
      <c r="D13" s="13" t="s">
        <v>396</v>
      </c>
      <c r="E13" s="13"/>
      <c r="F13" s="13" t="s">
        <v>394</v>
      </c>
      <c r="G13" s="13"/>
      <c r="H13" s="12" t="str">
        <f t="shared" si="1"/>
        <v xml:space="preserve">    </v>
      </c>
      <c r="I13" s="13"/>
      <c r="J13" s="13"/>
      <c r="K13" s="13"/>
      <c r="L13" s="13"/>
      <c r="M13" s="13"/>
      <c r="N13" s="13"/>
      <c r="O13" s="13"/>
      <c r="P13" s="13"/>
      <c r="Q13" s="13"/>
      <c r="R13" s="13"/>
      <c r="S13" s="16"/>
      <c r="T13" s="16"/>
      <c r="U13" s="13"/>
      <c r="V13" s="13"/>
      <c r="W13" s="13"/>
      <c r="X13" s="13"/>
      <c r="Y13" s="12"/>
      <c r="Z13" s="12"/>
      <c r="AA13" s="14" t="s">
        <v>8</v>
      </c>
      <c r="AB13" s="13"/>
      <c r="AC13" s="15">
        <v>46142</v>
      </c>
      <c r="AD13" s="15">
        <v>46082</v>
      </c>
      <c r="AE13" s="13"/>
      <c r="AF13" s="13" t="s">
        <v>468</v>
      </c>
    </row>
    <row r="14" spans="1:32" ht="14.5">
      <c r="A14" s="11">
        <v>5</v>
      </c>
      <c r="B14" s="11" t="s">
        <v>28</v>
      </c>
      <c r="C14" s="12" t="str">
        <f>VLOOKUP(B14,Master!A:B,2,0)</f>
        <v>PR2-PR2 COMMON</v>
      </c>
      <c r="D14" s="13"/>
      <c r="E14" s="13"/>
      <c r="F14" s="13"/>
      <c r="G14" s="13" t="s">
        <v>404</v>
      </c>
      <c r="H14" s="12" t="str">
        <f t="shared" si="1"/>
        <v>A1 A2 A3A4 A5 A6</v>
      </c>
      <c r="I14" s="13"/>
      <c r="J14" s="13"/>
      <c r="K14" s="13"/>
      <c r="L14" s="13" t="s">
        <v>397</v>
      </c>
      <c r="M14" s="13" t="s">
        <v>411</v>
      </c>
      <c r="N14" s="13" t="s">
        <v>418</v>
      </c>
      <c r="O14" s="13" t="s">
        <v>419</v>
      </c>
      <c r="P14" s="13" t="s">
        <v>420</v>
      </c>
      <c r="Q14" s="13" t="s">
        <v>421</v>
      </c>
      <c r="R14" s="13" t="s">
        <v>422</v>
      </c>
      <c r="S14" s="16" t="s">
        <v>453</v>
      </c>
      <c r="T14" s="16" t="s">
        <v>454</v>
      </c>
      <c r="U14" s="13"/>
      <c r="V14" s="13"/>
      <c r="W14" s="59" t="s">
        <v>455</v>
      </c>
      <c r="X14" s="13"/>
      <c r="Y14" s="12"/>
      <c r="Z14" s="12"/>
      <c r="AA14" s="14" t="s">
        <v>8</v>
      </c>
      <c r="AB14" s="13"/>
      <c r="AC14" s="15">
        <v>46142</v>
      </c>
      <c r="AD14" s="15">
        <v>46082</v>
      </c>
      <c r="AE14" s="13" t="s">
        <v>8</v>
      </c>
      <c r="AF14" s="13" t="s">
        <v>469</v>
      </c>
    </row>
    <row r="15" spans="1:32" ht="14.5">
      <c r="A15" s="11">
        <v>6</v>
      </c>
      <c r="B15" s="11" t="s">
        <v>28</v>
      </c>
      <c r="C15" s="12" t="str">
        <f>VLOOKUP(B15,Master!A:B,2,0)</f>
        <v>PR2-PR2 COMMON</v>
      </c>
      <c r="D15" s="13"/>
      <c r="E15" s="13"/>
      <c r="F15" s="13"/>
      <c r="G15" s="13" t="s">
        <v>405</v>
      </c>
      <c r="H15" s="12" t="str">
        <f t="shared" si="1"/>
        <v>B1 B2 B3B4 B5 B6</v>
      </c>
      <c r="I15" s="13"/>
      <c r="J15" s="13"/>
      <c r="K15" s="13"/>
      <c r="L15" s="13" t="s">
        <v>398</v>
      </c>
      <c r="M15" s="13" t="s">
        <v>412</v>
      </c>
      <c r="N15" s="13" t="s">
        <v>424</v>
      </c>
      <c r="O15" s="13" t="s">
        <v>425</v>
      </c>
      <c r="P15" s="13" t="s">
        <v>426</v>
      </c>
      <c r="Q15" s="13" t="s">
        <v>427</v>
      </c>
      <c r="R15" s="13" t="s">
        <v>428</v>
      </c>
      <c r="S15" s="16"/>
      <c r="T15" s="16"/>
      <c r="U15" s="13"/>
      <c r="V15" s="13"/>
      <c r="W15" s="59" t="s">
        <v>455</v>
      </c>
      <c r="X15" s="13"/>
      <c r="Y15" s="12"/>
      <c r="Z15" s="12"/>
      <c r="AA15" s="14" t="s">
        <v>8</v>
      </c>
      <c r="AB15" s="13"/>
      <c r="AC15" s="15">
        <v>46142</v>
      </c>
      <c r="AD15" s="15">
        <v>46082</v>
      </c>
      <c r="AE15" s="13"/>
      <c r="AF15" s="13" t="s">
        <v>470</v>
      </c>
    </row>
    <row r="16" spans="1:32" ht="14.5">
      <c r="A16" s="11">
        <v>7</v>
      </c>
      <c r="B16" s="11" t="s">
        <v>28</v>
      </c>
      <c r="C16" s="12" t="str">
        <f>VLOOKUP(B16,Master!A:B,2,0)</f>
        <v>PR2-PR2 COMMON</v>
      </c>
      <c r="D16" s="13"/>
      <c r="E16" s="13"/>
      <c r="F16" s="13"/>
      <c r="G16" s="13" t="s">
        <v>406</v>
      </c>
      <c r="H16" s="12" t="str">
        <f t="shared" si="1"/>
        <v>C1 C2 C3C4 C5 C6</v>
      </c>
      <c r="I16" s="13"/>
      <c r="J16" s="13"/>
      <c r="K16" s="13"/>
      <c r="L16" s="13" t="s">
        <v>399</v>
      </c>
      <c r="M16" s="13" t="s">
        <v>413</v>
      </c>
      <c r="N16" s="13" t="s">
        <v>429</v>
      </c>
      <c r="O16" s="13" t="s">
        <v>430</v>
      </c>
      <c r="P16" s="13" t="s">
        <v>431</v>
      </c>
      <c r="Q16" s="13" t="s">
        <v>432</v>
      </c>
      <c r="R16" s="13" t="s">
        <v>433</v>
      </c>
      <c r="S16" s="16"/>
      <c r="T16" s="16"/>
      <c r="U16" s="13"/>
      <c r="V16" s="13"/>
      <c r="W16" s="59" t="s">
        <v>455</v>
      </c>
      <c r="X16" s="13"/>
      <c r="Y16" s="12"/>
      <c r="Z16" s="12"/>
      <c r="AA16" s="14" t="s">
        <v>8</v>
      </c>
      <c r="AB16" s="13"/>
      <c r="AC16" s="15">
        <v>46142</v>
      </c>
      <c r="AD16" s="15">
        <v>46082</v>
      </c>
      <c r="AE16" s="13"/>
      <c r="AF16" s="13" t="s">
        <v>471</v>
      </c>
    </row>
    <row r="17" spans="1:32" ht="14.5">
      <c r="A17" s="11">
        <v>8</v>
      </c>
      <c r="B17" s="11" t="s">
        <v>28</v>
      </c>
      <c r="C17" s="12" t="str">
        <f>VLOOKUP(B17,Master!A:B,2,0)</f>
        <v>PR2-PR2 COMMON</v>
      </c>
      <c r="D17" s="13"/>
      <c r="E17" s="13"/>
      <c r="F17" s="13"/>
      <c r="G17" s="13" t="s">
        <v>407</v>
      </c>
      <c r="H17" s="12" t="str">
        <f t="shared" si="1"/>
        <v>D1 D2 D3D4 D5 D6</v>
      </c>
      <c r="I17" s="13"/>
      <c r="J17" s="13"/>
      <c r="K17" s="13"/>
      <c r="L17" s="13" t="s">
        <v>400</v>
      </c>
      <c r="M17" s="13" t="s">
        <v>414</v>
      </c>
      <c r="N17" s="13" t="s">
        <v>434</v>
      </c>
      <c r="O17" s="13" t="s">
        <v>435</v>
      </c>
      <c r="P17" s="13" t="s">
        <v>436</v>
      </c>
      <c r="Q17" s="13" t="s">
        <v>437</v>
      </c>
      <c r="R17" s="13" t="s">
        <v>438</v>
      </c>
      <c r="S17" s="16"/>
      <c r="T17" s="16"/>
      <c r="U17" s="13"/>
      <c r="V17" s="13"/>
      <c r="W17" s="59" t="s">
        <v>455</v>
      </c>
      <c r="X17" s="13"/>
      <c r="Y17" s="12"/>
      <c r="Z17" s="12"/>
      <c r="AA17" s="14" t="s">
        <v>8</v>
      </c>
      <c r="AB17" s="13"/>
      <c r="AC17" s="15">
        <v>46142</v>
      </c>
      <c r="AD17" s="15">
        <v>46082</v>
      </c>
      <c r="AE17" s="13"/>
      <c r="AF17" s="13" t="s">
        <v>472</v>
      </c>
    </row>
    <row r="18" spans="1:32" ht="14.5">
      <c r="A18" s="11">
        <v>9</v>
      </c>
      <c r="B18" s="11" t="s">
        <v>28</v>
      </c>
      <c r="C18" s="12" t="str">
        <f>VLOOKUP(B18,Master!A:B,2,0)</f>
        <v>PR2-PR2 COMMON</v>
      </c>
      <c r="D18" s="13"/>
      <c r="E18" s="13"/>
      <c r="F18" s="13"/>
      <c r="G18" s="13" t="s">
        <v>408</v>
      </c>
      <c r="H18" s="12" t="str">
        <f t="shared" si="1"/>
        <v>E1 E2 E3E4 E5 E6</v>
      </c>
      <c r="I18" s="13"/>
      <c r="J18" s="13"/>
      <c r="K18" s="13"/>
      <c r="L18" s="13" t="s">
        <v>401</v>
      </c>
      <c r="M18" s="13" t="s">
        <v>415</v>
      </c>
      <c r="N18" s="13" t="s">
        <v>439</v>
      </c>
      <c r="O18" s="13" t="s">
        <v>440</v>
      </c>
      <c r="P18" s="13" t="s">
        <v>441</v>
      </c>
      <c r="Q18" s="13" t="s">
        <v>442</v>
      </c>
      <c r="R18" s="13" t="s">
        <v>443</v>
      </c>
      <c r="S18" s="16"/>
      <c r="T18" s="16"/>
      <c r="U18" s="13"/>
      <c r="V18" s="13"/>
      <c r="W18" s="59" t="s">
        <v>455</v>
      </c>
      <c r="X18" s="13"/>
      <c r="Y18" s="12"/>
      <c r="Z18" s="12"/>
      <c r="AA18" s="14" t="s">
        <v>8</v>
      </c>
      <c r="AB18" s="13"/>
      <c r="AC18" s="15">
        <v>46142</v>
      </c>
      <c r="AD18" s="15">
        <v>46082</v>
      </c>
      <c r="AE18" s="13"/>
      <c r="AF18" s="13" t="s">
        <v>473</v>
      </c>
    </row>
    <row r="19" spans="1:32" ht="14.5">
      <c r="A19" s="11">
        <v>10</v>
      </c>
      <c r="B19" s="11" t="s">
        <v>28</v>
      </c>
      <c r="C19" s="12" t="str">
        <f>VLOOKUP(B19,Master!A:B,2,0)</f>
        <v>PR2-PR2 COMMON</v>
      </c>
      <c r="D19" s="13"/>
      <c r="E19" s="13"/>
      <c r="F19" s="13"/>
      <c r="G19" s="13" t="s">
        <v>409</v>
      </c>
      <c r="H19" s="12" t="str">
        <f t="shared" si="1"/>
        <v>F1 F2 F3F4 F5 F6</v>
      </c>
      <c r="I19" s="13"/>
      <c r="J19" s="13"/>
      <c r="K19" s="13"/>
      <c r="L19" s="13" t="s">
        <v>402</v>
      </c>
      <c r="M19" s="13" t="s">
        <v>416</v>
      </c>
      <c r="N19" s="13" t="s">
        <v>417</v>
      </c>
      <c r="O19" s="13" t="s">
        <v>444</v>
      </c>
      <c r="P19" s="13" t="s">
        <v>445</v>
      </c>
      <c r="Q19" s="13" t="s">
        <v>446</v>
      </c>
      <c r="R19" s="13" t="s">
        <v>447</v>
      </c>
      <c r="S19" s="16" t="s">
        <v>453</v>
      </c>
      <c r="T19" s="16"/>
      <c r="U19" s="13"/>
      <c r="V19" s="13"/>
      <c r="W19" s="59" t="s">
        <v>455</v>
      </c>
      <c r="X19" s="13" t="s">
        <v>456</v>
      </c>
      <c r="Y19" s="12"/>
      <c r="Z19" s="12"/>
      <c r="AA19" s="14" t="s">
        <v>8</v>
      </c>
      <c r="AB19" s="13"/>
      <c r="AC19" s="15">
        <v>46142</v>
      </c>
      <c r="AD19" s="15">
        <v>46082</v>
      </c>
      <c r="AE19" s="13"/>
      <c r="AF19" s="13" t="s">
        <v>474</v>
      </c>
    </row>
    <row r="20" spans="1:32" ht="14.5">
      <c r="A20" s="11">
        <v>11</v>
      </c>
      <c r="B20" s="11" t="s">
        <v>28</v>
      </c>
      <c r="C20" s="12" t="str">
        <f>VLOOKUP(B20,Master!A:B,2,0)</f>
        <v>PR2-PR2 COMMON</v>
      </c>
      <c r="D20" s="13"/>
      <c r="E20" s="13"/>
      <c r="F20" s="13"/>
      <c r="G20" s="13" t="s">
        <v>410</v>
      </c>
      <c r="H20" s="12" t="str">
        <f t="shared" si="1"/>
        <v>G1 G2 G3G4 G5 G6</v>
      </c>
      <c r="I20" s="13"/>
      <c r="J20" s="13"/>
      <c r="K20" s="13"/>
      <c r="L20" s="13" t="s">
        <v>403</v>
      </c>
      <c r="M20" s="13" t="s">
        <v>423</v>
      </c>
      <c r="N20" s="13" t="s">
        <v>448</v>
      </c>
      <c r="O20" s="13" t="s">
        <v>449</v>
      </c>
      <c r="P20" s="13" t="s">
        <v>450</v>
      </c>
      <c r="Q20" s="13" t="s">
        <v>451</v>
      </c>
      <c r="R20" s="13" t="s">
        <v>452</v>
      </c>
      <c r="S20" s="16" t="s">
        <v>453</v>
      </c>
      <c r="T20" s="16"/>
      <c r="U20" s="13"/>
      <c r="V20" s="13"/>
      <c r="W20" s="59" t="s">
        <v>455</v>
      </c>
      <c r="X20" s="13"/>
      <c r="Y20" s="12"/>
      <c r="Z20" s="12"/>
      <c r="AA20" s="14" t="s">
        <v>8</v>
      </c>
      <c r="AB20" s="13"/>
      <c r="AC20" s="15">
        <v>46142</v>
      </c>
      <c r="AD20" s="15">
        <v>46082</v>
      </c>
      <c r="AE20" s="13" t="s">
        <v>8</v>
      </c>
      <c r="AF20" s="13" t="s">
        <v>475</v>
      </c>
    </row>
    <row r="21" spans="1:32" ht="14.5">
      <c r="A21" s="11">
        <v>12</v>
      </c>
      <c r="B21" s="11"/>
      <c r="C21" s="12" t="e">
        <f>VLOOKUP(B21,Master!A:B,2,0)</f>
        <v>#N/A</v>
      </c>
      <c r="D21" s="13"/>
      <c r="E21" s="13"/>
      <c r="F21" s="13"/>
      <c r="G21" s="13" t="s">
        <v>457</v>
      </c>
      <c r="H21" s="12" t="str">
        <f t="shared" si="1"/>
        <v>K1 K2 K3K4 K5 K6</v>
      </c>
      <c r="I21" s="13"/>
      <c r="J21" s="13"/>
      <c r="K21" s="13"/>
      <c r="L21" s="13" t="s">
        <v>402</v>
      </c>
      <c r="M21" s="13" t="s">
        <v>458</v>
      </c>
      <c r="N21" s="13" t="s">
        <v>459</v>
      </c>
      <c r="O21" s="13" t="s">
        <v>460</v>
      </c>
      <c r="P21" s="13" t="s">
        <v>461</v>
      </c>
      <c r="Q21" s="13" t="s">
        <v>462</v>
      </c>
      <c r="R21" s="13" t="s">
        <v>463</v>
      </c>
      <c r="S21" s="16"/>
      <c r="T21" s="16"/>
      <c r="U21" s="13"/>
      <c r="V21" s="13"/>
      <c r="W21" s="59" t="s">
        <v>455</v>
      </c>
      <c r="X21" s="13" t="s">
        <v>464</v>
      </c>
      <c r="Y21" s="12"/>
      <c r="Z21" s="12"/>
      <c r="AA21" s="14" t="s">
        <v>8</v>
      </c>
      <c r="AB21" s="13"/>
      <c r="AC21" s="15">
        <v>46142</v>
      </c>
      <c r="AD21" s="15">
        <v>46082</v>
      </c>
      <c r="AE21" s="13"/>
      <c r="AF21" s="13" t="s">
        <v>476</v>
      </c>
    </row>
    <row r="22" spans="1:32">
      <c r="A22" s="11">
        <v>13</v>
      </c>
      <c r="B22" s="11"/>
      <c r="C22" s="12" t="e">
        <f>VLOOKUP(B22,Master!A:B,2,0)</f>
        <v>#N/A</v>
      </c>
      <c r="D22" s="13"/>
      <c r="E22" s="13"/>
      <c r="F22" s="13"/>
      <c r="G22" s="13"/>
      <c r="H22" s="12" t="str">
        <f t="shared" si="1"/>
        <v xml:space="preserve">    </v>
      </c>
      <c r="I22" s="13"/>
      <c r="J22" s="13"/>
      <c r="K22" s="13"/>
      <c r="L22" s="13"/>
      <c r="M22" s="13"/>
      <c r="N22" s="13"/>
      <c r="O22" s="13"/>
      <c r="P22" s="13"/>
      <c r="Q22" s="13"/>
      <c r="R22" s="13"/>
      <c r="S22" s="16"/>
      <c r="T22" s="16"/>
      <c r="U22" s="13"/>
      <c r="V22" s="13"/>
      <c r="W22" s="13"/>
      <c r="X22" s="13"/>
      <c r="Y22" s="12"/>
      <c r="Z22" s="12"/>
      <c r="AA22" s="14" t="s">
        <v>8</v>
      </c>
      <c r="AB22" s="13"/>
      <c r="AC22" s="15"/>
      <c r="AD22" s="15"/>
      <c r="AE22" s="13"/>
      <c r="AF22" s="13"/>
    </row>
    <row r="23" spans="1:32">
      <c r="A23" s="11">
        <v>14</v>
      </c>
      <c r="B23" s="11"/>
      <c r="C23" s="12" t="e">
        <f>VLOOKUP(B23,Master!A:B,2,0)</f>
        <v>#N/A</v>
      </c>
      <c r="D23" s="13"/>
      <c r="E23" s="13"/>
      <c r="F23" s="13"/>
      <c r="G23" s="13"/>
      <c r="H23" s="12" t="str">
        <f t="shared" si="1"/>
        <v xml:space="preserve">    </v>
      </c>
      <c r="I23" s="13"/>
      <c r="J23" s="13"/>
      <c r="K23" s="13"/>
      <c r="L23" s="13"/>
      <c r="M23" s="13"/>
      <c r="N23" s="13"/>
      <c r="O23" s="13"/>
      <c r="P23" s="13"/>
      <c r="Q23" s="13"/>
      <c r="R23" s="13"/>
      <c r="S23" s="16"/>
      <c r="T23" s="16"/>
      <c r="U23" s="13"/>
      <c r="V23" s="13"/>
      <c r="W23" s="13"/>
      <c r="X23" s="13"/>
      <c r="Y23" s="12"/>
      <c r="Z23" s="12"/>
      <c r="AA23" s="14" t="s">
        <v>8</v>
      </c>
      <c r="AB23" s="13"/>
      <c r="AC23" s="15"/>
      <c r="AD23" s="15"/>
      <c r="AE23" s="13"/>
      <c r="AF23" s="13"/>
    </row>
    <row r="24" spans="1:32">
      <c r="A24" s="11">
        <v>15</v>
      </c>
      <c r="B24" s="11"/>
      <c r="C24" s="12" t="e">
        <f>VLOOKUP(B24,Master!A:B,2,0)</f>
        <v>#N/A</v>
      </c>
      <c r="D24" s="13"/>
      <c r="E24" s="13"/>
      <c r="F24" s="13"/>
      <c r="G24" s="13"/>
      <c r="H24" s="12" t="str">
        <f t="shared" si="1"/>
        <v xml:space="preserve">    </v>
      </c>
      <c r="I24" s="13"/>
      <c r="J24" s="13"/>
      <c r="K24" s="13"/>
      <c r="L24" s="13"/>
      <c r="M24" s="13"/>
      <c r="N24" s="13"/>
      <c r="O24" s="13"/>
      <c r="P24" s="13"/>
      <c r="Q24" s="13"/>
      <c r="R24" s="13"/>
      <c r="S24" s="16"/>
      <c r="T24" s="16"/>
      <c r="U24" s="13"/>
      <c r="V24" s="13"/>
      <c r="W24" s="13"/>
      <c r="X24" s="13"/>
      <c r="Y24" s="12"/>
      <c r="Z24" s="12"/>
      <c r="AA24" s="14" t="s">
        <v>8</v>
      </c>
      <c r="AB24" s="13"/>
      <c r="AC24" s="15"/>
      <c r="AD24" s="15"/>
      <c r="AE24" s="13"/>
      <c r="AF24" s="13"/>
    </row>
    <row r="25" spans="1:32">
      <c r="A25" s="11">
        <v>16</v>
      </c>
      <c r="B25" s="11"/>
      <c r="C25" s="12" t="e">
        <f>VLOOKUP(B25,Master!A:B,2,0)</f>
        <v>#N/A</v>
      </c>
      <c r="D25" s="13"/>
      <c r="E25" s="13"/>
      <c r="F25" s="13"/>
      <c r="G25" s="13"/>
      <c r="H25" s="12" t="str">
        <f t="shared" si="1"/>
        <v xml:space="preserve">    </v>
      </c>
      <c r="I25" s="13"/>
      <c r="J25" s="13"/>
      <c r="K25" s="13"/>
      <c r="L25" s="13"/>
      <c r="M25" s="13"/>
      <c r="N25" s="13"/>
      <c r="O25" s="13"/>
      <c r="P25" s="13"/>
      <c r="Q25" s="13"/>
      <c r="R25" s="13"/>
      <c r="S25" s="16"/>
      <c r="T25" s="16"/>
      <c r="U25" s="13"/>
      <c r="V25" s="13"/>
      <c r="W25" s="13"/>
      <c r="X25" s="13"/>
      <c r="Y25" s="12"/>
      <c r="Z25" s="12"/>
      <c r="AA25" s="14" t="s">
        <v>8</v>
      </c>
      <c r="AB25" s="13"/>
      <c r="AC25" s="15"/>
      <c r="AD25" s="15"/>
      <c r="AE25" s="13"/>
      <c r="AF25" s="13"/>
    </row>
    <row r="26" spans="1:32">
      <c r="A26" s="11">
        <v>17</v>
      </c>
      <c r="B26" s="11"/>
      <c r="C26" s="12" t="e">
        <f>VLOOKUP(B26,Master!A:B,2,0)</f>
        <v>#N/A</v>
      </c>
      <c r="D26" s="13"/>
      <c r="E26" s="13"/>
      <c r="F26" s="13"/>
      <c r="G26" s="13"/>
      <c r="H26" s="12" t="str">
        <f t="shared" si="1"/>
        <v xml:space="preserve">    </v>
      </c>
      <c r="I26" s="13"/>
      <c r="J26" s="13"/>
      <c r="K26" s="13"/>
      <c r="L26" s="13"/>
      <c r="M26" s="13"/>
      <c r="N26" s="13"/>
      <c r="O26" s="13"/>
      <c r="P26" s="13"/>
      <c r="Q26" s="13"/>
      <c r="R26" s="13"/>
      <c r="S26" s="16"/>
      <c r="T26" s="16"/>
      <c r="U26" s="13"/>
      <c r="V26" s="13"/>
      <c r="W26" s="13"/>
      <c r="X26" s="13"/>
      <c r="Y26" s="12"/>
      <c r="Z26" s="12"/>
      <c r="AA26" s="14" t="s">
        <v>8</v>
      </c>
      <c r="AB26" s="13"/>
      <c r="AC26" s="15"/>
      <c r="AD26" s="15"/>
      <c r="AE26" s="13"/>
      <c r="AF26" s="13"/>
    </row>
    <row r="27" spans="1:32">
      <c r="A27" s="11">
        <v>18</v>
      </c>
      <c r="B27" s="11"/>
      <c r="C27" s="12" t="e">
        <f>VLOOKUP(B27,Master!A:B,2,0)</f>
        <v>#N/A</v>
      </c>
      <c r="D27" s="13"/>
      <c r="E27" s="13"/>
      <c r="F27" s="13"/>
      <c r="G27" s="13"/>
      <c r="H27" s="12" t="str">
        <f t="shared" si="1"/>
        <v xml:space="preserve">    </v>
      </c>
      <c r="I27" s="13"/>
      <c r="J27" s="13"/>
      <c r="K27" s="13"/>
      <c r="L27" s="13"/>
      <c r="M27" s="13"/>
      <c r="N27" s="13"/>
      <c r="O27" s="13"/>
      <c r="P27" s="13"/>
      <c r="Q27" s="13"/>
      <c r="R27" s="13"/>
      <c r="S27" s="16"/>
      <c r="T27" s="16"/>
      <c r="U27" s="13"/>
      <c r="V27" s="13"/>
      <c r="W27" s="13"/>
      <c r="X27" s="13"/>
      <c r="Y27" s="12"/>
      <c r="Z27" s="12"/>
      <c r="AA27" s="14" t="s">
        <v>8</v>
      </c>
      <c r="AB27" s="13"/>
      <c r="AC27" s="15"/>
      <c r="AD27" s="15"/>
      <c r="AE27" s="13"/>
      <c r="AF27" s="13"/>
    </row>
    <row r="28" spans="1:32">
      <c r="A28" s="11">
        <v>19</v>
      </c>
      <c r="B28" s="11"/>
      <c r="C28" s="12" t="e">
        <f>VLOOKUP(B28,Master!A:B,2,0)</f>
        <v>#N/A</v>
      </c>
      <c r="D28" s="13"/>
      <c r="E28" s="13"/>
      <c r="F28" s="13"/>
      <c r="G28" s="13"/>
      <c r="H28" s="12" t="str">
        <f t="shared" si="1"/>
        <v xml:space="preserve">    </v>
      </c>
      <c r="I28" s="13"/>
      <c r="J28" s="13"/>
      <c r="K28" s="13"/>
      <c r="L28" s="13"/>
      <c r="M28" s="13"/>
      <c r="N28" s="13"/>
      <c r="O28" s="13"/>
      <c r="P28" s="13"/>
      <c r="Q28" s="13"/>
      <c r="R28" s="13"/>
      <c r="S28" s="16"/>
      <c r="T28" s="16"/>
      <c r="U28" s="13"/>
      <c r="V28" s="13"/>
      <c r="W28" s="13"/>
      <c r="X28" s="13"/>
      <c r="Y28" s="12"/>
      <c r="Z28" s="12"/>
      <c r="AA28" s="14" t="s">
        <v>8</v>
      </c>
      <c r="AB28" s="13"/>
      <c r="AC28" s="15"/>
      <c r="AD28" s="15"/>
      <c r="AE28" s="13"/>
      <c r="AF28" s="13"/>
    </row>
    <row r="29" spans="1:32">
      <c r="A29" s="11">
        <v>20</v>
      </c>
      <c r="B29" s="11"/>
      <c r="C29" s="12" t="e">
        <f>VLOOKUP(B29,Master!A:B,2,0)</f>
        <v>#N/A</v>
      </c>
      <c r="D29" s="13"/>
      <c r="E29" s="13"/>
      <c r="F29" s="13"/>
      <c r="G29" s="13"/>
      <c r="H29" s="12" t="str">
        <f t="shared" si="1"/>
        <v xml:space="preserve">    </v>
      </c>
      <c r="I29" s="13"/>
      <c r="J29" s="13"/>
      <c r="K29" s="13"/>
      <c r="L29" s="13"/>
      <c r="M29" s="13"/>
      <c r="N29" s="13"/>
      <c r="O29" s="13"/>
      <c r="P29" s="13"/>
      <c r="Q29" s="13"/>
      <c r="R29" s="13"/>
      <c r="S29" s="16"/>
      <c r="T29" s="16"/>
      <c r="U29" s="13"/>
      <c r="V29" s="13"/>
      <c r="W29" s="13"/>
      <c r="X29" s="13"/>
      <c r="Y29" s="12"/>
      <c r="Z29" s="12"/>
      <c r="AA29" s="14" t="s">
        <v>8</v>
      </c>
      <c r="AB29" s="13"/>
      <c r="AC29" s="15"/>
      <c r="AD29" s="15"/>
      <c r="AE29" s="13"/>
      <c r="AF29" s="13"/>
    </row>
    <row r="33" spans="8:9">
      <c r="H33" s="17"/>
      <c r="I33" s="17"/>
    </row>
  </sheetData>
  <mergeCells count="33">
    <mergeCell ref="B4:C5"/>
    <mergeCell ref="D4:D5"/>
    <mergeCell ref="H4:H5"/>
    <mergeCell ref="I4:I5"/>
    <mergeCell ref="S8:S9"/>
    <mergeCell ref="A6:I6"/>
    <mergeCell ref="Y8:Y9"/>
    <mergeCell ref="A8:A9"/>
    <mergeCell ref="E8:E9"/>
    <mergeCell ref="F8:F9"/>
    <mergeCell ref="G8:G9"/>
    <mergeCell ref="H8:H9"/>
    <mergeCell ref="T8:T9"/>
    <mergeCell ref="U8:U9"/>
    <mergeCell ref="V8:V9"/>
    <mergeCell ref="D8:D9"/>
    <mergeCell ref="X8:X9"/>
    <mergeCell ref="AE8:AE9"/>
    <mergeCell ref="B8:B9"/>
    <mergeCell ref="AF8:AF9"/>
    <mergeCell ref="C8:C9"/>
    <mergeCell ref="M7:R7"/>
    <mergeCell ref="J8:J9"/>
    <mergeCell ref="K8:K9"/>
    <mergeCell ref="L8:L9"/>
    <mergeCell ref="M8:R8"/>
    <mergeCell ref="I8:I9"/>
    <mergeCell ref="AC8:AC9"/>
    <mergeCell ref="AD8:AD9"/>
    <mergeCell ref="W8:W9"/>
    <mergeCell ref="Z8:Z9"/>
    <mergeCell ref="AA8:AA9"/>
    <mergeCell ref="AB8:AB9"/>
  </mergeCells>
  <phoneticPr fontId="13" type="noConversion"/>
  <dataValidations count="5">
    <dataValidation type="list" allowBlank="1" showInputMessage="1" showErrorMessage="1" sqref="AA10:AA29" xr:uid="{A48AEAD6-16A7-419C-9ADE-A3A1D0E68BC1}">
      <formula1>"O,X"</formula1>
    </dataValidation>
    <dataValidation type="list" allowBlank="1" showInputMessage="1" showErrorMessage="1" sqref="D10:D29" xr:uid="{DF024D5A-1011-405E-9ABE-8B1973ED15FC}">
      <formula1>"A,E,Ngoài danh mục"</formula1>
    </dataValidation>
    <dataValidation type="list" allowBlank="1" showInputMessage="1" showErrorMessage="1" sqref="S10:S29" xr:uid="{FD0C254A-2F4A-4918-BF98-DD557307F61B}">
      <formula1>",Need (cần)"</formula1>
    </dataValidation>
    <dataValidation type="list" allowBlank="1" showInputMessage="1" showErrorMessage="1" sqref="T10:T29" xr:uid="{4426D7D4-4115-42CD-A922-0DEF69642C14}">
      <formula1>"CO,CQ,CO&amp;CQ"</formula1>
    </dataValidation>
    <dataValidation type="list" allowBlank="1" showInputMessage="1" showErrorMessage="1" sqref="AE10 AE12:AE29" xr:uid="{016DC675-B23B-4654-A4AE-33D718C90D6B}">
      <formula1>" ,O"</formula1>
    </dataValidation>
  </dataValidations>
  <hyperlinks>
    <hyperlink ref="W14" r:id="rId1" xr:uid="{3642EB2C-8783-4DF8-BF43-E417F7026314}"/>
    <hyperlink ref="W15:W20" r:id="rId2" display="\\apbivnap12\Share\Project_Document\Cost management\01_Clearifycation\2025-PUR-PUR_Quoctaion_Request\Link test bản vẽ đính kèm.xlsx" xr:uid="{2D57A18E-E62F-4570-8D87-4AED6D6367B5}"/>
    <hyperlink ref="W21" r:id="rId3" xr:uid="{45AE2E07-587B-4B45-BB3D-E906E7D605A7}"/>
  </hyperlinks>
  <pageMargins left="0.7" right="0.7" top="0.75" bottom="0.75" header="0.3" footer="0.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DE5615F0-C9E7-4064-89AD-774F26CFBD30}">
          <x14:formula1>
            <xm:f>Master!$A$2:$A$169</xm:f>
          </x14:formula1>
          <xm:sqref>B10:B29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EE61-DA4A-4471-B605-47242F0A4DEA}">
  <dimension ref="B1:G35"/>
  <sheetViews>
    <sheetView topLeftCell="A7" zoomScale="70" zoomScaleNormal="70" workbookViewId="0">
      <selection activeCell="F11" sqref="F11"/>
    </sheetView>
  </sheetViews>
  <sheetFormatPr defaultRowHeight="14.5"/>
  <cols>
    <col min="2" max="2" width="14.81640625" bestFit="1" customWidth="1"/>
    <col min="3" max="3" width="12.54296875" bestFit="1" customWidth="1"/>
    <col min="4" max="4" width="17" customWidth="1"/>
    <col min="5" max="6" width="23.81640625" style="34" customWidth="1"/>
    <col min="7" max="7" width="92.453125" customWidth="1"/>
  </cols>
  <sheetData>
    <row r="1" spans="2:7" ht="51.5" customHeight="1">
      <c r="E1" s="29" t="s">
        <v>389</v>
      </c>
      <c r="F1" s="29" t="s">
        <v>390</v>
      </c>
    </row>
    <row r="2" spans="2:7">
      <c r="B2" s="56" t="s">
        <v>9</v>
      </c>
      <c r="C2" s="56"/>
      <c r="D2" s="56"/>
      <c r="E2" s="21" t="s">
        <v>330</v>
      </c>
      <c r="F2" s="21" t="s">
        <v>330</v>
      </c>
      <c r="G2" s="22"/>
    </row>
    <row r="3" spans="2:7">
      <c r="B3" s="56" t="s">
        <v>321</v>
      </c>
      <c r="C3" s="56"/>
      <c r="D3" s="56"/>
      <c r="E3" s="21" t="s">
        <v>330</v>
      </c>
      <c r="F3" s="21" t="s">
        <v>330</v>
      </c>
      <c r="G3" s="22" t="s">
        <v>368</v>
      </c>
    </row>
    <row r="4" spans="2:7">
      <c r="B4" s="30">
        <v>1</v>
      </c>
      <c r="C4" s="52" t="s">
        <v>0</v>
      </c>
      <c r="D4" s="53"/>
      <c r="E4" s="21" t="s">
        <v>325</v>
      </c>
      <c r="F4" s="21" t="s">
        <v>325</v>
      </c>
      <c r="G4" s="22"/>
    </row>
    <row r="5" spans="2:7" ht="31" customHeight="1">
      <c r="B5" s="30">
        <v>2</v>
      </c>
      <c r="C5" s="54" t="s">
        <v>336</v>
      </c>
      <c r="D5" s="55"/>
      <c r="E5" s="21" t="s">
        <v>325</v>
      </c>
      <c r="F5" s="21" t="s">
        <v>325</v>
      </c>
    </row>
    <row r="6" spans="2:7" ht="30" customHeight="1">
      <c r="B6" s="30">
        <v>3</v>
      </c>
      <c r="C6" s="54" t="s">
        <v>337</v>
      </c>
      <c r="D6" s="55"/>
      <c r="E6" s="21" t="s">
        <v>330</v>
      </c>
      <c r="F6" s="21" t="s">
        <v>330</v>
      </c>
      <c r="G6" s="22" t="s">
        <v>369</v>
      </c>
    </row>
    <row r="7" spans="2:7" ht="64" customHeight="1">
      <c r="B7" s="30">
        <v>4</v>
      </c>
      <c r="C7" s="54" t="s">
        <v>338</v>
      </c>
      <c r="D7" s="55"/>
      <c r="E7" s="21" t="s">
        <v>330</v>
      </c>
      <c r="F7" s="21" t="s">
        <v>325</v>
      </c>
      <c r="G7" s="22" t="s">
        <v>370</v>
      </c>
    </row>
    <row r="8" spans="2:7" ht="80.5">
      <c r="B8" s="30">
        <v>5</v>
      </c>
      <c r="C8" s="54" t="s">
        <v>339</v>
      </c>
      <c r="D8" s="55"/>
      <c r="E8" s="21" t="s">
        <v>327</v>
      </c>
      <c r="F8" s="21" t="s">
        <v>327</v>
      </c>
      <c r="G8" s="24" t="s">
        <v>326</v>
      </c>
    </row>
    <row r="9" spans="2:7" ht="63" customHeight="1">
      <c r="B9" s="30">
        <v>6</v>
      </c>
      <c r="C9" s="54" t="s">
        <v>340</v>
      </c>
      <c r="D9" s="55"/>
      <c r="E9" s="21" t="s">
        <v>325</v>
      </c>
      <c r="F9" s="21" t="s">
        <v>327</v>
      </c>
      <c r="G9" s="24" t="s">
        <v>328</v>
      </c>
    </row>
    <row r="10" spans="2:7" ht="57.5">
      <c r="B10" s="30">
        <v>7</v>
      </c>
      <c r="C10" s="54" t="s">
        <v>341</v>
      </c>
      <c r="D10" s="55"/>
      <c r="E10" s="21" t="s">
        <v>330</v>
      </c>
      <c r="F10" s="21" t="s">
        <v>325</v>
      </c>
      <c r="G10" s="24" t="s">
        <v>329</v>
      </c>
    </row>
    <row r="11" spans="2:7" ht="83.5" customHeight="1">
      <c r="B11" s="30">
        <v>8</v>
      </c>
      <c r="C11" s="54" t="s">
        <v>343</v>
      </c>
      <c r="D11" s="55"/>
      <c r="E11" s="21" t="s">
        <v>330</v>
      </c>
      <c r="F11" s="21" t="s">
        <v>325</v>
      </c>
      <c r="G11" s="24" t="s">
        <v>387</v>
      </c>
    </row>
    <row r="12" spans="2:7" ht="46" customHeight="1">
      <c r="B12" s="30">
        <v>9</v>
      </c>
      <c r="C12" s="54" t="s">
        <v>344</v>
      </c>
      <c r="D12" s="55"/>
      <c r="E12" s="21" t="s">
        <v>330</v>
      </c>
      <c r="F12" s="21" t="s">
        <v>325</v>
      </c>
      <c r="G12" s="33"/>
    </row>
    <row r="13" spans="2:7" ht="33" customHeight="1">
      <c r="B13" s="30">
        <v>10</v>
      </c>
      <c r="C13" s="54" t="s">
        <v>342</v>
      </c>
      <c r="D13" s="55"/>
      <c r="E13" s="21" t="s">
        <v>325</v>
      </c>
      <c r="F13" s="21" t="s">
        <v>325</v>
      </c>
      <c r="G13" s="33"/>
    </row>
    <row r="14" spans="2:7" ht="33" customHeight="1">
      <c r="B14" s="30">
        <v>11</v>
      </c>
      <c r="C14" s="54" t="s">
        <v>345</v>
      </c>
      <c r="D14" s="55"/>
      <c r="E14" s="21" t="s">
        <v>325</v>
      </c>
      <c r="F14" s="21" t="s">
        <v>325</v>
      </c>
      <c r="G14" s="33"/>
    </row>
    <row r="15" spans="2:7" ht="79" customHeight="1">
      <c r="B15" s="30">
        <v>12</v>
      </c>
      <c r="C15" s="54" t="s">
        <v>346</v>
      </c>
      <c r="D15" s="55"/>
      <c r="E15" s="21" t="s">
        <v>330</v>
      </c>
      <c r="F15" s="21" t="s">
        <v>325</v>
      </c>
      <c r="G15" s="24" t="s">
        <v>371</v>
      </c>
    </row>
    <row r="16" spans="2:7" ht="69">
      <c r="B16" s="57">
        <f>B15+1</f>
        <v>13</v>
      </c>
      <c r="C16" s="51" t="s">
        <v>352</v>
      </c>
      <c r="D16" s="31" t="s">
        <v>347</v>
      </c>
      <c r="E16" s="21" t="s">
        <v>330</v>
      </c>
      <c r="F16" s="21" t="s">
        <v>325</v>
      </c>
      <c r="G16" s="24" t="s">
        <v>372</v>
      </c>
    </row>
    <row r="17" spans="2:7" ht="55" customHeight="1">
      <c r="B17" s="57"/>
      <c r="C17" s="51"/>
      <c r="D17" s="31" t="s">
        <v>348</v>
      </c>
      <c r="E17" s="21" t="s">
        <v>327</v>
      </c>
      <c r="F17" s="21" t="s">
        <v>325</v>
      </c>
      <c r="G17" s="24" t="s">
        <v>373</v>
      </c>
    </row>
    <row r="18" spans="2:7" ht="69">
      <c r="B18" s="57"/>
      <c r="C18" s="51"/>
      <c r="D18" s="31" t="s">
        <v>349</v>
      </c>
      <c r="E18" s="21" t="s">
        <v>327</v>
      </c>
      <c r="F18" s="21" t="s">
        <v>325</v>
      </c>
      <c r="G18" s="24" t="s">
        <v>376</v>
      </c>
    </row>
    <row r="19" spans="2:7" ht="57.5">
      <c r="B19" s="57"/>
      <c r="C19" s="51"/>
      <c r="D19" s="31" t="s">
        <v>350</v>
      </c>
      <c r="E19" s="21" t="s">
        <v>327</v>
      </c>
      <c r="F19" s="21" t="s">
        <v>325</v>
      </c>
      <c r="G19" s="24" t="s">
        <v>374</v>
      </c>
    </row>
    <row r="20" spans="2:7" ht="57.5">
      <c r="B20" s="57"/>
      <c r="C20" s="51"/>
      <c r="D20" s="31" t="s">
        <v>351</v>
      </c>
      <c r="E20" s="21" t="s">
        <v>332</v>
      </c>
      <c r="F20" s="21" t="s">
        <v>325</v>
      </c>
      <c r="G20" s="24" t="s">
        <v>375</v>
      </c>
    </row>
    <row r="21" spans="2:7" ht="46">
      <c r="B21" s="57"/>
      <c r="C21" s="51"/>
      <c r="D21" s="31" t="s">
        <v>355</v>
      </c>
      <c r="E21" s="21" t="s">
        <v>332</v>
      </c>
      <c r="F21" s="21" t="s">
        <v>325</v>
      </c>
      <c r="G21" s="24" t="s">
        <v>377</v>
      </c>
    </row>
    <row r="22" spans="2:7" ht="38.5" customHeight="1">
      <c r="B22" s="32">
        <v>14</v>
      </c>
      <c r="C22" s="54" t="s">
        <v>356</v>
      </c>
      <c r="D22" s="55"/>
      <c r="E22" s="21" t="s">
        <v>327</v>
      </c>
      <c r="F22" s="21" t="s">
        <v>327</v>
      </c>
      <c r="G22" s="24" t="s">
        <v>386</v>
      </c>
    </row>
    <row r="23" spans="2:7" ht="38.5" customHeight="1">
      <c r="B23" s="30">
        <f t="shared" ref="B23:B35" si="0">B22+1</f>
        <v>15</v>
      </c>
      <c r="C23" s="54" t="s">
        <v>357</v>
      </c>
      <c r="D23" s="55"/>
      <c r="E23" s="21" t="s">
        <v>327</v>
      </c>
      <c r="F23" s="21" t="s">
        <v>327</v>
      </c>
      <c r="G23" s="24" t="s">
        <v>386</v>
      </c>
    </row>
    <row r="24" spans="2:7" ht="38.5" customHeight="1">
      <c r="B24" s="30">
        <f t="shared" si="0"/>
        <v>16</v>
      </c>
      <c r="C24" s="54" t="s">
        <v>353</v>
      </c>
      <c r="D24" s="55"/>
      <c r="E24" s="21" t="s">
        <v>327</v>
      </c>
      <c r="F24" s="21" t="s">
        <v>327</v>
      </c>
      <c r="G24" s="24" t="s">
        <v>386</v>
      </c>
    </row>
    <row r="25" spans="2:7" ht="38.5" customHeight="1">
      <c r="B25" s="30">
        <f t="shared" si="0"/>
        <v>17</v>
      </c>
      <c r="C25" s="54" t="s">
        <v>354</v>
      </c>
      <c r="D25" s="55"/>
      <c r="E25" s="21" t="s">
        <v>327</v>
      </c>
      <c r="F25" s="21" t="s">
        <v>327</v>
      </c>
      <c r="G25" s="24" t="s">
        <v>386</v>
      </c>
    </row>
    <row r="26" spans="2:7" ht="61" customHeight="1">
      <c r="B26" s="30">
        <f t="shared" si="0"/>
        <v>18</v>
      </c>
      <c r="C26" s="54" t="s">
        <v>358</v>
      </c>
      <c r="D26" s="55"/>
      <c r="E26" s="21" t="s">
        <v>332</v>
      </c>
      <c r="F26" s="21" t="s">
        <v>325</v>
      </c>
      <c r="G26" s="22" t="s">
        <v>388</v>
      </c>
    </row>
    <row r="27" spans="2:7" ht="29.5" customHeight="1">
      <c r="B27" s="30">
        <f t="shared" si="0"/>
        <v>19</v>
      </c>
      <c r="C27" s="54" t="s">
        <v>359</v>
      </c>
      <c r="D27" s="55"/>
      <c r="E27" s="21" t="s">
        <v>330</v>
      </c>
      <c r="F27" s="21" t="s">
        <v>325</v>
      </c>
      <c r="G27" s="22" t="s">
        <v>378</v>
      </c>
    </row>
    <row r="28" spans="2:7" ht="29.5" customHeight="1">
      <c r="B28" s="30">
        <f t="shared" si="0"/>
        <v>20</v>
      </c>
      <c r="C28" s="54" t="s">
        <v>360</v>
      </c>
      <c r="D28" s="55"/>
      <c r="E28" s="21" t="s">
        <v>330</v>
      </c>
      <c r="F28" s="21" t="s">
        <v>330</v>
      </c>
      <c r="G28" s="22" t="s">
        <v>379</v>
      </c>
    </row>
    <row r="29" spans="2:7" ht="29.5" customHeight="1">
      <c r="B29" s="30">
        <f t="shared" si="0"/>
        <v>21</v>
      </c>
      <c r="C29" s="54" t="s">
        <v>361</v>
      </c>
      <c r="D29" s="55"/>
      <c r="E29" s="21" t="s">
        <v>330</v>
      </c>
      <c r="F29" s="21" t="s">
        <v>330</v>
      </c>
      <c r="G29" s="22" t="s">
        <v>379</v>
      </c>
    </row>
    <row r="30" spans="2:7" ht="84.5" customHeight="1">
      <c r="B30" s="30">
        <f t="shared" si="0"/>
        <v>22</v>
      </c>
      <c r="C30" s="54" t="s">
        <v>362</v>
      </c>
      <c r="D30" s="55"/>
      <c r="E30" s="21" t="s">
        <v>325</v>
      </c>
      <c r="F30" s="21" t="s">
        <v>325</v>
      </c>
      <c r="G30" s="22" t="s">
        <v>380</v>
      </c>
    </row>
    <row r="31" spans="2:7" ht="58" customHeight="1">
      <c r="B31" s="30">
        <f t="shared" si="0"/>
        <v>23</v>
      </c>
      <c r="C31" s="54" t="s">
        <v>363</v>
      </c>
      <c r="D31" s="55"/>
      <c r="E31" s="21" t="s">
        <v>325</v>
      </c>
      <c r="F31" s="21" t="s">
        <v>325</v>
      </c>
      <c r="G31" s="22" t="s">
        <v>381</v>
      </c>
    </row>
    <row r="32" spans="2:7" ht="34" customHeight="1">
      <c r="B32" s="30">
        <f t="shared" si="0"/>
        <v>24</v>
      </c>
      <c r="C32" s="54" t="s">
        <v>364</v>
      </c>
      <c r="D32" s="55"/>
      <c r="E32" s="21" t="s">
        <v>325</v>
      </c>
      <c r="F32" s="21" t="s">
        <v>325</v>
      </c>
      <c r="G32" s="21"/>
    </row>
    <row r="33" spans="2:7" ht="79" customHeight="1">
      <c r="B33" s="30">
        <f t="shared" si="0"/>
        <v>25</v>
      </c>
      <c r="C33" s="54" t="s">
        <v>365</v>
      </c>
      <c r="D33" s="55"/>
      <c r="E33" s="21" t="s">
        <v>325</v>
      </c>
      <c r="F33" s="21" t="s">
        <v>325</v>
      </c>
      <c r="G33" s="22" t="s">
        <v>382</v>
      </c>
    </row>
    <row r="34" spans="2:7" ht="51.5" customHeight="1">
      <c r="B34" s="30">
        <f t="shared" si="0"/>
        <v>26</v>
      </c>
      <c r="C34" s="51" t="s">
        <v>366</v>
      </c>
      <c r="D34" s="51"/>
      <c r="E34" s="21" t="s">
        <v>327</v>
      </c>
      <c r="F34" s="21" t="s">
        <v>327</v>
      </c>
      <c r="G34" s="22" t="s">
        <v>383</v>
      </c>
    </row>
    <row r="35" spans="2:7" ht="41" customHeight="1">
      <c r="B35" s="30">
        <f t="shared" si="0"/>
        <v>27</v>
      </c>
      <c r="C35" s="51" t="s">
        <v>367</v>
      </c>
      <c r="D35" s="51"/>
      <c r="E35" s="21" t="s">
        <v>327</v>
      </c>
      <c r="F35" s="21" t="s">
        <v>327</v>
      </c>
      <c r="G35" s="28" t="s">
        <v>384</v>
      </c>
    </row>
  </sheetData>
  <autoFilter ref="B1:H35" xr:uid="{9A62EE61-DA4A-4471-B605-47242F0A4DEA}"/>
  <mergeCells count="30">
    <mergeCell ref="C22:D22"/>
    <mergeCell ref="C23:D23"/>
    <mergeCell ref="C24:D24"/>
    <mergeCell ref="C25:D25"/>
    <mergeCell ref="C6:D6"/>
    <mergeCell ref="B2:D2"/>
    <mergeCell ref="B3:D3"/>
    <mergeCell ref="C11:D11"/>
    <mergeCell ref="C12:D12"/>
    <mergeCell ref="B16:B21"/>
    <mergeCell ref="C16:C21"/>
    <mergeCell ref="C10:D10"/>
    <mergeCell ref="C13:D13"/>
    <mergeCell ref="C14:D14"/>
    <mergeCell ref="C34:D34"/>
    <mergeCell ref="C35:D35"/>
    <mergeCell ref="C4:D4"/>
    <mergeCell ref="C5:D5"/>
    <mergeCell ref="C32:D32"/>
    <mergeCell ref="C33:D33"/>
    <mergeCell ref="C29:D29"/>
    <mergeCell ref="C30:D30"/>
    <mergeCell ref="C31:D31"/>
    <mergeCell ref="C26:D26"/>
    <mergeCell ref="C27:D27"/>
    <mergeCell ref="C28:D28"/>
    <mergeCell ref="C15:D15"/>
    <mergeCell ref="C7:D7"/>
    <mergeCell ref="C8:D8"/>
    <mergeCell ref="C9:D9"/>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C048-C2F1-4ABA-B2C8-6CB3150A85B7}">
  <dimension ref="A1:B171"/>
  <sheetViews>
    <sheetView topLeftCell="A145" workbookViewId="0">
      <selection activeCell="C8" sqref="C8"/>
    </sheetView>
  </sheetViews>
  <sheetFormatPr defaultRowHeight="10.5"/>
  <cols>
    <col min="1" max="1" width="15.7265625" style="18" bestFit="1" customWidth="1"/>
    <col min="2" max="2" width="25.54296875" style="18" bestFit="1" customWidth="1"/>
    <col min="3" max="16384" width="8.7265625" style="18"/>
  </cols>
  <sheetData>
    <row r="1" spans="1:2">
      <c r="A1" s="18" t="s">
        <v>322</v>
      </c>
      <c r="B1" s="18" t="s">
        <v>323</v>
      </c>
    </row>
    <row r="2" spans="1:2">
      <c r="A2" s="18" t="s">
        <v>10</v>
      </c>
      <c r="B2" s="18" t="s">
        <v>11</v>
      </c>
    </row>
    <row r="3" spans="1:2">
      <c r="A3" s="18" t="s">
        <v>12</v>
      </c>
      <c r="B3" s="18" t="s">
        <v>13</v>
      </c>
    </row>
    <row r="4" spans="1:2">
      <c r="A4" s="18" t="s">
        <v>14</v>
      </c>
      <c r="B4" s="18" t="s">
        <v>15</v>
      </c>
    </row>
    <row r="5" spans="1:2">
      <c r="A5" s="18" t="s">
        <v>16</v>
      </c>
      <c r="B5" s="18" t="s">
        <v>17</v>
      </c>
    </row>
    <row r="6" spans="1:2">
      <c r="A6" s="18" t="s">
        <v>18</v>
      </c>
      <c r="B6" s="18" t="s">
        <v>19</v>
      </c>
    </row>
    <row r="7" spans="1:2">
      <c r="A7" s="18" t="s">
        <v>20</v>
      </c>
      <c r="B7" s="18" t="s">
        <v>21</v>
      </c>
    </row>
    <row r="8" spans="1:2">
      <c r="A8" s="18" t="s">
        <v>22</v>
      </c>
      <c r="B8" s="18" t="s">
        <v>23</v>
      </c>
    </row>
    <row r="9" spans="1:2">
      <c r="A9" s="18" t="s">
        <v>24</v>
      </c>
      <c r="B9" s="18" t="s">
        <v>25</v>
      </c>
    </row>
    <row r="10" spans="1:2">
      <c r="A10" s="18" t="s">
        <v>26</v>
      </c>
      <c r="B10" s="18" t="s">
        <v>27</v>
      </c>
    </row>
    <row r="11" spans="1:2">
      <c r="A11" s="18" t="s">
        <v>28</v>
      </c>
      <c r="B11" s="18" t="s">
        <v>29</v>
      </c>
    </row>
    <row r="12" spans="1:2">
      <c r="A12" s="18" t="s">
        <v>30</v>
      </c>
      <c r="B12" s="18" t="s">
        <v>31</v>
      </c>
    </row>
    <row r="13" spans="1:2">
      <c r="A13" s="18" t="s">
        <v>32</v>
      </c>
      <c r="B13" s="18" t="s">
        <v>33</v>
      </c>
    </row>
    <row r="14" spans="1:2">
      <c r="A14" s="18" t="s">
        <v>34</v>
      </c>
      <c r="B14" s="18" t="s">
        <v>35</v>
      </c>
    </row>
    <row r="15" spans="1:2">
      <c r="A15" s="18" t="s">
        <v>36</v>
      </c>
      <c r="B15" s="18" t="s">
        <v>37</v>
      </c>
    </row>
    <row r="16" spans="1:2">
      <c r="A16" s="18" t="s">
        <v>38</v>
      </c>
      <c r="B16" s="18" t="s">
        <v>39</v>
      </c>
    </row>
    <row r="17" spans="1:2">
      <c r="A17" s="18" t="s">
        <v>40</v>
      </c>
      <c r="B17" s="18" t="s">
        <v>41</v>
      </c>
    </row>
    <row r="18" spans="1:2">
      <c r="A18" s="18" t="s">
        <v>42</v>
      </c>
      <c r="B18" s="18" t="s">
        <v>43</v>
      </c>
    </row>
    <row r="19" spans="1:2">
      <c r="A19" s="18" t="s">
        <v>44</v>
      </c>
      <c r="B19" s="18" t="s">
        <v>45</v>
      </c>
    </row>
    <row r="20" spans="1:2">
      <c r="A20" s="18" t="s">
        <v>46</v>
      </c>
      <c r="B20" s="18" t="s">
        <v>47</v>
      </c>
    </row>
    <row r="21" spans="1:2">
      <c r="A21" s="18" t="s">
        <v>48</v>
      </c>
      <c r="B21" s="18" t="s">
        <v>49</v>
      </c>
    </row>
    <row r="22" spans="1:2">
      <c r="A22" s="18" t="s">
        <v>50</v>
      </c>
      <c r="B22" s="18" t="s">
        <v>51</v>
      </c>
    </row>
    <row r="23" spans="1:2">
      <c r="A23" s="18" t="s">
        <v>50</v>
      </c>
      <c r="B23" s="18" t="s">
        <v>52</v>
      </c>
    </row>
    <row r="24" spans="1:2">
      <c r="A24" s="18" t="s">
        <v>53</v>
      </c>
      <c r="B24" s="18" t="s">
        <v>54</v>
      </c>
    </row>
    <row r="25" spans="1:2">
      <c r="A25" s="18" t="s">
        <v>55</v>
      </c>
      <c r="B25" s="18" t="s">
        <v>56</v>
      </c>
    </row>
    <row r="26" spans="1:2">
      <c r="A26" s="18" t="s">
        <v>57</v>
      </c>
      <c r="B26" s="18" t="s">
        <v>58</v>
      </c>
    </row>
    <row r="27" spans="1:2">
      <c r="A27" s="18" t="s">
        <v>59</v>
      </c>
      <c r="B27" s="18" t="s">
        <v>60</v>
      </c>
    </row>
    <row r="28" spans="1:2">
      <c r="A28" s="18" t="s">
        <v>61</v>
      </c>
      <c r="B28" s="18" t="s">
        <v>62</v>
      </c>
    </row>
    <row r="29" spans="1:2">
      <c r="A29" s="18" t="s">
        <v>63</v>
      </c>
      <c r="B29" s="18" t="s">
        <v>64</v>
      </c>
    </row>
    <row r="30" spans="1:2">
      <c r="A30" s="18" t="s">
        <v>65</v>
      </c>
      <c r="B30" s="18" t="s">
        <v>66</v>
      </c>
    </row>
    <row r="31" spans="1:2">
      <c r="A31" s="18" t="s">
        <v>65</v>
      </c>
      <c r="B31" s="18" t="s">
        <v>67</v>
      </c>
    </row>
    <row r="32" spans="1:2">
      <c r="A32" s="18" t="s">
        <v>68</v>
      </c>
      <c r="B32" s="18" t="s">
        <v>69</v>
      </c>
    </row>
    <row r="33" spans="1:2">
      <c r="A33" s="18" t="s">
        <v>70</v>
      </c>
      <c r="B33" s="18" t="s">
        <v>71</v>
      </c>
    </row>
    <row r="34" spans="1:2">
      <c r="A34" s="18" t="s">
        <v>72</v>
      </c>
      <c r="B34" s="18" t="s">
        <v>73</v>
      </c>
    </row>
    <row r="35" spans="1:2">
      <c r="A35" s="18" t="s">
        <v>74</v>
      </c>
      <c r="B35" s="18" t="s">
        <v>75</v>
      </c>
    </row>
    <row r="36" spans="1:2">
      <c r="A36" s="18" t="s">
        <v>76</v>
      </c>
      <c r="B36" s="18" t="s">
        <v>77</v>
      </c>
    </row>
    <row r="37" spans="1:2">
      <c r="A37" s="18" t="s">
        <v>78</v>
      </c>
      <c r="B37" s="18" t="s">
        <v>79</v>
      </c>
    </row>
    <row r="38" spans="1:2">
      <c r="A38" s="18" t="s">
        <v>80</v>
      </c>
      <c r="B38" s="18" t="s">
        <v>81</v>
      </c>
    </row>
    <row r="39" spans="1:2">
      <c r="A39" s="18" t="s">
        <v>82</v>
      </c>
      <c r="B39" s="18" t="s">
        <v>83</v>
      </c>
    </row>
    <row r="40" spans="1:2">
      <c r="A40" s="18" t="s">
        <v>82</v>
      </c>
      <c r="B40" s="18" t="s">
        <v>84</v>
      </c>
    </row>
    <row r="41" spans="1:2">
      <c r="A41" s="18" t="s">
        <v>85</v>
      </c>
      <c r="B41" s="18" t="s">
        <v>86</v>
      </c>
    </row>
    <row r="42" spans="1:2">
      <c r="A42" s="18" t="s">
        <v>85</v>
      </c>
      <c r="B42" s="18" t="s">
        <v>87</v>
      </c>
    </row>
    <row r="43" spans="1:2">
      <c r="A43" s="18" t="s">
        <v>85</v>
      </c>
      <c r="B43" s="18" t="s">
        <v>88</v>
      </c>
    </row>
    <row r="44" spans="1:2">
      <c r="A44" s="18" t="s">
        <v>89</v>
      </c>
      <c r="B44" s="18" t="s">
        <v>90</v>
      </c>
    </row>
    <row r="45" spans="1:2">
      <c r="A45" s="18" t="s">
        <v>89</v>
      </c>
      <c r="B45" s="18" t="s">
        <v>91</v>
      </c>
    </row>
    <row r="46" spans="1:2">
      <c r="A46" s="18" t="s">
        <v>89</v>
      </c>
      <c r="B46" s="18" t="s">
        <v>92</v>
      </c>
    </row>
    <row r="47" spans="1:2">
      <c r="A47" s="18" t="s">
        <v>93</v>
      </c>
      <c r="B47" s="18" t="s">
        <v>94</v>
      </c>
    </row>
    <row r="48" spans="1:2">
      <c r="A48" s="18" t="s">
        <v>93</v>
      </c>
      <c r="B48" s="18" t="s">
        <v>95</v>
      </c>
    </row>
    <row r="49" spans="1:2">
      <c r="A49" s="18" t="s">
        <v>96</v>
      </c>
      <c r="B49" s="18" t="s">
        <v>97</v>
      </c>
    </row>
    <row r="50" spans="1:2">
      <c r="A50" s="18" t="s">
        <v>98</v>
      </c>
      <c r="B50" s="18" t="s">
        <v>99</v>
      </c>
    </row>
    <row r="51" spans="1:2">
      <c r="A51" s="18" t="s">
        <v>98</v>
      </c>
      <c r="B51" s="18" t="s">
        <v>100</v>
      </c>
    </row>
    <row r="52" spans="1:2">
      <c r="A52" s="18" t="s">
        <v>101</v>
      </c>
      <c r="B52" s="18" t="s">
        <v>102</v>
      </c>
    </row>
    <row r="53" spans="1:2">
      <c r="A53" s="18" t="s">
        <v>101</v>
      </c>
      <c r="B53" s="18" t="s">
        <v>103</v>
      </c>
    </row>
    <row r="54" spans="1:2">
      <c r="A54" s="18" t="s">
        <v>104</v>
      </c>
      <c r="B54" s="18" t="s">
        <v>105</v>
      </c>
    </row>
    <row r="55" spans="1:2">
      <c r="A55" s="18" t="s">
        <v>106</v>
      </c>
      <c r="B55" s="18" t="s">
        <v>107</v>
      </c>
    </row>
    <row r="56" spans="1:2">
      <c r="A56" s="18" t="s">
        <v>108</v>
      </c>
      <c r="B56" s="18" t="s">
        <v>109</v>
      </c>
    </row>
    <row r="57" spans="1:2">
      <c r="A57" s="18" t="s">
        <v>110</v>
      </c>
      <c r="B57" s="18" t="s">
        <v>111</v>
      </c>
    </row>
    <row r="58" spans="1:2">
      <c r="A58" s="18" t="s">
        <v>112</v>
      </c>
      <c r="B58" s="18" t="s">
        <v>113</v>
      </c>
    </row>
    <row r="59" spans="1:2">
      <c r="A59" s="18" t="s">
        <v>114</v>
      </c>
      <c r="B59" s="18" t="s">
        <v>115</v>
      </c>
    </row>
    <row r="60" spans="1:2">
      <c r="A60" s="18" t="s">
        <v>116</v>
      </c>
      <c r="B60" s="18" t="s">
        <v>117</v>
      </c>
    </row>
    <row r="61" spans="1:2">
      <c r="A61" s="18" t="s">
        <v>118</v>
      </c>
      <c r="B61" s="18" t="s">
        <v>119</v>
      </c>
    </row>
    <row r="62" spans="1:2">
      <c r="A62" s="18" t="s">
        <v>120</v>
      </c>
      <c r="B62" s="18" t="s">
        <v>121</v>
      </c>
    </row>
    <row r="63" spans="1:2">
      <c r="A63" s="18" t="s">
        <v>122</v>
      </c>
      <c r="B63" s="18" t="s">
        <v>123</v>
      </c>
    </row>
    <row r="64" spans="1:2">
      <c r="A64" s="18" t="s">
        <v>124</v>
      </c>
      <c r="B64" s="18" t="s">
        <v>125</v>
      </c>
    </row>
    <row r="65" spans="1:2">
      <c r="A65" s="18" t="s">
        <v>126</v>
      </c>
      <c r="B65" s="18" t="s">
        <v>127</v>
      </c>
    </row>
    <row r="66" spans="1:2">
      <c r="A66" s="18" t="s">
        <v>126</v>
      </c>
      <c r="B66" s="18" t="s">
        <v>128</v>
      </c>
    </row>
    <row r="67" spans="1:2">
      <c r="A67" s="18" t="s">
        <v>129</v>
      </c>
      <c r="B67" s="18" t="s">
        <v>130</v>
      </c>
    </row>
    <row r="68" spans="1:2">
      <c r="A68" s="18" t="s">
        <v>131</v>
      </c>
      <c r="B68" s="18" t="s">
        <v>132</v>
      </c>
    </row>
    <row r="69" spans="1:2">
      <c r="A69" s="18" t="s">
        <v>133</v>
      </c>
      <c r="B69" s="18" t="s">
        <v>134</v>
      </c>
    </row>
    <row r="70" spans="1:2">
      <c r="A70" s="18" t="s">
        <v>135</v>
      </c>
      <c r="B70" s="18" t="s">
        <v>136</v>
      </c>
    </row>
    <row r="71" spans="1:2">
      <c r="A71" s="18" t="s">
        <v>137</v>
      </c>
      <c r="B71" s="18" t="s">
        <v>138</v>
      </c>
    </row>
    <row r="72" spans="1:2">
      <c r="A72" s="18" t="s">
        <v>139</v>
      </c>
      <c r="B72" s="18" t="s">
        <v>140</v>
      </c>
    </row>
    <row r="73" spans="1:2">
      <c r="A73" s="18" t="s">
        <v>141</v>
      </c>
      <c r="B73" s="18" t="s">
        <v>142</v>
      </c>
    </row>
    <row r="74" spans="1:2">
      <c r="A74" s="18" t="s">
        <v>143</v>
      </c>
      <c r="B74" s="18" t="s">
        <v>144</v>
      </c>
    </row>
    <row r="75" spans="1:2">
      <c r="A75" s="18" t="s">
        <v>145</v>
      </c>
      <c r="B75" s="18" t="s">
        <v>146</v>
      </c>
    </row>
    <row r="76" spans="1:2">
      <c r="A76" s="18" t="s">
        <v>145</v>
      </c>
      <c r="B76" s="18" t="s">
        <v>147</v>
      </c>
    </row>
    <row r="77" spans="1:2">
      <c r="A77" s="18" t="s">
        <v>148</v>
      </c>
      <c r="B77" s="18" t="s">
        <v>149</v>
      </c>
    </row>
    <row r="78" spans="1:2">
      <c r="A78" s="18" t="s">
        <v>150</v>
      </c>
      <c r="B78" s="18" t="s">
        <v>151</v>
      </c>
    </row>
    <row r="79" spans="1:2">
      <c r="A79" s="18" t="s">
        <v>152</v>
      </c>
      <c r="B79" s="18" t="s">
        <v>151</v>
      </c>
    </row>
    <row r="80" spans="1:2">
      <c r="A80" s="18" t="s">
        <v>153</v>
      </c>
      <c r="B80" s="18" t="s">
        <v>154</v>
      </c>
    </row>
    <row r="81" spans="1:2">
      <c r="A81" s="18" t="s">
        <v>155</v>
      </c>
      <c r="B81" s="18" t="s">
        <v>156</v>
      </c>
    </row>
    <row r="82" spans="1:2">
      <c r="A82" s="18" t="s">
        <v>157</v>
      </c>
      <c r="B82" s="18" t="s">
        <v>158</v>
      </c>
    </row>
    <row r="83" spans="1:2">
      <c r="A83" s="18" t="s">
        <v>157</v>
      </c>
      <c r="B83" s="18" t="s">
        <v>159</v>
      </c>
    </row>
    <row r="84" spans="1:2">
      <c r="A84" s="18" t="s">
        <v>160</v>
      </c>
      <c r="B84" s="18" t="s">
        <v>161</v>
      </c>
    </row>
    <row r="85" spans="1:2">
      <c r="A85" s="18" t="s">
        <v>162</v>
      </c>
      <c r="B85" s="18" t="s">
        <v>163</v>
      </c>
    </row>
    <row r="86" spans="1:2">
      <c r="A86" s="18" t="s">
        <v>162</v>
      </c>
      <c r="B86" s="18" t="s">
        <v>164</v>
      </c>
    </row>
    <row r="87" spans="1:2">
      <c r="A87" s="18" t="s">
        <v>165</v>
      </c>
      <c r="B87" s="18" t="s">
        <v>166</v>
      </c>
    </row>
    <row r="88" spans="1:2">
      <c r="A88" s="18" t="s">
        <v>167</v>
      </c>
      <c r="B88" s="18" t="s">
        <v>168</v>
      </c>
    </row>
    <row r="89" spans="1:2">
      <c r="A89" s="18" t="s">
        <v>167</v>
      </c>
      <c r="B89" s="18" t="s">
        <v>169</v>
      </c>
    </row>
    <row r="90" spans="1:2">
      <c r="A90" s="18" t="s">
        <v>170</v>
      </c>
      <c r="B90" s="18" t="s">
        <v>171</v>
      </c>
    </row>
    <row r="91" spans="1:2">
      <c r="A91" s="18" t="s">
        <v>170</v>
      </c>
      <c r="B91" s="18" t="s">
        <v>172</v>
      </c>
    </row>
    <row r="92" spans="1:2">
      <c r="A92" s="18" t="s">
        <v>173</v>
      </c>
      <c r="B92" s="18" t="s">
        <v>174</v>
      </c>
    </row>
    <row r="93" spans="1:2">
      <c r="A93" s="18" t="s">
        <v>173</v>
      </c>
      <c r="B93" s="18" t="s">
        <v>175</v>
      </c>
    </row>
    <row r="94" spans="1:2">
      <c r="A94" s="18" t="s">
        <v>173</v>
      </c>
      <c r="B94" s="18" t="s">
        <v>176</v>
      </c>
    </row>
    <row r="95" spans="1:2">
      <c r="A95" s="18" t="s">
        <v>177</v>
      </c>
      <c r="B95" s="18" t="s">
        <v>178</v>
      </c>
    </row>
    <row r="96" spans="1:2">
      <c r="A96" s="18" t="s">
        <v>177</v>
      </c>
      <c r="B96" s="18" t="s">
        <v>179</v>
      </c>
    </row>
    <row r="97" spans="1:2">
      <c r="A97" s="18" t="s">
        <v>180</v>
      </c>
      <c r="B97" s="18" t="s">
        <v>181</v>
      </c>
    </row>
    <row r="98" spans="1:2">
      <c r="A98" s="18" t="s">
        <v>182</v>
      </c>
      <c r="B98" s="18" t="s">
        <v>183</v>
      </c>
    </row>
    <row r="99" spans="1:2">
      <c r="A99" s="18" t="s">
        <v>182</v>
      </c>
      <c r="B99" s="18" t="s">
        <v>184</v>
      </c>
    </row>
    <row r="100" spans="1:2">
      <c r="A100" s="18" t="s">
        <v>185</v>
      </c>
      <c r="B100" s="18" t="s">
        <v>186</v>
      </c>
    </row>
    <row r="101" spans="1:2">
      <c r="A101" s="18" t="s">
        <v>187</v>
      </c>
      <c r="B101" s="18" t="s">
        <v>188</v>
      </c>
    </row>
    <row r="102" spans="1:2">
      <c r="A102" s="18" t="s">
        <v>189</v>
      </c>
      <c r="B102" s="18" t="s">
        <v>190</v>
      </c>
    </row>
    <row r="103" spans="1:2">
      <c r="A103" s="18" t="s">
        <v>191</v>
      </c>
      <c r="B103" s="18" t="s">
        <v>192</v>
      </c>
    </row>
    <row r="104" spans="1:2">
      <c r="A104" s="18" t="s">
        <v>193</v>
      </c>
      <c r="B104" s="18" t="s">
        <v>194</v>
      </c>
    </row>
    <row r="105" spans="1:2">
      <c r="A105" s="18" t="s">
        <v>195</v>
      </c>
      <c r="B105" s="18" t="s">
        <v>196</v>
      </c>
    </row>
    <row r="106" spans="1:2">
      <c r="A106" s="18" t="s">
        <v>197</v>
      </c>
      <c r="B106" s="18" t="s">
        <v>198</v>
      </c>
    </row>
    <row r="107" spans="1:2">
      <c r="A107" s="18" t="s">
        <v>197</v>
      </c>
      <c r="B107" s="18" t="s">
        <v>33</v>
      </c>
    </row>
    <row r="108" spans="1:2">
      <c r="A108" s="18" t="s">
        <v>199</v>
      </c>
      <c r="B108" s="18" t="s">
        <v>200</v>
      </c>
    </row>
    <row r="109" spans="1:2">
      <c r="A109" s="18" t="s">
        <v>201</v>
      </c>
      <c r="B109" s="18" t="s">
        <v>202</v>
      </c>
    </row>
    <row r="110" spans="1:2">
      <c r="A110" s="18" t="s">
        <v>203</v>
      </c>
      <c r="B110" s="18" t="s">
        <v>204</v>
      </c>
    </row>
    <row r="111" spans="1:2">
      <c r="A111" s="18" t="s">
        <v>205</v>
      </c>
      <c r="B111" s="18" t="s">
        <v>206</v>
      </c>
    </row>
    <row r="112" spans="1:2">
      <c r="A112" s="18" t="s">
        <v>205</v>
      </c>
      <c r="B112" s="18" t="s">
        <v>207</v>
      </c>
    </row>
    <row r="113" spans="1:2">
      <c r="A113" s="18" t="s">
        <v>208</v>
      </c>
      <c r="B113" s="18" t="s">
        <v>33</v>
      </c>
    </row>
    <row r="114" spans="1:2">
      <c r="A114" s="18" t="s">
        <v>208</v>
      </c>
      <c r="B114" s="18" t="s">
        <v>209</v>
      </c>
    </row>
    <row r="115" spans="1:2">
      <c r="A115" s="18" t="s">
        <v>210</v>
      </c>
      <c r="B115" s="18" t="s">
        <v>211</v>
      </c>
    </row>
    <row r="116" spans="1:2">
      <c r="A116" s="18" t="s">
        <v>212</v>
      </c>
      <c r="B116" s="18" t="s">
        <v>213</v>
      </c>
    </row>
    <row r="117" spans="1:2">
      <c r="A117" s="18" t="s">
        <v>214</v>
      </c>
      <c r="B117" s="18" t="s">
        <v>215</v>
      </c>
    </row>
    <row r="118" spans="1:2">
      <c r="A118" s="18" t="s">
        <v>216</v>
      </c>
      <c r="B118" s="18" t="s">
        <v>217</v>
      </c>
    </row>
    <row r="119" spans="1:2">
      <c r="A119" s="18" t="s">
        <v>218</v>
      </c>
      <c r="B119" s="18" t="s">
        <v>219</v>
      </c>
    </row>
    <row r="120" spans="1:2">
      <c r="A120" s="18" t="s">
        <v>220</v>
      </c>
      <c r="B120" s="18" t="s">
        <v>221</v>
      </c>
    </row>
    <row r="121" spans="1:2">
      <c r="A121" s="18" t="s">
        <v>222</v>
      </c>
      <c r="B121" s="18" t="s">
        <v>223</v>
      </c>
    </row>
    <row r="122" spans="1:2">
      <c r="A122" s="18" t="s">
        <v>224</v>
      </c>
      <c r="B122" s="18" t="s">
        <v>225</v>
      </c>
    </row>
    <row r="123" spans="1:2">
      <c r="A123" s="18" t="s">
        <v>226</v>
      </c>
      <c r="B123" s="18" t="s">
        <v>227</v>
      </c>
    </row>
    <row r="124" spans="1:2">
      <c r="A124" s="18" t="s">
        <v>228</v>
      </c>
      <c r="B124" s="18" t="s">
        <v>229</v>
      </c>
    </row>
    <row r="125" spans="1:2">
      <c r="A125" s="18" t="s">
        <v>230</v>
      </c>
      <c r="B125" s="18" t="s">
        <v>231</v>
      </c>
    </row>
    <row r="126" spans="1:2">
      <c r="A126" s="18" t="s">
        <v>232</v>
      </c>
      <c r="B126" s="18" t="s">
        <v>233</v>
      </c>
    </row>
    <row r="127" spans="1:2">
      <c r="A127" s="18" t="s">
        <v>234</v>
      </c>
      <c r="B127" s="18" t="s">
        <v>235</v>
      </c>
    </row>
    <row r="128" spans="1:2">
      <c r="A128" s="18" t="s">
        <v>236</v>
      </c>
      <c r="B128" s="18" t="s">
        <v>237</v>
      </c>
    </row>
    <row r="129" spans="1:2">
      <c r="A129" s="18" t="s">
        <v>238</v>
      </c>
      <c r="B129" s="18" t="s">
        <v>239</v>
      </c>
    </row>
    <row r="130" spans="1:2">
      <c r="A130" s="18" t="s">
        <v>240</v>
      </c>
      <c r="B130" s="18" t="s">
        <v>241</v>
      </c>
    </row>
    <row r="131" spans="1:2">
      <c r="A131" s="18" t="s">
        <v>242</v>
      </c>
      <c r="B131" s="18" t="s">
        <v>243</v>
      </c>
    </row>
    <row r="132" spans="1:2">
      <c r="A132" s="18" t="s">
        <v>244</v>
      </c>
      <c r="B132" s="18" t="s">
        <v>245</v>
      </c>
    </row>
    <row r="133" spans="1:2">
      <c r="A133" s="18" t="s">
        <v>246</v>
      </c>
      <c r="B133" s="18" t="s">
        <v>247</v>
      </c>
    </row>
    <row r="134" spans="1:2">
      <c r="A134" s="18" t="s">
        <v>248</v>
      </c>
      <c r="B134" s="18" t="s">
        <v>249</v>
      </c>
    </row>
    <row r="135" spans="1:2">
      <c r="A135" s="18" t="s">
        <v>250</v>
      </c>
      <c r="B135" s="18" t="s">
        <v>251</v>
      </c>
    </row>
    <row r="136" spans="1:2">
      <c r="A136" s="18" t="s">
        <v>252</v>
      </c>
      <c r="B136" s="18" t="s">
        <v>253</v>
      </c>
    </row>
    <row r="137" spans="1:2">
      <c r="A137" s="18" t="s">
        <v>254</v>
      </c>
      <c r="B137" s="18" t="s">
        <v>255</v>
      </c>
    </row>
    <row r="138" spans="1:2">
      <c r="A138" s="18" t="s">
        <v>256</v>
      </c>
      <c r="B138" s="18" t="s">
        <v>257</v>
      </c>
    </row>
    <row r="139" spans="1:2">
      <c r="A139" s="18" t="s">
        <v>258</v>
      </c>
      <c r="B139" s="18" t="s">
        <v>259</v>
      </c>
    </row>
    <row r="140" spans="1:2">
      <c r="A140" s="18" t="s">
        <v>260</v>
      </c>
      <c r="B140" s="18" t="s">
        <v>261</v>
      </c>
    </row>
    <row r="141" spans="1:2">
      <c r="A141" s="18" t="s">
        <v>262</v>
      </c>
      <c r="B141" s="18" t="s">
        <v>263</v>
      </c>
    </row>
    <row r="142" spans="1:2">
      <c r="A142" s="18" t="s">
        <v>264</v>
      </c>
      <c r="B142" s="18" t="s">
        <v>265</v>
      </c>
    </row>
    <row r="143" spans="1:2">
      <c r="A143" s="18" t="s">
        <v>266</v>
      </c>
      <c r="B143" s="18" t="s">
        <v>267</v>
      </c>
    </row>
    <row r="144" spans="1:2">
      <c r="A144" s="18" t="s">
        <v>268</v>
      </c>
      <c r="B144" s="18" t="s">
        <v>269</v>
      </c>
    </row>
    <row r="145" spans="1:2">
      <c r="A145" s="18" t="s">
        <v>270</v>
      </c>
      <c r="B145" s="18" t="s">
        <v>271</v>
      </c>
    </row>
    <row r="146" spans="1:2">
      <c r="A146" s="18" t="s">
        <v>272</v>
      </c>
      <c r="B146" s="18" t="s">
        <v>273</v>
      </c>
    </row>
    <row r="147" spans="1:2">
      <c r="A147" s="18" t="s">
        <v>274</v>
      </c>
      <c r="B147" s="18" t="s">
        <v>275</v>
      </c>
    </row>
    <row r="148" spans="1:2">
      <c r="A148" s="18" t="s">
        <v>276</v>
      </c>
      <c r="B148" s="18" t="s">
        <v>277</v>
      </c>
    </row>
    <row r="149" spans="1:2">
      <c r="A149" s="18" t="s">
        <v>278</v>
      </c>
      <c r="B149" s="18" t="s">
        <v>279</v>
      </c>
    </row>
    <row r="150" spans="1:2">
      <c r="A150" s="18" t="s">
        <v>280</v>
      </c>
      <c r="B150" s="18" t="s">
        <v>281</v>
      </c>
    </row>
    <row r="151" spans="1:2">
      <c r="A151" s="18" t="s">
        <v>282</v>
      </c>
      <c r="B151" s="18" t="s">
        <v>283</v>
      </c>
    </row>
    <row r="152" spans="1:2">
      <c r="A152" s="18" t="s">
        <v>284</v>
      </c>
      <c r="B152" s="18" t="s">
        <v>285</v>
      </c>
    </row>
    <row r="153" spans="1:2">
      <c r="A153" s="18" t="s">
        <v>286</v>
      </c>
      <c r="B153" s="18" t="s">
        <v>287</v>
      </c>
    </row>
    <row r="154" spans="1:2">
      <c r="A154" s="18" t="s">
        <v>288</v>
      </c>
      <c r="B154" s="18" t="s">
        <v>289</v>
      </c>
    </row>
    <row r="155" spans="1:2">
      <c r="A155" s="18" t="s">
        <v>290</v>
      </c>
      <c r="B155" s="18" t="s">
        <v>291</v>
      </c>
    </row>
    <row r="156" spans="1:2">
      <c r="A156" s="18" t="s">
        <v>292</v>
      </c>
      <c r="B156" s="18" t="s">
        <v>293</v>
      </c>
    </row>
    <row r="157" spans="1:2">
      <c r="A157" s="18" t="s">
        <v>294</v>
      </c>
      <c r="B157" s="18" t="s">
        <v>295</v>
      </c>
    </row>
    <row r="158" spans="1:2">
      <c r="A158" s="18" t="s">
        <v>296</v>
      </c>
      <c r="B158" s="18" t="s">
        <v>297</v>
      </c>
    </row>
    <row r="159" spans="1:2">
      <c r="A159" s="18" t="s">
        <v>298</v>
      </c>
      <c r="B159" s="18" t="s">
        <v>299</v>
      </c>
    </row>
    <row r="160" spans="1:2">
      <c r="A160" s="18" t="s">
        <v>300</v>
      </c>
      <c r="B160" s="18" t="s">
        <v>301</v>
      </c>
    </row>
    <row r="161" spans="1:2">
      <c r="A161" s="18" t="s">
        <v>300</v>
      </c>
      <c r="B161" s="18" t="s">
        <v>302</v>
      </c>
    </row>
    <row r="162" spans="1:2">
      <c r="A162" s="18" t="s">
        <v>303</v>
      </c>
      <c r="B162" s="18" t="s">
        <v>304</v>
      </c>
    </row>
    <row r="163" spans="1:2">
      <c r="A163" s="18" t="s">
        <v>305</v>
      </c>
      <c r="B163" s="18" t="s">
        <v>306</v>
      </c>
    </row>
    <row r="164" spans="1:2">
      <c r="A164" s="18" t="s">
        <v>307</v>
      </c>
      <c r="B164" s="18" t="s">
        <v>308</v>
      </c>
    </row>
    <row r="165" spans="1:2">
      <c r="A165" s="18" t="s">
        <v>309</v>
      </c>
      <c r="B165" s="18" t="s">
        <v>310</v>
      </c>
    </row>
    <row r="166" spans="1:2">
      <c r="A166" s="18" t="s">
        <v>311</v>
      </c>
      <c r="B166" s="18" t="s">
        <v>312</v>
      </c>
    </row>
    <row r="167" spans="1:2">
      <c r="A167" s="18" t="s">
        <v>313</v>
      </c>
      <c r="B167" s="18" t="s">
        <v>314</v>
      </c>
    </row>
    <row r="168" spans="1:2">
      <c r="A168" s="18" t="s">
        <v>315</v>
      </c>
      <c r="B168" s="18" t="s">
        <v>316</v>
      </c>
    </row>
    <row r="169" spans="1:2">
      <c r="A169" s="18" t="s">
        <v>317</v>
      </c>
      <c r="B169" s="18" t="s">
        <v>318</v>
      </c>
    </row>
    <row r="170" spans="1:2">
      <c r="B170" s="18" t="s">
        <v>319</v>
      </c>
    </row>
    <row r="171" spans="1:2">
      <c r="A171" s="18" t="s">
        <v>320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54DC6-374D-4986-96B0-F1A090138EDE}">
  <dimension ref="A1:H5"/>
  <sheetViews>
    <sheetView workbookViewId="0">
      <selection activeCell="G11" sqref="G11"/>
    </sheetView>
  </sheetViews>
  <sheetFormatPr defaultRowHeight="14.5"/>
  <cols>
    <col min="3" max="7" width="15.54296875" style="1" customWidth="1"/>
  </cols>
  <sheetData>
    <row r="1" spans="1:8">
      <c r="A1" s="2"/>
      <c r="B1" s="2"/>
      <c r="C1" s="3"/>
      <c r="D1" s="3"/>
      <c r="E1" s="3"/>
      <c r="F1" s="3"/>
      <c r="G1" s="3"/>
      <c r="H1" s="2"/>
    </row>
    <row r="2" spans="1:8">
      <c r="A2" s="2"/>
      <c r="B2" s="2"/>
      <c r="C2" s="58" t="s">
        <v>2</v>
      </c>
      <c r="D2" s="58"/>
      <c r="E2" s="58"/>
      <c r="F2" s="58"/>
      <c r="G2" s="4" t="s">
        <v>1</v>
      </c>
      <c r="H2" s="2"/>
    </row>
    <row r="3" spans="1:8" ht="23">
      <c r="A3" s="2"/>
      <c r="B3" s="2"/>
      <c r="C3" s="5" t="s">
        <v>7</v>
      </c>
      <c r="D3" s="5" t="s">
        <v>6</v>
      </c>
      <c r="E3" s="5" t="s">
        <v>5</v>
      </c>
      <c r="F3" s="5" t="s">
        <v>4</v>
      </c>
      <c r="G3" s="5" t="s">
        <v>3</v>
      </c>
      <c r="H3" s="2"/>
    </row>
    <row r="4" spans="1:8" ht="72.75" customHeight="1">
      <c r="A4" s="2"/>
      <c r="B4" s="2"/>
      <c r="C4" s="6"/>
      <c r="D4" s="6"/>
      <c r="E4" s="6"/>
      <c r="F4" s="6"/>
      <c r="G4" s="6"/>
      <c r="H4" s="2"/>
    </row>
    <row r="5" spans="1:8">
      <c r="A5" s="2"/>
      <c r="B5" s="2"/>
      <c r="C5" s="3"/>
      <c r="D5" s="3"/>
      <c r="E5" s="3"/>
      <c r="F5" s="3"/>
      <c r="G5" s="3"/>
      <c r="H5" s="2"/>
    </row>
  </sheetData>
  <mergeCells count="1">
    <mergeCell ref="C2:F2"/>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 blank</vt:lpstr>
      <vt:lpstr>フォーム説明</vt:lpstr>
      <vt:lpstr>Master</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 VuThiPhuong (BIVN-PUR PUR)</dc:creator>
  <cp:lastModifiedBy>Thuy, VuThiPhuong (BIVN-PUR PUR)</cp:lastModifiedBy>
  <dcterms:created xsi:type="dcterms:W3CDTF">2025-11-05T10:16:20Z</dcterms:created>
  <dcterms:modified xsi:type="dcterms:W3CDTF">2026-02-23T09:38:42Z</dcterms:modified>
</cp:coreProperties>
</file>
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tuyenmt\Downloads\prj_warehouse_bivn-soft\prj_warehouse_bivn-soft\Data\"/>
    </mc:Choice>
  </mc:AlternateContent>
  <xr:revisionPtr revIDLastSave="0" documentId="13_ncr:1_{45BE1162-40B0-4BD6-B8D0-7DA08B4DD650}" xr6:coauthVersionLast="47" xr6:coauthVersionMax="47" xr10:uidLastSave="{00000000-0000-0000-0000-000000000000}"/>
  <bookViews>
    <workbookView xWindow="7770" yWindow="-14970" windowWidth="26640" windowHeight="14370" xr2:uid="{00000000-000D-0000-FFFF-FFFF00000000}"/>
  </bookViews>
  <sheets>
    <sheet name="Phieu yeu cau hang hoa (New)" sheetId="2" r:id="rId1"/>
  </sheets>
  <functionGroups builtInGroupCount="19"/>
  <definedNames>
    <definedName name="_xlnm._FilterDatabase" localSheetId="0" hidden="1">'Phieu yeu cau hang hoa (New)'!$A$6:$WWK$23</definedName>
    <definedName name="Brother_Industries__Vietnam__Ltd" localSheetId="0">#REF!</definedName>
    <definedName name="Brother_Industries__Vietnam__Ltd">#REF!</definedName>
    <definedName name="_xlnm.Print_Area" localSheetId="0">'Phieu yeu cau hang hoa (New)'!$A$1:$O$33</definedName>
    <definedName name="_xlnm.Print_Titles" localSheetId="0">'Phieu yeu cau hang hoa (New)'!$7:$8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7" i="2" l="1"/>
  <c r="T68" i="2" s="1"/>
  <c r="T69" i="2" s="1"/>
  <c r="T70" i="2" s="1"/>
  <c r="T62" i="2"/>
  <c r="T63" i="2" s="1"/>
  <c r="T64" i="2" s="1"/>
  <c r="T57" i="2"/>
  <c r="T58" i="2" s="1"/>
  <c r="T52" i="2"/>
  <c r="T53" i="2" s="1"/>
  <c r="T54" i="2" s="1"/>
  <c r="T48" i="2"/>
  <c r="T49" i="2" s="1"/>
  <c r="T50" i="2" s="1"/>
  <c r="T39" i="2"/>
  <c r="T40" i="2" s="1"/>
  <c r="T41" i="2" s="1"/>
  <c r="T42" i="2" s="1"/>
  <c r="T43" i="2" s="1"/>
  <c r="T44" i="2" s="1"/>
  <c r="T45" i="2" s="1"/>
  <c r="T46" i="2" s="1"/>
  <c r="T30" i="2"/>
  <c r="T31" i="2" s="1"/>
  <c r="T32" i="2" s="1"/>
  <c r="T33" i="2" s="1"/>
  <c r="T34" i="2" s="1"/>
  <c r="T35" i="2" s="1"/>
  <c r="T36" i="2" s="1"/>
  <c r="T37" i="2" s="1"/>
  <c r="T16" i="2"/>
  <c r="T17" i="2" s="1"/>
  <c r="T18" i="2" s="1"/>
  <c r="T19" i="2" s="1"/>
  <c r="T20" i="2" s="1"/>
  <c r="T21" i="2" s="1"/>
  <c r="T22" i="2" s="1"/>
  <c r="T23" i="2" s="1"/>
  <c r="T24" i="2" s="1"/>
  <c r="T25" i="2" s="1"/>
  <c r="T26" i="2" s="1"/>
  <c r="T27" i="2" s="1"/>
  <c r="T28" i="2" s="1"/>
  <c r="T8" i="2"/>
  <c r="T9" i="2" s="1"/>
  <c r="T10" i="2" s="1"/>
  <c r="T11" i="2" s="1"/>
  <c r="T12" i="2" s="1"/>
  <c r="T13" i="2" s="1"/>
  <c r="T14" i="2" s="1"/>
  <c r="L20" i="2" l="1"/>
  <c r="L19" i="2"/>
  <c r="L18" i="2"/>
  <c r="L17" i="2"/>
  <c r="L16" i="2"/>
  <c r="L15" i="2"/>
  <c r="L14" i="2"/>
  <c r="L13" i="2"/>
  <c r="L12" i="2"/>
  <c r="L11" i="2"/>
  <c r="L10" i="2"/>
  <c r="L9" i="2"/>
  <c r="L2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sugimosh</author>
  </authors>
  <commentList>
    <comment ref="S65" authorId="0" shapeId="0" xr:uid="{00000000-0006-0000-0000-000001000000}">
      <text>
        <r>
          <rPr>
            <b/>
            <sz val="9"/>
            <color indexed="81"/>
            <rFont val="ＭＳ Ｐゴシック"/>
            <family val="3"/>
            <charset val="128"/>
          </rPr>
          <t>Dec14 newly added</t>
        </r>
      </text>
    </comment>
  </commentList>
</comments>
</file>

<file path=xl/sharedStrings.xml><?xml version="1.0" encoding="utf-8"?>
<sst xmlns="http://schemas.openxmlformats.org/spreadsheetml/2006/main" count="427" uniqueCount="425">
  <si>
    <t>No</t>
  </si>
  <si>
    <t>ADM-GA-CANTEEN</t>
  </si>
  <si>
    <t>1</t>
  </si>
  <si>
    <t>Expense_Entertainment</t>
  </si>
  <si>
    <t>Quà biếu, tặng</t>
  </si>
  <si>
    <t>2430010</t>
  </si>
  <si>
    <t>ADM-PER-EC SAL</t>
  </si>
  <si>
    <t>2</t>
  </si>
  <si>
    <t>Expense_Repair</t>
  </si>
  <si>
    <t>Phí dịch vụ sửa chữa</t>
  </si>
  <si>
    <t>2430040</t>
  </si>
  <si>
    <t>ADM-GA-DORMITORY</t>
  </si>
  <si>
    <t>3</t>
  </si>
  <si>
    <t>Expense_Training</t>
  </si>
  <si>
    <t>Phí đào tạo</t>
  </si>
  <si>
    <t>2430060</t>
  </si>
  <si>
    <t>ADM-GA</t>
  </si>
  <si>
    <t>4</t>
  </si>
  <si>
    <t>Expense_Recruiting</t>
  </si>
  <si>
    <t>Chi phí tuyển dụng</t>
  </si>
  <si>
    <t>2430080</t>
  </si>
  <si>
    <t>ADM-PER</t>
  </si>
  <si>
    <t>5</t>
  </si>
  <si>
    <t>Nguyên vật liệu gián tiếp _Vật liệu tiêu hao cho văn phòng</t>
  </si>
  <si>
    <t>ADM-ACC</t>
  </si>
  <si>
    <t>6</t>
  </si>
  <si>
    <t>Nguyên vật liệu gián tiếp _Văn phòng phẩm</t>
  </si>
  <si>
    <t>Office Common IM</t>
  </si>
  <si>
    <t>7</t>
  </si>
  <si>
    <t>Nguyên vật liệu gián tiếp _Thiết bị văn phòng</t>
  </si>
  <si>
    <t>ADM-IT</t>
  </si>
  <si>
    <t>8</t>
  </si>
  <si>
    <t>Nguyên vật liệu gián tiếp _Thiết bị công nghệ thông tin</t>
  </si>
  <si>
    <t>製造１課　BLL　スキャナ</t>
  </si>
  <si>
    <t>PR1-PR1-BLL SCANNER</t>
  </si>
  <si>
    <t>Z02 Production1
（第1製造部）</t>
  </si>
  <si>
    <t>9</t>
  </si>
  <si>
    <t>Nguyên vật liệu gián tiếp _Nguyên vật liệu khác (cho văn phòng)</t>
  </si>
  <si>
    <t>PR1-PR1-BL SCANNER</t>
  </si>
  <si>
    <t>10</t>
  </si>
  <si>
    <t>Nguyên vật liệu gián tiếp _Nguyên vật liệu cho văn phòng (MM - Dùng bằng Material Request Slip)</t>
  </si>
  <si>
    <t>PR1-PR1-DSL SCANNER</t>
  </si>
  <si>
    <t>11</t>
  </si>
  <si>
    <t>Nguyên vật liệu gián tiếp _Đồ dùng cho công nhân viên</t>
  </si>
  <si>
    <t>A005</t>
  </si>
  <si>
    <t>PR1-PR1-DLL SCANNER</t>
  </si>
  <si>
    <t>12</t>
  </si>
  <si>
    <t>Nguyên vật liệu gián tiếp cho sản xuất_ Nguyên vật liệu phụ</t>
  </si>
  <si>
    <t>PR1-PR1-BLL</t>
  </si>
  <si>
    <t>13</t>
  </si>
  <si>
    <t>Nguyên vật liệu gián tiếp cho sản xuất_ Chi phí cho khuôn</t>
  </si>
  <si>
    <t>2482010</t>
  </si>
  <si>
    <t>B006</t>
  </si>
  <si>
    <t>製造１課　DLL</t>
  </si>
  <si>
    <t>PR1-PR1-DLL</t>
  </si>
  <si>
    <t>14</t>
  </si>
  <si>
    <t>Nguyên vật liệu gián tiếp cho sản xuất_ Công cụ, dụng cụ</t>
  </si>
  <si>
    <t>2482020</t>
  </si>
  <si>
    <t>PR1-PR1 COMMON</t>
  </si>
  <si>
    <t>15</t>
  </si>
  <si>
    <t>Nguyên vật liệu gián tiếp cho sản xuất_ Nguyên vật liệu khác</t>
  </si>
  <si>
    <t>2482030</t>
  </si>
  <si>
    <t>製造管理課</t>
  </si>
  <si>
    <t>PR1-MC</t>
  </si>
  <si>
    <t>16</t>
  </si>
  <si>
    <t>Nguyên vật liệu gián tiếp cho sản xuất_ Nguyên vật liệu phụ (MM - Dùng bằng Material Request Slip)</t>
  </si>
  <si>
    <t>2482040</t>
  </si>
  <si>
    <t>PR1-PR3-BL</t>
  </si>
  <si>
    <t>17</t>
  </si>
  <si>
    <t>Nguyên vật liệu gián tiếp cho sản xuất_ Nguyên vật liệu khác (MM - Dùng bằng Material Request Slip)</t>
  </si>
  <si>
    <t>2482050</t>
  </si>
  <si>
    <t>PR1-PR3 COMMON</t>
  </si>
  <si>
    <t>18</t>
  </si>
  <si>
    <t>Advances to employees</t>
  </si>
  <si>
    <t>Tạm ứng  cho công nhân viên</t>
  </si>
  <si>
    <t>PR1-PR3-RB</t>
  </si>
  <si>
    <t>19</t>
  </si>
  <si>
    <t>Advances to inter</t>
  </si>
  <si>
    <t>Phải thu nội bộ khác</t>
  </si>
  <si>
    <t>PR1-PR3-SP</t>
  </si>
  <si>
    <t>20</t>
  </si>
  <si>
    <t>Advances to outer</t>
  </si>
  <si>
    <t>Phải thu khác_Ngoài tập đoàn</t>
  </si>
  <si>
    <t>PR2-PR2-BLL DRTN</t>
  </si>
  <si>
    <t>Z07 Production2
（第2製造部）</t>
  </si>
  <si>
    <t>PR2-PR2-BL DRTN</t>
  </si>
  <si>
    <t>C004</t>
  </si>
  <si>
    <t>PR2-PR2-DSL DRTN</t>
  </si>
  <si>
    <t>C005</t>
  </si>
  <si>
    <t>PR2-PR2-DLL DRTN</t>
  </si>
  <si>
    <t>PR2-PR2 COMMON</t>
  </si>
  <si>
    <t>PR2-PR4-DSL</t>
  </si>
  <si>
    <t>2610</t>
  </si>
  <si>
    <t>PR2-PR4 COMMON</t>
  </si>
  <si>
    <t>PP-MP1-F1</t>
  </si>
  <si>
    <t>Z06 Parts production
（部品製造部）</t>
  </si>
  <si>
    <t>1. Ô có dấu ※ bên yêu cầu ghi</t>
  </si>
  <si>
    <t>※セルには依頼側が記載する事</t>
  </si>
  <si>
    <t>5120</t>
  </si>
  <si>
    <t>成形４(M301)</t>
  </si>
  <si>
    <t>PP-MP4-M301</t>
  </si>
  <si>
    <t>2. Ô khác bên quản lý kho ghi</t>
  </si>
  <si>
    <t>他のセルには倉庫管理側が記載する事</t>
  </si>
  <si>
    <t>5130</t>
  </si>
  <si>
    <t>成形２(F4)</t>
  </si>
  <si>
    <t>PP-MP2-F4</t>
  </si>
  <si>
    <t>3. Form bị chỉnh sửa với bản gốc sẽ không được chấp nhận</t>
  </si>
  <si>
    <t>元の内容を変更した依頼書は受け取れない事</t>
  </si>
  <si>
    <t>5140</t>
  </si>
  <si>
    <t>成形３(F5)</t>
  </si>
  <si>
    <t>PP-MP3-F5</t>
  </si>
  <si>
    <t>5150</t>
  </si>
  <si>
    <t>成形製造課</t>
  </si>
  <si>
    <t>PP-ME-MM</t>
  </si>
  <si>
    <t>Yêu cầu khác (Tùy theo chính sách của phòng ban):</t>
  </si>
  <si>
    <t>その他依頼(課別次第）</t>
  </si>
  <si>
    <t>5160</t>
  </si>
  <si>
    <t>Tổng số tiền &lt;100$ chỉ cần xác nhận của Chief của IM Control Section  A</t>
  </si>
  <si>
    <t>100$ 以下IMコントロールAの係長のサインしてもOK</t>
  </si>
  <si>
    <t>2310</t>
  </si>
  <si>
    <t>生産技術課</t>
  </si>
  <si>
    <t>R&amp;D-PE</t>
  </si>
  <si>
    <t>Z08 Ｒ＆Ｄ
（開発技術部）</t>
  </si>
  <si>
    <t>Tổng số tiền &gt;100$ cần có dấu đồng ý của trưởng phòng của IM Control Section A</t>
  </si>
  <si>
    <t>100$ 以上IMコントロールAの課長によるサインされなければならない</t>
  </si>
  <si>
    <t>2311</t>
  </si>
  <si>
    <t>設備技術課</t>
  </si>
  <si>
    <t>R&amp;D-EE</t>
  </si>
  <si>
    <t>2312</t>
  </si>
  <si>
    <t>開発技術課</t>
  </si>
  <si>
    <t>R&amp;D-DE</t>
  </si>
  <si>
    <t>2313</t>
  </si>
  <si>
    <t>製造技術課</t>
  </si>
  <si>
    <t>R&amp;D-ME</t>
  </si>
  <si>
    <t>3110</t>
  </si>
  <si>
    <t>購買課</t>
  </si>
  <si>
    <t>PPC-PUR</t>
  </si>
  <si>
    <t>Z03 Purchasing and Production Control
（購買・生産管理部）</t>
  </si>
  <si>
    <t>3210</t>
  </si>
  <si>
    <t>運輸課</t>
  </si>
  <si>
    <t>PPC-SHIP</t>
  </si>
  <si>
    <t>3310</t>
  </si>
  <si>
    <t>生産管理課</t>
  </si>
  <si>
    <t>PPC-PC</t>
  </si>
  <si>
    <t>3320</t>
  </si>
  <si>
    <t>資材管理課</t>
  </si>
  <si>
    <t>PPC-MC</t>
  </si>
  <si>
    <t>4110</t>
  </si>
  <si>
    <t>品質保証課</t>
  </si>
  <si>
    <t>QA-QA</t>
  </si>
  <si>
    <t>4210</t>
  </si>
  <si>
    <t>部材受入課</t>
  </si>
  <si>
    <t>SQM-IQC</t>
  </si>
  <si>
    <t>Z05 Source Quality Management Dept
（部材保証部）</t>
  </si>
  <si>
    <t>4230</t>
  </si>
  <si>
    <t>品質改善課</t>
  </si>
  <si>
    <t>SQM-SQC</t>
  </si>
  <si>
    <t>3410</t>
  </si>
  <si>
    <t>部材環境推進課</t>
  </si>
  <si>
    <t>SQM-SEM</t>
  </si>
  <si>
    <t>6110</t>
  </si>
  <si>
    <t>BPS課</t>
  </si>
  <si>
    <t>BPS</t>
  </si>
  <si>
    <t>Z09 BPS</t>
  </si>
  <si>
    <t>経営企画室</t>
  </si>
  <si>
    <t xml:space="preserve"> MP</t>
  </si>
  <si>
    <t>Z10 MP</t>
  </si>
  <si>
    <t>X001</t>
  </si>
  <si>
    <t>経営費用計上部門（製間）</t>
  </si>
  <si>
    <t>Management(Indirect)</t>
  </si>
  <si>
    <t>Z00 Management
（経営費用計上部門）</t>
  </si>
  <si>
    <t>X002</t>
  </si>
  <si>
    <t>経営費用計上部門（管理）</t>
  </si>
  <si>
    <t>Management(SGA)</t>
  </si>
  <si>
    <t>Y00 Project
（製品立上プロジェクト）</t>
  </si>
  <si>
    <t>Z001</t>
  </si>
  <si>
    <t>共通費計上部門</t>
  </si>
  <si>
    <t>Dummy(Common)</t>
  </si>
  <si>
    <t>Z010</t>
  </si>
  <si>
    <t>販売直接費計上部門</t>
  </si>
  <si>
    <t>Dummy(Direct cost of sales)</t>
  </si>
  <si>
    <t>Z110</t>
  </si>
  <si>
    <t>品目外注抽象部門</t>
  </si>
  <si>
    <t>Dummy(Subcon.)</t>
  </si>
  <si>
    <t>申請者</t>
  </si>
  <si>
    <t>※Quản lý trung cấp</t>
  </si>
  <si>
    <t>中級管理職</t>
  </si>
  <si>
    <t>ADM-ACC-008 Ver1.07</t>
  </si>
  <si>
    <t>Đồng ý bởi
承認</t>
  </si>
  <si>
    <t>Người tiếp nhận yêu cầu
依頼書受け者</t>
  </si>
  <si>
    <t>Tiếp nhận yêu cầu 
依頼書を受け取り</t>
  </si>
  <si>
    <t>Người xuất kho
出庫者</t>
  </si>
  <si>
    <t>Người nhận 
依頼者(物を受け取り）</t>
  </si>
  <si>
    <t>Ngày　Tháng:
日           月</t>
  </si>
  <si>
    <t>Ngày　 Tháng:
日          月</t>
  </si>
  <si>
    <t>Phiếu yêu cầu hàng hóa (hàng trong danh mục chung, nguyên liệu phụ và vật tư tiêu hao)
物品依頼書（共通間材・比例間材用・消耗品）　</t>
  </si>
  <si>
    <t>Phòng tiếp nhận　
受け部門：</t>
  </si>
  <si>
    <t>※Phê duyệt
決裁</t>
  </si>
  <si>
    <r>
      <rPr>
        <sz val="12"/>
        <color theme="1"/>
        <rFont val="ＭＳ Ｐ明朝"/>
        <family val="1"/>
        <charset val="128"/>
      </rPr>
      <t>※</t>
    </r>
    <r>
      <rPr>
        <sz val="12"/>
        <color theme="1"/>
        <rFont val="Times New Roman"/>
        <family val="1"/>
      </rPr>
      <t>Thẩm tra
審査</t>
    </r>
  </si>
  <si>
    <t>※Dự thảo
起案</t>
  </si>
  <si>
    <t>※Mã bộ phận yêu cầu
依頼部門 コード</t>
  </si>
  <si>
    <t>※ Mã phòng ban yêu cầu
依頼部門コストセンター</t>
  </si>
  <si>
    <t>※ Tên phòng ban
依頼部門名</t>
  </si>
  <si>
    <t>※Chuyền
ライン</t>
  </si>
  <si>
    <t xml:space="preserve">※Ngày yêu cầu
依頼日 </t>
  </si>
  <si>
    <t>※Thời hạn trang bị mong muốn
希望期限</t>
  </si>
  <si>
    <t>※Tổng GĐ/ GĐ/Quản lý cấp cao
社長、取締役、上級管理職</t>
  </si>
  <si>
    <r>
      <rPr>
        <sz val="12"/>
        <color theme="1"/>
        <rFont val="ＭＳ Ｐ明朝"/>
        <family val="1"/>
        <charset val="128"/>
      </rPr>
      <t>※</t>
    </r>
    <r>
      <rPr>
        <sz val="12"/>
        <color theme="1"/>
        <rFont val="Times New Roman"/>
        <family val="1"/>
      </rPr>
      <t>Quản lý cấp cao/Quản lý trung cấp
上級管理職/中級管理職</t>
    </r>
  </si>
  <si>
    <t>※Quản lý trung cấp
中級管理職</t>
  </si>
  <si>
    <t>※Người làm đơn
申請者</t>
  </si>
  <si>
    <t>Mô tả chi tiết đồ dùng
具体的な依頼内容</t>
  </si>
  <si>
    <t>※Mã hệ thống 
システムコード</t>
  </si>
  <si>
    <t xml:space="preserve">※Tên hàng  
品名 </t>
  </si>
  <si>
    <t>※Đơn vị đóng gói
梱包単位</t>
  </si>
  <si>
    <t>※ Số Tài khoản
アカウントコスト</t>
  </si>
  <si>
    <t>※ Tên Tài khoản
アカウント名</t>
  </si>
  <si>
    <t>Yêu cầu　依頼</t>
  </si>
  <si>
    <t>Giá thành　単価</t>
  </si>
  <si>
    <t>Tổng chi phí
金額合計</t>
  </si>
  <si>
    <t>※Muc đích
目的</t>
  </si>
  <si>
    <t>※ Ghi chú
備考</t>
  </si>
  <si>
    <t>※ Số lượng
数量</t>
  </si>
  <si>
    <t>Đơn vị
単位</t>
  </si>
  <si>
    <t>Đơn giá
単価</t>
  </si>
  <si>
    <t>Đơn vị tiền tệ
通貨単位</t>
  </si>
  <si>
    <t xml:space="preserve">Tổng tiền 合計 </t>
  </si>
  <si>
    <r>
      <t xml:space="preserve">Qui trình:
</t>
    </r>
    <r>
      <rPr>
        <i/>
        <sz val="12"/>
        <color theme="1"/>
        <rFont val="Times New Roman"/>
        <family val="1"/>
      </rPr>
      <t xml:space="preserve">フロー: </t>
    </r>
  </si>
  <si>
    <r>
      <t xml:space="preserve"> + Từ 1,000 USD trở lên: Quản lý trung cấp làm dự thảo--&gt;Quản lý cấp cao thẩm tra--&gt;Tổng Giám đốc/ Giám đốc phê duyệt
</t>
    </r>
    <r>
      <rPr>
        <i/>
        <sz val="12"/>
        <color theme="1"/>
        <rFont val="Times New Roman"/>
        <family val="1"/>
      </rPr>
      <t>＋1,000ドル以上：中級管理職起案=&gt;上級管理職審査=&gt;取締役決裁</t>
    </r>
  </si>
  <si>
    <r>
      <t xml:space="preserve"> + Dưới 1,000 USD: Người phụ trách làm dự thảo--&gt;Quản lý trung cấp thẩm tra--&gt;Quản lý cấp cao phê duyệt
</t>
    </r>
    <r>
      <rPr>
        <i/>
        <sz val="12"/>
        <color theme="1"/>
        <rFont val="Times New Roman"/>
        <family val="1"/>
      </rPr>
      <t>＋1,000ドル未満：担当者起案=&gt;中級管理職審査=&gt;上級管理職決裁</t>
    </r>
  </si>
  <si>
    <r>
      <t>C</t>
    </r>
    <r>
      <rPr>
        <b/>
        <sz val="11"/>
        <color theme="1"/>
        <rFont val="Times New Roman"/>
        <family val="1"/>
      </rPr>
      <t>oct Center group(L4)</t>
    </r>
  </si>
  <si>
    <r>
      <t>T</t>
    </r>
    <r>
      <rPr>
        <b/>
        <sz val="11"/>
        <color theme="1"/>
        <rFont val="Times New Roman"/>
        <family val="1"/>
      </rPr>
      <t>ext (J)</t>
    </r>
  </si>
  <si>
    <r>
      <t>T</t>
    </r>
    <r>
      <rPr>
        <b/>
        <sz val="11"/>
        <color theme="1"/>
        <rFont val="Times New Roman"/>
        <family val="1"/>
      </rPr>
      <t>ext (E)</t>
    </r>
  </si>
  <si>
    <r>
      <t>C</t>
    </r>
    <r>
      <rPr>
        <b/>
        <sz val="11"/>
        <color theme="1"/>
        <rFont val="Times New Roman"/>
        <family val="1"/>
      </rPr>
      <t>ost Center</t>
    </r>
  </si>
  <si>
    <t>Z01 Administration
（管理部）</t>
    <rPh sb="20" eb="22">
      <t>カンリ</t>
    </rPh>
    <rPh sb="22" eb="23">
      <t>ブ</t>
    </rPh>
    <phoneticPr fontId="2"/>
  </si>
  <si>
    <t>総務課　食堂</t>
    <rPh sb="0" eb="3">
      <t>ソウムカ</t>
    </rPh>
    <rPh sb="4" eb="6">
      <t>ショクドウ</t>
    </rPh>
    <phoneticPr fontId="2"/>
  </si>
  <si>
    <t>従業員特別管理（有給）</t>
    <rPh sb="0" eb="3">
      <t>ジュウギョウイン</t>
    </rPh>
    <rPh sb="3" eb="5">
      <t>トクベツ</t>
    </rPh>
    <rPh sb="5" eb="7">
      <t>カンリ</t>
    </rPh>
    <rPh sb="8" eb="10">
      <t>ユウキュウ</t>
    </rPh>
    <phoneticPr fontId="2"/>
  </si>
  <si>
    <t>従業員寮</t>
    <rPh sb="0" eb="2">
      <t>ジュウギョウ</t>
    </rPh>
    <rPh sb="2" eb="3">
      <t>イン</t>
    </rPh>
    <rPh sb="3" eb="4">
      <t>リョウ</t>
    </rPh>
    <phoneticPr fontId="2"/>
  </si>
  <si>
    <t>総務課</t>
    <rPh sb="0" eb="3">
      <t>ソウムカ</t>
    </rPh>
    <phoneticPr fontId="2"/>
  </si>
  <si>
    <t>人事課</t>
    <rPh sb="0" eb="3">
      <t>ジンジカ</t>
    </rPh>
    <phoneticPr fontId="2"/>
  </si>
  <si>
    <t>経理課</t>
    <phoneticPr fontId="2"/>
  </si>
  <si>
    <t>事務用共通間材</t>
    <rPh sb="0" eb="3">
      <t>ジムヨウ</t>
    </rPh>
    <rPh sb="3" eb="5">
      <t>キョウツウ</t>
    </rPh>
    <rPh sb="5" eb="6">
      <t>カン</t>
    </rPh>
    <rPh sb="6" eb="7">
      <t>ザイ</t>
    </rPh>
    <phoneticPr fontId="2"/>
  </si>
  <si>
    <t>IT課</t>
    <phoneticPr fontId="2"/>
  </si>
  <si>
    <t>A002</t>
    <phoneticPr fontId="2"/>
  </si>
  <si>
    <t>製造１課　BL　スキャナ</t>
    <rPh sb="0" eb="2">
      <t>セイゾウ</t>
    </rPh>
    <rPh sb="3" eb="4">
      <t>カ</t>
    </rPh>
    <phoneticPr fontId="2"/>
  </si>
  <si>
    <t>A003</t>
    <phoneticPr fontId="2"/>
  </si>
  <si>
    <t>製造１課 DSL　スキャナ</t>
    <rPh sb="0" eb="2">
      <t>セイゾウ</t>
    </rPh>
    <rPh sb="3" eb="4">
      <t>カ</t>
    </rPh>
    <phoneticPr fontId="2"/>
  </si>
  <si>
    <t>A004</t>
    <phoneticPr fontId="2"/>
  </si>
  <si>
    <t>製造１課 DLL　スキャナ</t>
    <rPh sb="0" eb="2">
      <t>セイゾウ</t>
    </rPh>
    <rPh sb="3" eb="4">
      <t>カ</t>
    </rPh>
    <phoneticPr fontId="2"/>
  </si>
  <si>
    <t>製造 1 課 DL　スキャナ</t>
  </si>
  <si>
    <t>PR1-PR１-DL SCANNER</t>
  </si>
  <si>
    <t>A006</t>
  </si>
  <si>
    <t>製造１課　BLL</t>
    <rPh sb="0" eb="2">
      <t>セイゾウ</t>
    </rPh>
    <rPh sb="3" eb="4">
      <t>カ</t>
    </rPh>
    <phoneticPr fontId="2"/>
  </si>
  <si>
    <t>B003</t>
    <phoneticPr fontId="2"/>
  </si>
  <si>
    <t>製造 3 課　DL</t>
  </si>
  <si>
    <t>PR1-PR3-DL</t>
  </si>
  <si>
    <t>B007</t>
  </si>
  <si>
    <t>製造１課　共通費</t>
    <rPh sb="0" eb="2">
      <t>セイゾウ</t>
    </rPh>
    <rPh sb="5" eb="7">
      <t>キョウツウ</t>
    </rPh>
    <rPh sb="7" eb="8">
      <t>ヒ</t>
    </rPh>
    <phoneticPr fontId="2"/>
  </si>
  <si>
    <t>2110</t>
    <phoneticPr fontId="2"/>
  </si>
  <si>
    <t>2510</t>
    <phoneticPr fontId="2"/>
  </si>
  <si>
    <t>製造３課　BL</t>
    <rPh sb="0" eb="2">
      <t>セイゾウ</t>
    </rPh>
    <rPh sb="3" eb="4">
      <t>カ</t>
    </rPh>
    <phoneticPr fontId="2"/>
  </si>
  <si>
    <t>B004</t>
    <phoneticPr fontId="2"/>
  </si>
  <si>
    <t>製造３課　共通費</t>
    <rPh sb="0" eb="2">
      <t>セイゾウ</t>
    </rPh>
    <rPh sb="5" eb="7">
      <t>キョウツウ</t>
    </rPh>
    <rPh sb="7" eb="8">
      <t>ヒ</t>
    </rPh>
    <phoneticPr fontId="2"/>
  </si>
  <si>
    <t>2490</t>
    <phoneticPr fontId="2"/>
  </si>
  <si>
    <t>製造３課 RB</t>
    <rPh sb="0" eb="2">
      <t>セイゾウ</t>
    </rPh>
    <rPh sb="3" eb="4">
      <t>カ</t>
    </rPh>
    <phoneticPr fontId="2"/>
  </si>
  <si>
    <t>2410</t>
    <phoneticPr fontId="2"/>
  </si>
  <si>
    <t>製造３課 補給品</t>
    <rPh sb="0" eb="2">
      <t>セイゾウ</t>
    </rPh>
    <rPh sb="3" eb="4">
      <t>カ</t>
    </rPh>
    <rPh sb="5" eb="7">
      <t>ホキュウ</t>
    </rPh>
    <rPh sb="7" eb="8">
      <t>ヒン</t>
    </rPh>
    <phoneticPr fontId="2"/>
  </si>
  <si>
    <t>2421</t>
    <phoneticPr fontId="2"/>
  </si>
  <si>
    <t>製造２課　BLL　DRTN</t>
    <rPh sb="0" eb="2">
      <t>セイゾウ</t>
    </rPh>
    <rPh sb="3" eb="4">
      <t>カ</t>
    </rPh>
    <phoneticPr fontId="2"/>
  </si>
  <si>
    <t>C002</t>
    <phoneticPr fontId="2"/>
  </si>
  <si>
    <t>製造２課　BL　DRTN</t>
    <rPh sb="0" eb="2">
      <t>セイゾウ</t>
    </rPh>
    <rPh sb="3" eb="4">
      <t>カ</t>
    </rPh>
    <phoneticPr fontId="2"/>
  </si>
  <si>
    <t>C003</t>
    <phoneticPr fontId="2"/>
  </si>
  <si>
    <t>製造２課　DSL　DRTN</t>
    <rPh sb="0" eb="2">
      <t>セイゾウ</t>
    </rPh>
    <rPh sb="3" eb="4">
      <t>カ</t>
    </rPh>
    <phoneticPr fontId="2"/>
  </si>
  <si>
    <t>製造２課　DLL　DRTN</t>
    <rPh sb="0" eb="2">
      <t>セイゾウ</t>
    </rPh>
    <rPh sb="3" eb="4">
      <t>カ</t>
    </rPh>
    <phoneticPr fontId="2"/>
  </si>
  <si>
    <t>製造２課　DL　DRTN</t>
  </si>
  <si>
    <t>PR2-PR2-DL DRTN</t>
  </si>
  <si>
    <t>C006</t>
  </si>
  <si>
    <t>製造２課　DCL　TN</t>
  </si>
  <si>
    <t>PR2-PR2-DCL DRTN</t>
  </si>
  <si>
    <t>C007</t>
  </si>
  <si>
    <t>製造２課　共通費</t>
    <rPh sb="0" eb="2">
      <t>セイゾウ</t>
    </rPh>
    <rPh sb="5" eb="7">
      <t>キョウツウ</t>
    </rPh>
    <rPh sb="7" eb="8">
      <t>ヒ</t>
    </rPh>
    <phoneticPr fontId="2"/>
  </si>
  <si>
    <t>2210</t>
    <phoneticPr fontId="2"/>
  </si>
  <si>
    <t>製造４課　DSL</t>
    <rPh sb="0" eb="2">
      <t>セイゾウ</t>
    </rPh>
    <phoneticPr fontId="2"/>
  </si>
  <si>
    <t>B005</t>
    <phoneticPr fontId="2"/>
  </si>
  <si>
    <t>製造４課　共通費</t>
    <rPh sb="0" eb="2">
      <t>セイゾウ</t>
    </rPh>
    <rPh sb="5" eb="7">
      <t>キョウツウ</t>
    </rPh>
    <rPh sb="7" eb="8">
      <t>ヒ</t>
    </rPh>
    <phoneticPr fontId="2"/>
  </si>
  <si>
    <t>成形１(F1)</t>
    <rPh sb="0" eb="2">
      <t>セイケイ</t>
    </rPh>
    <phoneticPr fontId="2"/>
  </si>
  <si>
    <t>5110</t>
    <phoneticPr fontId="2"/>
  </si>
  <si>
    <t>成形技術課成形</t>
  </si>
  <si>
    <t>PP-ME(Molding)</t>
  </si>
  <si>
    <t>成形技術課加工</t>
  </si>
  <si>
    <t>PP-ME(Machining)</t>
  </si>
  <si>
    <t>5170</t>
  </si>
  <si>
    <t>基板製造課</t>
  </si>
  <si>
    <t>PP-PCB</t>
  </si>
  <si>
    <t>5180</t>
  </si>
  <si>
    <t>金型加工</t>
  </si>
  <si>
    <t>PP- Mold</t>
  </si>
  <si>
    <t>Z04 Quality Assurance Dept（品質保証部）</t>
  </si>
  <si>
    <t>経営費用計上部門（製造系管掌取締役）</t>
  </si>
  <si>
    <t>Management(Manufacturing Director)</t>
  </si>
  <si>
    <t>X003</t>
  </si>
  <si>
    <t>経営費用計上部門（管理系管掌取締役）</t>
  </si>
  <si>
    <t>Management(Admin Director)</t>
  </si>
  <si>
    <t>X004</t>
  </si>
  <si>
    <t>新部品立上</t>
  </si>
  <si>
    <t>Y00 Project</t>
  </si>
  <si>
    <t>Y012</t>
  </si>
  <si>
    <t>その他</t>
    <rPh sb="2" eb="3">
      <t>タ</t>
    </rPh>
    <phoneticPr fontId="2"/>
  </si>
  <si>
    <t>人件費調整部門（間接）</t>
    <rPh sb="0" eb="3">
      <t>ジンケンヒ</t>
    </rPh>
    <rPh sb="3" eb="5">
      <t>チョウセイ</t>
    </rPh>
    <rPh sb="5" eb="7">
      <t>ブモン</t>
    </rPh>
    <rPh sb="8" eb="10">
      <t>カンセツ</t>
    </rPh>
    <phoneticPr fontId="2"/>
  </si>
  <si>
    <t>Adjustment payroll(Indirect)</t>
  </si>
  <si>
    <t>Z111</t>
  </si>
  <si>
    <t>人件費調整部門（直接）</t>
    <rPh sb="0" eb="3">
      <t>ジンケンヒ</t>
    </rPh>
    <rPh sb="3" eb="5">
      <t>チョウセイ</t>
    </rPh>
    <rPh sb="5" eb="7">
      <t>ブモン</t>
    </rPh>
    <rPh sb="8" eb="10">
      <t>チョクセツ</t>
    </rPh>
    <phoneticPr fontId="2"/>
  </si>
  <si>
    <t>Adjustment payroll(Direct)</t>
  </si>
  <si>
    <t>Z112</t>
  </si>
  <si>
    <t>No
Số</t>
  </si>
  <si>
    <t>A/C Name (EN)
Tên tài khoản</t>
  </si>
  <si>
    <t>A/C Name (VN)
Tên tài khoản</t>
  </si>
  <si>
    <t>A/C Code
Mã tài khoản</t>
  </si>
  <si>
    <t>Expense_Others</t>
  </si>
  <si>
    <t>Chi phí khác</t>
  </si>
  <si>
    <t>Expense_Meeting</t>
  </si>
  <si>
    <t>Chi phí cho cuộc họp</t>
  </si>
  <si>
    <t>Expense_Business trip</t>
  </si>
  <si>
    <t xml:space="preserve">Công tác phí </t>
  </si>
  <si>
    <t>Expense_Newspapers and books</t>
  </si>
  <si>
    <t>Chi phí mua sách, báo, tạp chí</t>
  </si>
  <si>
    <t>Expense_General billing</t>
  </si>
  <si>
    <t>Phí hiệp hội</t>
  </si>
  <si>
    <t>2430100</t>
  </si>
  <si>
    <t>Expense_Rework</t>
  </si>
  <si>
    <t>Phí sửa hàng lỗi</t>
  </si>
  <si>
    <t>2430110</t>
  </si>
  <si>
    <t>Expense_Transportation</t>
  </si>
  <si>
    <t>Phí dịch vụ vận chuyển</t>
  </si>
  <si>
    <t>2430030</t>
  </si>
  <si>
    <t>IM_Office supply</t>
  </si>
  <si>
    <t>2480000</t>
  </si>
  <si>
    <t>IM_Stationery</t>
  </si>
  <si>
    <t>2480010</t>
  </si>
  <si>
    <t>IM_Office equipment</t>
  </si>
  <si>
    <t>2481000</t>
  </si>
  <si>
    <t>IM_IT equipment</t>
  </si>
  <si>
    <t>2481010</t>
  </si>
  <si>
    <t>IM_Others</t>
  </si>
  <si>
    <t>2481020</t>
  </si>
  <si>
    <t>IM_Office(MM)</t>
  </si>
  <si>
    <t>2481030</t>
  </si>
  <si>
    <t>IM_Employee Goods</t>
  </si>
  <si>
    <t>2481040</t>
  </si>
  <si>
    <t>IM_Computer Hardware</t>
  </si>
  <si>
    <t>Nguyên vật liệu gián tiếp _ Máy tính</t>
  </si>
  <si>
    <t>2481050</t>
  </si>
  <si>
    <t>Prod IM_Proportional</t>
  </si>
  <si>
    <t>2482000</t>
  </si>
  <si>
    <t>21</t>
  </si>
  <si>
    <t>Prod IM_Pattern</t>
  </si>
  <si>
    <t>22</t>
  </si>
  <si>
    <t>Prod IM_Tools&amp;Equip</t>
  </si>
  <si>
    <t>23</t>
  </si>
  <si>
    <t>Prod IM_Others</t>
  </si>
  <si>
    <t>24</t>
  </si>
  <si>
    <t>Prod IM_Proporti(MM）</t>
  </si>
  <si>
    <t>25</t>
  </si>
  <si>
    <t>Prod IM_Others(MM)</t>
  </si>
  <si>
    <t>26</t>
  </si>
  <si>
    <t>Service fee_Water</t>
  </si>
  <si>
    <t>Tiền nước</t>
  </si>
  <si>
    <t>27</t>
  </si>
  <si>
    <t>28</t>
  </si>
  <si>
    <t>29</t>
  </si>
  <si>
    <t>30</t>
  </si>
  <si>
    <t>Buildings and structures</t>
  </si>
  <si>
    <t>Nhà cửa, vật kiến trúc</t>
  </si>
  <si>
    <t>ZL4101</t>
  </si>
  <si>
    <t>31</t>
  </si>
  <si>
    <t>Machinery &amp; Equipment (SPECIFIC)</t>
  </si>
  <si>
    <t>Máy móc, thiết bị (chuyên dụng)</t>
  </si>
  <si>
    <t>ZL4201</t>
  </si>
  <si>
    <t>32</t>
  </si>
  <si>
    <t>Machinery &amp; Equipment (GENERAL)</t>
  </si>
  <si>
    <t xml:space="preserve">Máy móc, thiết bị(Thông thường) </t>
  </si>
  <si>
    <t>ZL4211</t>
  </si>
  <si>
    <t>33</t>
  </si>
  <si>
    <t>Machinery &amp; Equipment (Molding machine)</t>
  </si>
  <si>
    <t>Máy đúc</t>
  </si>
  <si>
    <t>ZL4213</t>
  </si>
  <si>
    <t>34</t>
  </si>
  <si>
    <t>Means of tranportation and transmission equipment</t>
  </si>
  <si>
    <t>Phương tiện vận tải</t>
  </si>
  <si>
    <t>ZL4301</t>
  </si>
  <si>
    <t>35</t>
  </si>
  <si>
    <t>Jig, tool &amp; furniture (SPECIFIC)</t>
  </si>
  <si>
    <t>Thiết bị, dụng cụ/ Đồ gá (Chuyên dụng)</t>
  </si>
  <si>
    <t>ZL4401</t>
  </si>
  <si>
    <t>36</t>
  </si>
  <si>
    <t>Jig, tool &amp; furniture (GENERAL)</t>
  </si>
  <si>
    <t>Thiết bị, dụng cụ/ Đồ gá(Thông thường)</t>
  </si>
  <si>
    <t>ZL4411</t>
  </si>
  <si>
    <t>37</t>
  </si>
  <si>
    <t>Office Equipment and Furniture</t>
  </si>
  <si>
    <t>Trang thỉết bị văn phòng</t>
  </si>
  <si>
    <t>ZL4501</t>
  </si>
  <si>
    <t>38</t>
  </si>
  <si>
    <t>IT Equipment and Furniture</t>
  </si>
  <si>
    <t>Thiết bị IT</t>
  </si>
  <si>
    <t>ZL4511</t>
  </si>
  <si>
    <t>39</t>
  </si>
  <si>
    <t>Computer Hardware for Production</t>
  </si>
  <si>
    <t>Máy tính (sản xuất)</t>
  </si>
  <si>
    <t>ZL4521</t>
  </si>
  <si>
    <t>40</t>
  </si>
  <si>
    <t>Computer Hardware for Office</t>
  </si>
  <si>
    <t>Máy tính (dùng cho văn phòng)</t>
  </si>
  <si>
    <t>ZL4531</t>
  </si>
  <si>
    <t>41</t>
  </si>
  <si>
    <t>Other tangible fixed assets(GENERAL)</t>
  </si>
  <si>
    <t>Tài sản cố định hữu hình khác</t>
  </si>
  <si>
    <t>ZL4611</t>
  </si>
  <si>
    <t>42</t>
  </si>
  <si>
    <t>Computer software</t>
  </si>
  <si>
    <t>Phần mềm</t>
  </si>
  <si>
    <t>ZL4721</t>
  </si>
  <si>
    <t>43</t>
  </si>
  <si>
    <t>Construction in progress</t>
  </si>
  <si>
    <t>Xây dựng cơ bản dở dang</t>
  </si>
  <si>
    <t>ZL4K01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</si>
</sst>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_(&quot;$&quot;* \(#,##0.00\);_(&quot;$&quot;* &quot;-&quot;??_);_(@_)"/>
    <numFmt numFmtId="43" formatCode="_(* #,##0.00_);_(* \(#,##0.00\);_(* &quot;-&quot;??_);_(@_)"/>
    <numFmt numFmtId="164" formatCode="[$-409]d\-mmm\-yy;@"/>
    <numFmt numFmtId="165" formatCode="_-* #,##0_-;\-* #,##0_-;_-* &quot;-&quot;_-;_-@_-"/>
    <numFmt numFmtId="166" formatCode="_-* #,##0.00_-;\-* #,##0.00_-;_-* &quot;-&quot;??_-;_-@_-"/>
    <numFmt numFmtId="167" formatCode="[$€]#,##0.00;[Red][$€]\-#,##0.00"/>
    <numFmt numFmtId="168" formatCode="\(yy/mm/dd\)"/>
    <numFmt numFmtId="169" formatCode="&quot;(&quot;0%&quot;)   &quot;;[Red]\-&quot;(&quot;0%&quot;)   &quot;;&quot;?    &quot;"/>
    <numFmt numFmtId="170" formatCode="&quot;(&quot;0.00%&quot;)   &quot;;[Red]\-&quot;(&quot;0.00%&quot;)   &quot;;&quot;?    &quot;"/>
    <numFmt numFmtId="171" formatCode="0.00%;[Red]\-0.00%;&quot;?&quot;"/>
    <numFmt numFmtId="172" formatCode="#,###,###,###,##0"/>
    <numFmt numFmtId="173" formatCode="0.0"/>
    <numFmt numFmtId="174" formatCode="_-&quot;$&quot;* #,##0.00_-;\-&quot;$&quot;* #,##0.00_-;_-&quot;$&quot;* &quot;-&quot;??_-;_-@_-"/>
    <numFmt numFmtId="175" formatCode="0.0%"/>
    <numFmt numFmtId="176" formatCode="yy/mm/dd"/>
    <numFmt numFmtId="177" formatCode="&quot;False&quot;;;&quot;True&quot;;&quot;Character&quot;"/>
    <numFmt numFmtId="178" formatCode="0.00_)"/>
    <numFmt numFmtId="179" formatCode="#,###,###,###,##0;\-#,###,###,###,##0;0;&quot;Character&quot;"/>
    <numFmt numFmtId="180" formatCode="0.0000;\-0.0000;0;&quot;Character&quot;"/>
    <numFmt numFmtId="181" formatCode="#,##0.00;\-#,##0.00;0;&quot;Character&quot;"/>
    <numFmt numFmtId="182" formatCode="#,##0;\(#,##0\)"/>
    <numFmt numFmtId="183" formatCode="&quot;False&quot;;&quot;False&quot;;&quot;True&quot;;@"/>
    <numFmt numFmtId="184" formatCode="&quot;(&quot;0%&quot;)   &quot;;[Red]\-&quot;(&quot;0%&quot;)   &quot;;&quot;－    &quot;"/>
    <numFmt numFmtId="185" formatCode="&quot;(&quot;0.00%&quot;)   &quot;;[Red]\-&quot;(&quot;0.00%&quot;)   &quot;;&quot;－    &quot;"/>
    <numFmt numFmtId="186" formatCode="0.00%;[Red]\-0.00%;&quot;－&quot;"/>
  </numFmts>
  <fonts count="99">
    <font>
      <sz val="11"/>
      <color theme="1"/>
      <name val="Calibri"/>
      <family val="2"/>
      <scheme val="minor"/>
    </font>
    <font>
      <sz val="11"/>
      <color theme="1"/>
      <name val="Calibri"/>
      <family val="2"/>
      <scheme val="minor"/>
    </font>
    <font>
      <sz val="10"/>
      <name val="Arial"/>
      <family val="2"/>
    </font>
    <font>
      <sz val="12"/>
      <name val="Times New Roman"/>
      <family val="1"/>
    </font>
    <font>
      <b/>
      <sz val="12"/>
      <name val="Times New Roman"/>
      <family val="1"/>
    </font>
    <font>
      <b/>
      <sz val="9"/>
      <color indexed="81"/>
      <name val="ＭＳ Ｐゴシック"/>
      <family val="3"/>
      <charset val="128"/>
    </font>
    <font>
      <sz val="10"/>
      <color indexed="8"/>
      <name val="MS Sans Serif"/>
      <family val="2"/>
    </font>
    <font>
      <b/>
      <sz val="14"/>
      <name val="?? ?????"/>
      <family val="3"/>
      <charset val="128"/>
    </font>
    <font>
      <sz val="11"/>
      <name val="?? ????"/>
      <family val="3"/>
      <charset val="128"/>
    </font>
    <font>
      <u/>
      <sz val="11"/>
      <color indexed="12"/>
      <name val="?? ?????"/>
      <family val="3"/>
      <charset val="128"/>
    </font>
    <font>
      <sz val="11"/>
      <name val="?? ??"/>
      <family val="1"/>
      <charset val="128"/>
    </font>
    <font>
      <sz val="11"/>
      <name val="?? ?????"/>
      <family val="3"/>
      <charset val="128"/>
    </font>
    <font>
      <sz val="10"/>
      <color indexed="8"/>
      <name val="Arial"/>
      <family val="2"/>
    </font>
    <font>
      <sz val="10"/>
      <name val="Helv"/>
      <family val="2"/>
    </font>
    <font>
      <sz val="11"/>
      <name val="ＭＳ Ｐゴシック"/>
      <family val="3"/>
      <charset val="128"/>
    </font>
    <font>
      <sz val="11"/>
      <color indexed="8"/>
      <name val="Calibri"/>
      <family val="2"/>
    </font>
    <font>
      <sz val="11"/>
      <color indexed="9"/>
      <name val="Calibri"/>
      <family val="2"/>
    </font>
    <font>
      <sz val="10"/>
      <color indexed="9"/>
      <name val="Arial"/>
      <family val="2"/>
    </font>
    <font>
      <sz val="11"/>
      <color indexed="17"/>
      <name val="Calibri"/>
      <family val="2"/>
    </font>
    <font>
      <sz val="10"/>
      <color indexed="17"/>
      <name val="Arial"/>
      <family val="2"/>
    </font>
    <font>
      <sz val="14"/>
      <name val="Arial"/>
      <family val="2"/>
    </font>
    <font>
      <b/>
      <sz val="14"/>
      <name val="Arial"/>
      <family val="2"/>
    </font>
    <font>
      <b/>
      <sz val="10"/>
      <color indexed="52"/>
      <name val="Arial"/>
      <family val="2"/>
    </font>
    <font>
      <b/>
      <sz val="10"/>
      <color indexed="9"/>
      <name val="Arial"/>
      <family val="2"/>
    </font>
    <font>
      <sz val="10"/>
      <color indexed="52"/>
      <name val="Arial"/>
      <family val="2"/>
    </font>
    <font>
      <b/>
      <sz val="11"/>
      <color indexed="9"/>
      <name val="Calibri"/>
      <family val="2"/>
    </font>
    <font>
      <sz val="11"/>
      <color indexed="52"/>
      <name val="Calibri"/>
      <family val="2"/>
    </font>
    <font>
      <b/>
      <sz val="9"/>
      <name val="Arial"/>
      <family val="2"/>
    </font>
    <font>
      <sz val="14"/>
      <color indexed="8"/>
      <name val="Arial"/>
      <family val="2"/>
    </font>
    <font>
      <sz val="11"/>
      <color indexed="8"/>
      <name val="ＭＳ Ｐゴシック"/>
      <family val="3"/>
      <charset val="128"/>
    </font>
    <font>
      <b/>
      <sz val="16"/>
      <name val="Arial"/>
      <family val="2"/>
    </font>
    <font>
      <b/>
      <sz val="12"/>
      <name val="Arial"/>
      <family val="2"/>
    </font>
    <font>
      <sz val="10"/>
      <name val="Tahoma"/>
      <family val="2"/>
    </font>
    <font>
      <b/>
      <sz val="14"/>
      <color indexed="8"/>
      <name val="Arial"/>
      <family val="2"/>
    </font>
    <font>
      <sz val="10"/>
      <name val="MS Sans Serif"/>
      <family val="2"/>
    </font>
    <font>
      <b/>
      <sz val="11"/>
      <color indexed="56"/>
      <name val="Arial"/>
      <family val="2"/>
    </font>
    <font>
      <sz val="10"/>
      <color indexed="62"/>
      <name val="Arial"/>
      <family val="2"/>
    </font>
    <font>
      <b/>
      <sz val="12"/>
      <color indexed="8"/>
      <name val="Times New Roman"/>
      <family val="1"/>
    </font>
    <font>
      <sz val="14"/>
      <name val="ＭＳ 明朝"/>
      <family val="1"/>
    </font>
    <font>
      <sz val="10"/>
      <color indexed="20"/>
      <name val="Arial"/>
      <family val="2"/>
    </font>
    <font>
      <sz val="11"/>
      <color indexed="20"/>
      <name val="Calibri"/>
      <family val="2"/>
    </font>
    <font>
      <b/>
      <sz val="12"/>
      <color indexed="58"/>
      <name val="Times New Roman"/>
      <family val="1"/>
    </font>
    <font>
      <sz val="11"/>
      <color indexed="60"/>
      <name val="Calibri"/>
      <family val="2"/>
    </font>
    <font>
      <b/>
      <i/>
      <sz val="16"/>
      <name val="Helv"/>
      <family val="2"/>
    </font>
    <font>
      <sz val="11"/>
      <name val="明朝"/>
      <family val="1"/>
      <charset val="128"/>
    </font>
    <font>
      <sz val="11"/>
      <color theme="1"/>
      <name val="Calibri"/>
      <family val="2"/>
      <charset val="128"/>
      <scheme val="minor"/>
    </font>
    <font>
      <sz val="12"/>
      <color indexed="8"/>
      <name val="Times New Roman"/>
      <family val="1"/>
    </font>
    <font>
      <sz val="8"/>
      <name val="Times New Roman"/>
      <family val="1"/>
    </font>
    <font>
      <b/>
      <sz val="11"/>
      <color indexed="63"/>
      <name val="Calibri"/>
      <family val="2"/>
    </font>
    <font>
      <b/>
      <sz val="10"/>
      <color indexed="63"/>
      <name val="Arial"/>
      <family val="2"/>
    </font>
    <font>
      <b/>
      <sz val="8"/>
      <color indexed="8"/>
      <name val="Arial"/>
      <family val="2"/>
    </font>
    <font>
      <sz val="10"/>
      <color indexed="39"/>
      <name val="Arial"/>
      <family val="2"/>
    </font>
    <font>
      <b/>
      <sz val="9"/>
      <color indexed="8"/>
      <name val="Arial"/>
      <family val="2"/>
    </font>
    <font>
      <b/>
      <sz val="10"/>
      <color indexed="8"/>
      <name val="Arial"/>
      <family val="2"/>
    </font>
    <font>
      <b/>
      <sz val="9"/>
      <color indexed="9"/>
      <name val="Arial"/>
      <family val="2"/>
    </font>
    <font>
      <b/>
      <sz val="12"/>
      <color indexed="8"/>
      <name val="Arial"/>
      <family val="2"/>
    </font>
    <font>
      <sz val="8"/>
      <color indexed="8"/>
      <name val="Arial"/>
      <family val="2"/>
    </font>
    <font>
      <b/>
      <sz val="7"/>
      <name val="Arial"/>
      <family val="2"/>
    </font>
    <font>
      <b/>
      <sz val="8"/>
      <color indexed="9"/>
      <name val="Arial"/>
      <family val="2"/>
    </font>
    <font>
      <b/>
      <sz val="16"/>
      <color indexed="23"/>
      <name val="Arial"/>
      <family val="2"/>
    </font>
    <font>
      <sz val="10"/>
      <color indexed="10"/>
      <name val="Arial"/>
      <family val="2"/>
    </font>
    <font>
      <sz val="9"/>
      <color indexed="20"/>
      <name val="Arial"/>
      <family val="2"/>
    </font>
    <font>
      <sz val="9"/>
      <color indexed="48"/>
      <name val="Arial"/>
      <family val="2"/>
    </font>
    <font>
      <b/>
      <sz val="12"/>
      <color indexed="20"/>
      <name val="Arial"/>
      <family val="2"/>
    </font>
    <font>
      <b/>
      <sz val="9"/>
      <color indexed="20"/>
      <name val="Arial"/>
      <family val="2"/>
    </font>
    <font>
      <sz val="11"/>
      <color indexed="10"/>
      <name val="Calibri"/>
      <family val="2"/>
    </font>
    <font>
      <i/>
      <sz val="10"/>
      <color indexed="23"/>
      <name val="Arial"/>
      <family val="2"/>
    </font>
    <font>
      <b/>
      <sz val="18"/>
      <color indexed="56"/>
      <name val="Cambria"/>
      <family val="1"/>
    </font>
    <font>
      <b/>
      <sz val="15"/>
      <color indexed="56"/>
      <name val="Arial"/>
      <family val="2"/>
    </font>
    <font>
      <b/>
      <sz val="13"/>
      <color indexed="56"/>
      <name val="Arial"/>
      <family val="2"/>
    </font>
    <font>
      <b/>
      <sz val="11"/>
      <color indexed="56"/>
      <name val="Calibri"/>
      <family val="2"/>
    </font>
    <font>
      <sz val="11"/>
      <name val="ＭＳ ゴシック"/>
      <family val="3"/>
      <charset val="128"/>
    </font>
    <font>
      <sz val="11"/>
      <name val="ＭＳ Ｐゴシック"/>
      <family val="3"/>
    </font>
    <font>
      <sz val="11"/>
      <name val="ＭＳ 明朝"/>
      <family val="1"/>
      <charset val="128"/>
    </font>
    <font>
      <b/>
      <sz val="14"/>
      <name val="ＭＳ Ｐゴシック"/>
      <family val="3"/>
      <charset val="128"/>
    </font>
    <font>
      <u/>
      <sz val="11"/>
      <color indexed="12"/>
      <name val="ＭＳ Ｐゴシック"/>
      <family val="3"/>
    </font>
    <font>
      <b/>
      <sz val="14"/>
      <color theme="1"/>
      <name val="Times New Roman"/>
      <family val="1"/>
    </font>
    <font>
      <sz val="14"/>
      <color theme="1"/>
      <name val="Times New Roman"/>
      <family val="1"/>
    </font>
    <font>
      <sz val="12"/>
      <color theme="1"/>
      <name val="Times New Roman"/>
      <family val="1"/>
    </font>
    <font>
      <sz val="10"/>
      <color theme="1"/>
      <name val="Times New Roman"/>
      <family val="1"/>
    </font>
    <font>
      <b/>
      <sz val="18"/>
      <color theme="1"/>
      <name val="Times New Roman"/>
      <family val="1"/>
    </font>
    <font>
      <sz val="39"/>
      <color theme="1"/>
      <name val="CODE39"/>
      <family val="2"/>
    </font>
    <font>
      <b/>
      <sz val="16"/>
      <color theme="1"/>
      <name val="Times New Roman"/>
      <family val="1"/>
    </font>
    <font>
      <b/>
      <sz val="20"/>
      <color theme="1"/>
      <name val="Times New Roman"/>
      <family val="1"/>
    </font>
    <font>
      <sz val="12"/>
      <color theme="1"/>
      <name val="ＭＳ Ｐ明朝"/>
      <family val="1"/>
      <charset val="128"/>
    </font>
    <font>
      <sz val="18"/>
      <color theme="1"/>
      <name val="Times New Roman"/>
      <family val="1"/>
    </font>
    <font>
      <sz val="16"/>
      <color theme="1"/>
      <name val="Times New Roman"/>
      <family val="1"/>
    </font>
    <font>
      <b/>
      <i/>
      <sz val="12"/>
      <color theme="1"/>
      <name val="Times New Roman"/>
      <family val="1"/>
    </font>
    <font>
      <b/>
      <sz val="12"/>
      <color theme="1"/>
      <name val="Times New Roman"/>
      <family val="1"/>
    </font>
    <font>
      <sz val="11"/>
      <color theme="1"/>
      <name val="Times New Roman"/>
      <family val="1"/>
    </font>
    <font>
      <sz val="20"/>
      <color theme="1"/>
      <name val="Times New Roman"/>
      <family val="1"/>
    </font>
    <font>
      <i/>
      <sz val="12"/>
      <color theme="1"/>
      <name val="Times New Roman"/>
      <family val="1"/>
    </font>
    <font>
      <b/>
      <u/>
      <sz val="12"/>
      <color theme="1"/>
      <name val="Times New Roman"/>
      <family val="1"/>
    </font>
    <font>
      <b/>
      <sz val="11"/>
      <name val="Times New Roman"/>
      <family val="1"/>
    </font>
    <font>
      <b/>
      <sz val="11"/>
      <color theme="1"/>
      <name val="Times New Roman"/>
      <family val="1"/>
    </font>
    <font>
      <sz val="11"/>
      <name val="Times New Roman"/>
      <family val="1"/>
    </font>
    <font>
      <sz val="11"/>
      <color rgb="FFFF0000"/>
      <name val="Times New Roman"/>
      <family val="1"/>
    </font>
    <font>
      <b/>
      <sz val="9"/>
      <name val="Times New Roman"/>
      <family val="1"/>
    </font>
    <font>
      <sz val="9"/>
      <name val="Times New Roman"/>
      <family val="1"/>
    </font>
  </fonts>
  <fills count="53">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patternFill>
    </fill>
    <fill>
      <patternFill patternType="solid">
        <fgColor indexed="55"/>
      </patternFill>
    </fill>
    <fill>
      <patternFill patternType="solid">
        <fgColor indexed="13"/>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12"/>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lightUp">
        <fgColor indexed="22"/>
        <bgColor indexed="12"/>
      </patternFill>
    </fill>
    <fill>
      <patternFill patternType="solid">
        <fgColor indexed="35"/>
        <bgColor indexed="64"/>
      </patternFill>
    </fill>
    <fill>
      <patternFill patternType="solid">
        <fgColor indexed="54"/>
        <bgColor indexed="64"/>
      </patternFill>
    </fill>
    <fill>
      <patternFill patternType="solid">
        <fgColor indexed="39"/>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9"/>
      </patternFill>
    </fill>
    <fill>
      <patternFill patternType="solid">
        <fgColor indexed="14"/>
        <bgColor indexed="64"/>
      </patternFill>
    </fill>
    <fill>
      <patternFill patternType="solid">
        <fgColor indexed="9"/>
        <bgColor indexed="64"/>
      </patternFill>
    </fill>
  </fills>
  <borders count="65">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top/>
      <bottom style="dotted">
        <color indexed="64"/>
      </bottom>
      <diagonal/>
    </border>
    <border>
      <left style="thin">
        <color indexed="64"/>
      </left>
      <right/>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hair">
        <color indexed="64"/>
      </top>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style="thin">
        <color indexed="64"/>
      </left>
      <right style="thin">
        <color indexed="64"/>
      </right>
      <top style="hair">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64"/>
      </top>
      <bottom style="double">
        <color indexed="64"/>
      </bottom>
      <diagonal/>
    </border>
    <border>
      <left/>
      <right/>
      <top style="medium">
        <color indexed="64"/>
      </top>
      <bottom style="medium">
        <color indexed="64"/>
      </bottom>
      <diagonal/>
    </border>
    <border>
      <left style="medium">
        <color indexed="64"/>
      </left>
      <right/>
      <top/>
      <bottom style="hair">
        <color indexed="64"/>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bottom style="hair">
        <color indexed="64"/>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51"/>
      </left>
      <right style="thin">
        <color indexed="51"/>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right/>
      <top style="hair">
        <color indexed="64"/>
      </top>
      <bottom style="thin">
        <color indexed="64"/>
      </bottom>
      <diagonal/>
    </border>
  </borders>
  <cellStyleXfs count="870">
    <xf numFmtId="0" fontId="0" fillId="0" borderId="0"/>
    <xf numFmtId="0" fontId="2" fillId="0" borderId="0"/>
    <xf numFmtId="165" fontId="2" fillId="0" borderId="0" applyFont="0" applyFill="0" applyBorder="0" applyAlignment="0" applyProtection="0"/>
    <xf numFmtId="166" fontId="2" fillId="0" borderId="0" applyFont="0" applyFill="0" applyBorder="0" applyAlignment="0" applyProtection="0"/>
    <xf numFmtId="167" fontId="6" fillId="0" borderId="0"/>
    <xf numFmtId="168" fontId="4" fillId="5" borderId="0" applyBorder="0">
      <alignment horizontal="center" vertical="top"/>
      <protection locked="0"/>
    </xf>
    <xf numFmtId="167" fontId="7" fillId="0" borderId="0" applyFill="0" applyBorder="0" applyProtection="0"/>
    <xf numFmtId="169" fontId="8" fillId="0" borderId="0" applyFont="0" applyFill="0" applyBorder="0" applyAlignment="0" applyProtection="0"/>
    <xf numFmtId="170" fontId="8" fillId="0" borderId="0" applyFont="0" applyFill="0" applyBorder="0" applyAlignment="0" applyProtection="0">
      <alignment vertical="top"/>
    </xf>
    <xf numFmtId="167" fontId="9" fillId="0" borderId="0" applyNumberFormat="0" applyFill="0" applyBorder="0" applyAlignment="0" applyProtection="0">
      <alignment vertical="top"/>
      <protection locked="0"/>
    </xf>
    <xf numFmtId="171" fontId="8" fillId="0" borderId="0" applyFont="0" applyFill="0" applyBorder="0" applyAlignment="0" applyProtection="0"/>
    <xf numFmtId="9" fontId="2" fillId="0" borderId="0" applyFont="0" applyFill="0" applyBorder="0" applyAlignment="0" applyProtection="0"/>
    <xf numFmtId="167" fontId="10" fillId="0" borderId="0" applyNumberFormat="0" applyFont="0" applyFill="0" applyBorder="0">
      <alignment horizontal="left" vertical="top" wrapText="1"/>
    </xf>
    <xf numFmtId="167" fontId="11" fillId="0" borderId="0"/>
    <xf numFmtId="167" fontId="2" fillId="0" borderId="0" applyNumberFormat="0" applyFill="0" applyBorder="0" applyAlignment="0" applyProtection="0"/>
    <xf numFmtId="167" fontId="2" fillId="0" borderId="0" applyNumberFormat="0" applyFill="0" applyBorder="0" applyAlignment="0" applyProtection="0"/>
    <xf numFmtId="167" fontId="12" fillId="0" borderId="0">
      <alignment vertical="top"/>
    </xf>
    <xf numFmtId="167" fontId="13" fillId="0" borderId="0"/>
    <xf numFmtId="167" fontId="2" fillId="0" borderId="0"/>
    <xf numFmtId="167" fontId="2" fillId="0" borderId="0"/>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3" fillId="0" borderId="0"/>
    <xf numFmtId="167" fontId="15" fillId="6" borderId="0" applyNumberFormat="0" applyBorder="0" applyAlignment="0" applyProtection="0"/>
    <xf numFmtId="167" fontId="15" fillId="7" borderId="0" applyNumberFormat="0" applyBorder="0" applyAlignment="0" applyProtection="0"/>
    <xf numFmtId="167" fontId="15" fillId="8" borderId="0" applyNumberFormat="0" applyBorder="0" applyAlignment="0" applyProtection="0"/>
    <xf numFmtId="167" fontId="15" fillId="9" borderId="0" applyNumberFormat="0" applyBorder="0" applyAlignment="0" applyProtection="0"/>
    <xf numFmtId="167" fontId="15" fillId="10" borderId="0" applyNumberFormat="0" applyBorder="0" applyAlignment="0" applyProtection="0"/>
    <xf numFmtId="167" fontId="15" fillId="11" borderId="0" applyNumberFormat="0" applyBorder="0" applyAlignment="0" applyProtection="0"/>
    <xf numFmtId="167" fontId="12" fillId="6" borderId="0" applyNumberFormat="0" applyBorder="0" applyAlignment="0" applyProtection="0"/>
    <xf numFmtId="167" fontId="12" fillId="7" borderId="0" applyNumberFormat="0" applyBorder="0" applyAlignment="0" applyProtection="0"/>
    <xf numFmtId="167" fontId="12" fillId="8" borderId="0" applyNumberFormat="0" applyBorder="0" applyAlignment="0" applyProtection="0"/>
    <xf numFmtId="167" fontId="12" fillId="9" borderId="0" applyNumberFormat="0" applyBorder="0" applyAlignment="0" applyProtection="0"/>
    <xf numFmtId="167" fontId="12" fillId="10" borderId="0" applyNumberFormat="0" applyBorder="0" applyAlignment="0" applyProtection="0"/>
    <xf numFmtId="167" fontId="12" fillId="11" borderId="0" applyNumberFormat="0" applyBorder="0" applyAlignment="0" applyProtection="0"/>
    <xf numFmtId="167" fontId="2" fillId="0" borderId="0" applyBorder="0"/>
    <xf numFmtId="167" fontId="15" fillId="12" borderId="0" applyNumberFormat="0" applyBorder="0" applyAlignment="0" applyProtection="0"/>
    <xf numFmtId="167" fontId="15" fillId="13" borderId="0" applyNumberFormat="0" applyBorder="0" applyAlignment="0" applyProtection="0"/>
    <xf numFmtId="167" fontId="15" fillId="14" borderId="0" applyNumberFormat="0" applyBorder="0" applyAlignment="0" applyProtection="0"/>
    <xf numFmtId="167" fontId="15" fillId="9" borderId="0" applyNumberFormat="0" applyBorder="0" applyAlignment="0" applyProtection="0"/>
    <xf numFmtId="167" fontId="15" fillId="12" borderId="0" applyNumberFormat="0" applyBorder="0" applyAlignment="0" applyProtection="0"/>
    <xf numFmtId="167" fontId="15" fillId="15" borderId="0" applyNumberFormat="0" applyBorder="0" applyAlignment="0" applyProtection="0"/>
    <xf numFmtId="167" fontId="12" fillId="12" borderId="0" applyNumberFormat="0" applyBorder="0" applyAlignment="0" applyProtection="0"/>
    <xf numFmtId="167" fontId="12" fillId="13" borderId="0" applyNumberFormat="0" applyBorder="0" applyAlignment="0" applyProtection="0"/>
    <xf numFmtId="167" fontId="12" fillId="14" borderId="0" applyNumberFormat="0" applyBorder="0" applyAlignment="0" applyProtection="0"/>
    <xf numFmtId="167" fontId="12" fillId="9" borderId="0" applyNumberFormat="0" applyBorder="0" applyAlignment="0" applyProtection="0"/>
    <xf numFmtId="167" fontId="12" fillId="12" borderId="0" applyNumberFormat="0" applyBorder="0" applyAlignment="0" applyProtection="0"/>
    <xf numFmtId="167" fontId="12" fillId="15" borderId="0" applyNumberFormat="0" applyBorder="0" applyAlignment="0" applyProtection="0"/>
    <xf numFmtId="167" fontId="16" fillId="16" borderId="0" applyNumberFormat="0" applyBorder="0" applyAlignment="0" applyProtection="0"/>
    <xf numFmtId="167" fontId="16" fillId="13" borderId="0" applyNumberFormat="0" applyBorder="0" applyAlignment="0" applyProtection="0"/>
    <xf numFmtId="167" fontId="16" fillId="14"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19" borderId="0" applyNumberFormat="0" applyBorder="0" applyAlignment="0" applyProtection="0"/>
    <xf numFmtId="167" fontId="17" fillId="16" borderId="0" applyNumberFormat="0" applyBorder="0" applyAlignment="0" applyProtection="0"/>
    <xf numFmtId="167" fontId="17" fillId="13" borderId="0" applyNumberFormat="0" applyBorder="0" applyAlignment="0" applyProtection="0"/>
    <xf numFmtId="167" fontId="17" fillId="14"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19" borderId="0" applyNumberFormat="0" applyBorder="0" applyAlignment="0" applyProtection="0"/>
    <xf numFmtId="167" fontId="18" fillId="8" borderId="0" applyNumberFormat="0" applyBorder="0" applyAlignment="0" applyProtection="0"/>
    <xf numFmtId="167" fontId="19" fillId="8" borderId="0" applyNumberFormat="0" applyBorder="0" applyAlignment="0" applyProtection="0"/>
    <xf numFmtId="172" fontId="20" fillId="20" borderId="44" applyBorder="0">
      <alignment horizontal="center"/>
    </xf>
    <xf numFmtId="173" fontId="21" fillId="20" borderId="45" applyBorder="0"/>
    <xf numFmtId="2" fontId="21" fillId="20" borderId="45" applyBorder="0"/>
    <xf numFmtId="167" fontId="22" fillId="21" borderId="46" applyNumberFormat="0" applyAlignment="0" applyProtection="0"/>
    <xf numFmtId="167" fontId="23" fillId="22" borderId="47" applyNumberFormat="0" applyAlignment="0" applyProtection="0"/>
    <xf numFmtId="167" fontId="24" fillId="0" borderId="48" applyNumberFormat="0" applyFill="0" applyAlignment="0" applyProtection="0"/>
    <xf numFmtId="167" fontId="25" fillId="22" borderId="47" applyNumberFormat="0" applyAlignment="0" applyProtection="0"/>
    <xf numFmtId="167" fontId="26" fillId="0" borderId="48" applyNumberFormat="0" applyFill="0" applyAlignment="0" applyProtection="0"/>
    <xf numFmtId="167" fontId="27" fillId="0" borderId="0" applyFill="0" applyBorder="0" applyProtection="0">
      <alignment horizontal="center"/>
      <protection locked="0"/>
    </xf>
    <xf numFmtId="49" fontId="28" fillId="5" borderId="39" applyBorder="0">
      <alignment horizontal="left"/>
      <protection locked="0"/>
    </xf>
    <xf numFmtId="49" fontId="28" fillId="5" borderId="39" applyBorder="0">
      <alignment horizontal="left"/>
      <protection locked="0"/>
    </xf>
    <xf numFmtId="40" fontId="14" fillId="0" borderId="0" applyFont="0" applyFill="0" applyBorder="0" applyAlignment="0" applyProtection="0"/>
    <xf numFmtId="40" fontId="14" fillId="0" borderId="0" applyFont="0" applyFill="0" applyBorder="0" applyAlignment="0" applyProtection="0"/>
    <xf numFmtId="166" fontId="2" fillId="0" borderId="0" applyFont="0" applyFill="0" applyBorder="0" applyAlignment="0" applyProtection="0"/>
    <xf numFmtId="166" fontId="29" fillId="0" borderId="0" applyFont="0" applyFill="0" applyBorder="0" applyAlignment="0" applyProtection="0"/>
    <xf numFmtId="167" fontId="30" fillId="23" borderId="0" applyNumberFormat="0" applyBorder="0">
      <alignment horizontal="centerContinuous"/>
    </xf>
    <xf numFmtId="167" fontId="31" fillId="0" borderId="0" applyFill="0" applyBorder="0" applyAlignment="0" applyProtection="0">
      <protection locked="0"/>
    </xf>
    <xf numFmtId="174" fontId="15" fillId="0" borderId="0" applyFont="0" applyFill="0" applyBorder="0" applyAlignment="0" applyProtection="0"/>
    <xf numFmtId="175" fontId="2" fillId="0" borderId="0" applyFont="0" applyFill="0" applyBorder="0" applyAlignment="0" applyProtection="0"/>
    <xf numFmtId="175"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176" fontId="33" fillId="5" borderId="42" applyBorder="0">
      <alignment horizontal="left"/>
      <protection locked="0"/>
    </xf>
    <xf numFmtId="38" fontId="34" fillId="0" borderId="49">
      <alignment vertical="center"/>
    </xf>
    <xf numFmtId="167" fontId="35" fillId="0" borderId="0" applyNumberFormat="0" applyFill="0" applyBorder="0" applyAlignment="0" applyProtection="0"/>
    <xf numFmtId="167" fontId="16" fillId="24" borderId="0" applyNumberFormat="0" applyBorder="0" applyAlignment="0" applyProtection="0"/>
    <xf numFmtId="167" fontId="16" fillId="25" borderId="0" applyNumberFormat="0" applyBorder="0" applyAlignment="0" applyProtection="0"/>
    <xf numFmtId="167" fontId="16" fillId="26"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27" borderId="0" applyNumberFormat="0" applyBorder="0" applyAlignment="0" applyProtection="0"/>
    <xf numFmtId="167" fontId="17" fillId="24" borderId="0" applyNumberFormat="0" applyBorder="0" applyAlignment="0" applyProtection="0"/>
    <xf numFmtId="167" fontId="17" fillId="25" borderId="0" applyNumberFormat="0" applyBorder="0" applyAlignment="0" applyProtection="0"/>
    <xf numFmtId="167" fontId="17" fillId="26"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27" borderId="0" applyNumberFormat="0" applyBorder="0" applyAlignment="0" applyProtection="0"/>
    <xf numFmtId="167" fontId="36" fillId="11" borderId="46" applyNumberFormat="0" applyAlignment="0" applyProtection="0"/>
    <xf numFmtId="177" fontId="37" fillId="0" borderId="0" applyFill="0" applyBorder="0"/>
    <xf numFmtId="167" fontId="38" fillId="0" borderId="0" applyFont="0" applyFill="0" applyBorder="0" applyAlignment="0" applyProtection="0"/>
    <xf numFmtId="167" fontId="31" fillId="0" borderId="50" applyNumberFormat="0" applyAlignment="0" applyProtection="0">
      <alignment horizontal="left" vertical="center"/>
    </xf>
    <xf numFmtId="167" fontId="31" fillId="0" borderId="11">
      <alignment horizontal="left" vertical="center"/>
    </xf>
    <xf numFmtId="167" fontId="27" fillId="0" borderId="0" applyFill="0" applyAlignment="0" applyProtection="0">
      <protection locked="0"/>
    </xf>
    <xf numFmtId="167" fontId="27" fillId="0" borderId="1" applyFill="0" applyAlignment="0" applyProtection="0">
      <protection locked="0"/>
    </xf>
    <xf numFmtId="167" fontId="39" fillId="7" borderId="0" applyNumberFormat="0" applyBorder="0" applyAlignment="0" applyProtection="0"/>
    <xf numFmtId="167" fontId="40" fillId="7" borderId="0" applyNumberFormat="0" applyBorder="0" applyAlignment="0" applyProtection="0"/>
    <xf numFmtId="167" fontId="33" fillId="28" borderId="51" applyBorder="0" applyAlignment="0"/>
    <xf numFmtId="167" fontId="41" fillId="0" borderId="0"/>
    <xf numFmtId="44" fontId="2" fillId="0" borderId="0" applyFont="0" applyFill="0" applyBorder="0" applyAlignment="0" applyProtection="0"/>
    <xf numFmtId="167" fontId="42" fillId="29" borderId="0" applyNumberFormat="0" applyBorder="0" applyAlignment="0" applyProtection="0"/>
    <xf numFmtId="178" fontId="43"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0" fontId="14" fillId="0" borderId="0"/>
    <xf numFmtId="0" fontId="14" fillId="0" borderId="0"/>
    <xf numFmtId="167" fontId="14" fillId="0" borderId="0">
      <alignment vertical="center"/>
    </xf>
    <xf numFmtId="167" fontId="2" fillId="0" borderId="0"/>
    <xf numFmtId="0" fontId="1" fillId="0" borderId="0"/>
    <xf numFmtId="167" fontId="29" fillId="0" borderId="0"/>
    <xf numFmtId="0" fontId="45" fillId="0" borderId="0"/>
    <xf numFmtId="167" fontId="2" fillId="30" borderId="52" applyNumberFormat="0" applyFont="0" applyAlignment="0" applyProtection="0"/>
    <xf numFmtId="167" fontId="12" fillId="30" borderId="52" applyNumberFormat="0" applyFont="0" applyAlignment="0" applyProtection="0"/>
    <xf numFmtId="38" fontId="28" fillId="31" borderId="53" applyBorder="0">
      <alignment horizontal="right"/>
    </xf>
    <xf numFmtId="179" fontId="28" fillId="5" borderId="51" applyBorder="0">
      <alignment horizontal="right"/>
      <protection locked="0"/>
    </xf>
    <xf numFmtId="180" fontId="46" fillId="5" borderId="41" applyBorder="0">
      <alignment horizontal="right"/>
      <protection locked="0"/>
    </xf>
    <xf numFmtId="181" fontId="28" fillId="5" borderId="51" applyBorder="0">
      <alignment horizontal="right"/>
      <protection locked="0"/>
    </xf>
    <xf numFmtId="182" fontId="47" fillId="0" borderId="0"/>
    <xf numFmtId="9" fontId="14" fillId="0" borderId="0" applyFont="0" applyFill="0" applyBorder="0" applyAlignment="0" applyProtection="0">
      <alignment vertical="center"/>
    </xf>
    <xf numFmtId="9" fontId="32" fillId="0" borderId="0" applyFont="0" applyFill="0" applyBorder="0" applyAlignment="0" applyProtection="0"/>
    <xf numFmtId="167" fontId="48" fillId="21" borderId="54" applyNumberFormat="0" applyAlignment="0" applyProtection="0"/>
    <xf numFmtId="167" fontId="49" fillId="21" borderId="54" applyNumberFormat="0" applyAlignment="0" applyProtection="0"/>
    <xf numFmtId="4" fontId="12" fillId="20" borderId="54" applyNumberFormat="0" applyProtection="0">
      <alignment vertical="center"/>
    </xf>
    <xf numFmtId="4" fontId="50" fillId="20" borderId="54" applyNumberFormat="0" applyProtection="0">
      <alignment vertical="center"/>
    </xf>
    <xf numFmtId="4" fontId="51" fillId="20" borderId="54" applyNumberFormat="0" applyProtection="0">
      <alignment vertical="center"/>
    </xf>
    <xf numFmtId="4" fontId="12" fillId="20" borderId="54" applyNumberFormat="0" applyProtection="0">
      <alignment horizontal="left" vertical="center" indent="1"/>
    </xf>
    <xf numFmtId="4" fontId="12" fillId="20" borderId="54" applyNumberFormat="0" applyProtection="0">
      <alignment horizontal="left" vertical="center" indent="1"/>
    </xf>
    <xf numFmtId="4" fontId="52" fillId="20" borderId="54" applyNumberFormat="0" applyProtection="0">
      <alignment horizontal="left" vertical="center" indent="1"/>
    </xf>
    <xf numFmtId="4" fontId="12" fillId="2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3" fillId="32" borderId="54" applyNumberFormat="0" applyProtection="0">
      <alignment horizontal="left" vertical="center" indent="1"/>
    </xf>
    <xf numFmtId="4" fontId="12" fillId="33" borderId="54" applyNumberFormat="0" applyProtection="0">
      <alignment horizontal="right" vertical="center"/>
    </xf>
    <xf numFmtId="4" fontId="12" fillId="34" borderId="54" applyNumberFormat="0" applyProtection="0">
      <alignment horizontal="right" vertical="center"/>
    </xf>
    <xf numFmtId="4" fontId="12" fillId="35" borderId="54" applyNumberFormat="0" applyProtection="0">
      <alignment horizontal="right" vertical="center"/>
    </xf>
    <xf numFmtId="4" fontId="12" fillId="36" borderId="54" applyNumberFormat="0" applyProtection="0">
      <alignment horizontal="right" vertical="center"/>
    </xf>
    <xf numFmtId="4" fontId="12" fillId="37" borderId="54" applyNumberFormat="0" applyProtection="0">
      <alignment horizontal="right" vertical="center"/>
    </xf>
    <xf numFmtId="4" fontId="12" fillId="38" borderId="54" applyNumberFormat="0" applyProtection="0">
      <alignment horizontal="right" vertical="center"/>
    </xf>
    <xf numFmtId="4" fontId="12" fillId="39" borderId="54" applyNumberFormat="0" applyProtection="0">
      <alignment horizontal="right" vertical="center"/>
    </xf>
    <xf numFmtId="4" fontId="12" fillId="40" borderId="54" applyNumberFormat="0" applyProtection="0">
      <alignment horizontal="right" vertical="center"/>
    </xf>
    <xf numFmtId="4" fontId="12" fillId="41" borderId="54" applyNumberFormat="0" applyProtection="0">
      <alignment horizontal="right" vertical="center"/>
    </xf>
    <xf numFmtId="4" fontId="53" fillId="42" borderId="54" applyNumberFormat="0" applyProtection="0">
      <alignment horizontal="left" vertical="center" indent="1"/>
    </xf>
    <xf numFmtId="4" fontId="53" fillId="42" borderId="54" applyNumberFormat="0" applyProtection="0">
      <alignment horizontal="left" vertical="center" indent="1"/>
    </xf>
    <xf numFmtId="4" fontId="53" fillId="43" borderId="54" applyNumberFormat="0" applyProtection="0">
      <alignment horizontal="left" vertical="center" indent="1"/>
    </xf>
    <xf numFmtId="4" fontId="12" fillId="44" borderId="55" applyNumberFormat="0" applyProtection="0">
      <alignment horizontal="left" vertical="center" indent="1"/>
    </xf>
    <xf numFmtId="4" fontId="12" fillId="44" borderId="55" applyNumberFormat="0" applyProtection="0">
      <alignment horizontal="left" vertical="center" indent="1"/>
    </xf>
    <xf numFmtId="4" fontId="54" fillId="32" borderId="55" applyNumberFormat="0" applyProtection="0">
      <alignment horizontal="left" vertical="center" indent="1"/>
    </xf>
    <xf numFmtId="4" fontId="55" fillId="45" borderId="0"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44" borderId="54" applyNumberFormat="0" applyProtection="0">
      <alignment horizontal="left" vertical="center" indent="1"/>
    </xf>
    <xf numFmtId="4" fontId="12" fillId="44" borderId="54" applyNumberFormat="0" applyProtection="0">
      <alignment horizontal="left" vertical="center" indent="1"/>
    </xf>
    <xf numFmtId="4" fontId="23" fillId="46" borderId="54" applyNumberFormat="0" applyProtection="0">
      <alignment horizontal="left" vertical="center" indent="1"/>
    </xf>
    <xf numFmtId="4" fontId="12" fillId="47" borderId="54" applyNumberFormat="0" applyProtection="0">
      <alignment horizontal="left" vertical="center" indent="1"/>
    </xf>
    <xf numFmtId="4" fontId="12" fillId="47" borderId="54" applyNumberFormat="0" applyProtection="0">
      <alignment horizontal="left" vertical="center" indent="1"/>
    </xf>
    <xf numFmtId="4" fontId="23" fillId="32" borderId="54" applyNumberFormat="0" applyProtection="0">
      <alignment horizontal="left" vertical="center" indent="1"/>
    </xf>
    <xf numFmtId="167" fontId="2" fillId="47" borderId="54" applyNumberFormat="0" applyProtection="0">
      <alignment horizontal="left" vertical="center" indent="1"/>
    </xf>
    <xf numFmtId="167" fontId="2" fillId="47" borderId="54" applyNumberFormat="0" applyProtection="0">
      <alignment horizontal="left" vertical="center" indent="1"/>
    </xf>
    <xf numFmtId="167" fontId="2" fillId="48" borderId="54" applyNumberFormat="0" applyProtection="0">
      <alignment horizontal="left" vertical="center" indent="1"/>
    </xf>
    <xf numFmtId="167" fontId="2" fillId="48" borderId="54" applyNumberFormat="0" applyProtection="0">
      <alignment horizontal="left" vertical="center" indent="1"/>
    </xf>
    <xf numFmtId="167" fontId="2" fillId="49" borderId="54" applyNumberFormat="0" applyProtection="0">
      <alignment horizontal="left" vertical="center" indent="1"/>
    </xf>
    <xf numFmtId="167" fontId="2" fillId="49"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5" borderId="54" applyNumberFormat="0" applyProtection="0">
      <alignment vertical="center"/>
    </xf>
    <xf numFmtId="4" fontId="51" fillId="5" borderId="54" applyNumberFormat="0" applyProtection="0">
      <alignment vertical="center"/>
    </xf>
    <xf numFmtId="4" fontId="12" fillId="5" borderId="54" applyNumberFormat="0" applyProtection="0">
      <alignment horizontal="left" vertical="center" indent="1"/>
    </xf>
    <xf numFmtId="4" fontId="12" fillId="5" borderId="54" applyNumberFormat="0" applyProtection="0">
      <alignment horizontal="left" vertical="center" indent="1"/>
    </xf>
    <xf numFmtId="4" fontId="12" fillId="44" borderId="54" applyNumberFormat="0" applyProtection="0">
      <alignment horizontal="right" vertical="center"/>
    </xf>
    <xf numFmtId="4" fontId="56" fillId="50" borderId="54" applyNumberFormat="0" applyProtection="0">
      <alignment horizontal="right" vertical="center"/>
    </xf>
    <xf numFmtId="4" fontId="51" fillId="44" borderId="54" applyNumberFormat="0" applyProtection="0">
      <alignment horizontal="right" vertical="center"/>
    </xf>
    <xf numFmtId="167" fontId="2" fillId="31" borderId="54" applyNumberFormat="0" applyProtection="0">
      <alignment horizontal="left" vertical="center" indent="1"/>
    </xf>
    <xf numFmtId="167" fontId="57" fillId="5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58" fillId="32" borderId="54" applyNumberFormat="0" applyProtection="0">
      <alignment horizontal="left" vertical="center" indent="1"/>
    </xf>
    <xf numFmtId="167" fontId="59" fillId="0" borderId="0"/>
    <xf numFmtId="167" fontId="59" fillId="0" borderId="0"/>
    <xf numFmtId="4" fontId="60" fillId="44" borderId="54" applyNumberFormat="0" applyProtection="0">
      <alignment horizontal="right" vertical="center"/>
    </xf>
    <xf numFmtId="167" fontId="61" fillId="51" borderId="0"/>
    <xf numFmtId="49" fontId="62" fillId="51" borderId="0"/>
    <xf numFmtId="49" fontId="63" fillId="51" borderId="56"/>
    <xf numFmtId="49" fontId="63" fillId="51" borderId="0"/>
    <xf numFmtId="167" fontId="61" fillId="52" borderId="56">
      <protection locked="0"/>
    </xf>
    <xf numFmtId="167" fontId="61" fillId="51" borderId="0"/>
    <xf numFmtId="167" fontId="64" fillId="23" borderId="0"/>
    <xf numFmtId="167" fontId="64" fillId="41" borderId="0"/>
    <xf numFmtId="167" fontId="64" fillId="36" borderId="0"/>
    <xf numFmtId="43" fontId="2" fillId="0" borderId="0" applyFont="0" applyFill="0" applyBorder="0" applyAlignment="0" applyProtection="0"/>
    <xf numFmtId="167" fontId="2" fillId="0" borderId="0" applyNumberFormat="0" applyFill="0" applyBorder="0" applyAlignment="0" applyProtection="0"/>
    <xf numFmtId="167" fontId="60" fillId="0" borderId="0" applyNumberFormat="0" applyFill="0" applyBorder="0" applyAlignment="0" applyProtection="0"/>
    <xf numFmtId="167" fontId="65" fillId="0" borderId="0" applyNumberFormat="0" applyFill="0" applyBorder="0" applyAlignment="0" applyProtection="0"/>
    <xf numFmtId="167" fontId="66" fillId="0" borderId="0" applyNumberFormat="0" applyFill="0" applyBorder="0" applyAlignment="0" applyProtection="0"/>
    <xf numFmtId="167" fontId="67" fillId="0" borderId="0" applyNumberFormat="0" applyFill="0" applyBorder="0" applyAlignment="0" applyProtection="0"/>
    <xf numFmtId="167" fontId="68" fillId="0" borderId="57" applyNumberFormat="0" applyFill="0" applyAlignment="0" applyProtection="0"/>
    <xf numFmtId="167" fontId="69" fillId="0" borderId="58" applyNumberFormat="0" applyFill="0" applyAlignment="0" applyProtection="0"/>
    <xf numFmtId="167" fontId="35" fillId="0" borderId="59" applyNumberFormat="0" applyFill="0" applyAlignment="0" applyProtection="0"/>
    <xf numFmtId="167" fontId="70" fillId="0" borderId="0" applyNumberFormat="0" applyFill="0" applyBorder="0" applyAlignment="0" applyProtection="0"/>
    <xf numFmtId="183" fontId="33" fillId="0" borderId="37"/>
    <xf numFmtId="184" fontId="71" fillId="0" borderId="0" applyFont="0" applyFill="0" applyBorder="0" applyAlignment="0" applyProtection="0"/>
    <xf numFmtId="185" fontId="71" fillId="0" borderId="0" applyFont="0" applyFill="0" applyBorder="0" applyAlignment="0" applyProtection="0">
      <alignment vertical="top"/>
    </xf>
    <xf numFmtId="186" fontId="71" fillId="0" borderId="0" applyFont="0" applyFill="0" applyBorder="0" applyAlignment="0" applyProtection="0"/>
    <xf numFmtId="167" fontId="2" fillId="0" borderId="0"/>
    <xf numFmtId="165" fontId="3" fillId="0" borderId="0" applyFont="0" applyFill="0" applyBorder="0" applyAlignment="0" applyProtection="0"/>
    <xf numFmtId="166" fontId="3" fillId="0" borderId="0" applyFont="0" applyFill="0" applyBorder="0" applyAlignment="0" applyProtection="0"/>
    <xf numFmtId="38" fontId="72" fillId="0" borderId="0" applyFont="0" applyFill="0" applyBorder="0" applyAlignment="0" applyProtection="0"/>
    <xf numFmtId="1" fontId="38" fillId="0" borderId="0"/>
    <xf numFmtId="167" fontId="73" fillId="0" borderId="0" applyNumberFormat="0" applyFont="0" applyFill="0" applyBorder="0">
      <alignment horizontal="left" vertical="top" wrapText="1"/>
    </xf>
    <xf numFmtId="43" fontId="2" fillId="0" borderId="0" applyFont="0" applyFill="0" applyBorder="0" applyAlignment="0" applyProtection="0"/>
    <xf numFmtId="0" fontId="2" fillId="0" borderId="0"/>
    <xf numFmtId="167" fontId="74" fillId="0" borderId="0" applyFill="0" applyBorder="0" applyProtection="0"/>
    <xf numFmtId="167" fontId="75" fillId="0" borderId="0" applyNumberFormat="0" applyFill="0" applyBorder="0" applyAlignment="0" applyProtection="0">
      <alignment vertical="top"/>
      <protection locked="0"/>
    </xf>
  </cellStyleXfs>
  <cellXfs count="209">
    <xf numFmtId="0" fontId="0" fillId="0" borderId="0" xfId="0"/>
    <xf numFmtId="0" fontId="77" fillId="2" borderId="17" xfId="1" applyFont="1" applyFill="1" applyBorder="1" applyAlignment="1">
      <alignment horizontal="center" vertical="center" wrapText="1"/>
    </xf>
    <xf numFmtId="0" fontId="77" fillId="0" borderId="26" xfId="1" applyFont="1" applyFill="1" applyBorder="1" applyAlignment="1">
      <alignment horizontal="center" vertical="center" wrapText="1"/>
    </xf>
    <xf numFmtId="0" fontId="77" fillId="3" borderId="27" xfId="1" applyFont="1" applyFill="1" applyBorder="1" applyAlignment="1">
      <alignment horizontal="left" vertical="center" wrapText="1"/>
    </xf>
    <xf numFmtId="0" fontId="77" fillId="0" borderId="23" xfId="1" applyFont="1" applyFill="1" applyBorder="1" applyAlignment="1">
      <alignment horizontal="center" vertical="center"/>
    </xf>
    <xf numFmtId="2" fontId="77" fillId="0" borderId="23" xfId="2" applyNumberFormat="1" applyFont="1" applyFill="1" applyBorder="1" applyAlignment="1">
      <alignment horizontal="center" vertical="center"/>
    </xf>
    <xf numFmtId="166" fontId="77" fillId="0" borderId="23" xfId="3" applyNumberFormat="1" applyFont="1" applyFill="1" applyBorder="1" applyAlignment="1">
      <alignment horizontal="center" vertical="center"/>
    </xf>
    <xf numFmtId="166" fontId="77" fillId="2" borderId="16" xfId="3" applyNumberFormat="1" applyFont="1" applyFill="1" applyBorder="1" applyAlignment="1">
      <alignment horizontal="center" vertical="center"/>
    </xf>
    <xf numFmtId="0" fontId="77" fillId="2" borderId="30" xfId="1" applyFont="1" applyFill="1" applyBorder="1" applyAlignment="1">
      <alignment horizontal="center" vertical="center" wrapText="1"/>
    </xf>
    <xf numFmtId="0" fontId="77" fillId="3" borderId="28" xfId="1" applyFont="1" applyFill="1" applyBorder="1" applyAlignment="1">
      <alignment horizontal="left" vertical="center"/>
    </xf>
    <xf numFmtId="0" fontId="77" fillId="0" borderId="30" xfId="1" applyFont="1" applyFill="1" applyBorder="1" applyAlignment="1">
      <alignment horizontal="center" vertical="center"/>
    </xf>
    <xf numFmtId="166" fontId="77" fillId="2" borderId="30" xfId="3" applyNumberFormat="1" applyFont="1" applyFill="1" applyBorder="1" applyAlignment="1">
      <alignment horizontal="center" vertical="center"/>
    </xf>
    <xf numFmtId="2" fontId="77" fillId="0" borderId="30" xfId="1" applyNumberFormat="1" applyFont="1" applyFill="1" applyBorder="1" applyAlignment="1">
      <alignment horizontal="center" vertical="center"/>
    </xf>
    <xf numFmtId="166" fontId="77" fillId="0" borderId="30" xfId="3" applyNumberFormat="1" applyFont="1" applyFill="1" applyBorder="1" applyAlignment="1">
      <alignment horizontal="center" vertical="center"/>
    </xf>
    <xf numFmtId="4" fontId="77" fillId="0" borderId="30" xfId="3" applyNumberFormat="1" applyFont="1" applyFill="1" applyBorder="1" applyAlignment="1">
      <alignment horizontal="center" vertical="center" wrapText="1"/>
    </xf>
    <xf numFmtId="0" fontId="77" fillId="2" borderId="20" xfId="1" applyFont="1" applyFill="1" applyBorder="1" applyAlignment="1">
      <alignment horizontal="left" vertical="center" wrapText="1"/>
    </xf>
    <xf numFmtId="0" fontId="77" fillId="3" borderId="32" xfId="1" applyFont="1" applyFill="1" applyBorder="1" applyAlignment="1">
      <alignment horizontal="left" vertical="center"/>
    </xf>
    <xf numFmtId="0" fontId="77" fillId="0" borderId="20" xfId="1" applyFont="1" applyFill="1" applyBorder="1" applyAlignment="1">
      <alignment horizontal="center" vertical="center"/>
    </xf>
    <xf numFmtId="2" fontId="77" fillId="0" borderId="20" xfId="1" applyNumberFormat="1" applyFont="1" applyFill="1" applyBorder="1" applyAlignment="1">
      <alignment horizontal="center" vertical="center"/>
    </xf>
    <xf numFmtId="166" fontId="77" fillId="0" borderId="20" xfId="3" applyNumberFormat="1" applyFont="1" applyFill="1" applyBorder="1" applyAlignment="1">
      <alignment horizontal="center" vertical="center"/>
    </xf>
    <xf numFmtId="166" fontId="77" fillId="2" borderId="20" xfId="3" applyNumberFormat="1" applyFont="1" applyFill="1" applyBorder="1" applyAlignment="1">
      <alignment horizontal="center" vertical="center"/>
    </xf>
    <xf numFmtId="0" fontId="76" fillId="2" borderId="23" xfId="1" applyFont="1" applyFill="1" applyBorder="1" applyAlignment="1">
      <alignment horizontal="center" vertical="center"/>
    </xf>
    <xf numFmtId="166" fontId="77" fillId="3" borderId="25" xfId="3" applyNumberFormat="1" applyFont="1" applyFill="1" applyBorder="1" applyAlignment="1">
      <alignment horizontal="center" vertical="center" wrapText="1"/>
    </xf>
    <xf numFmtId="0" fontId="76" fillId="2" borderId="30" xfId="1" applyFont="1" applyFill="1" applyBorder="1" applyAlignment="1">
      <alignment horizontal="center" vertical="center"/>
    </xf>
    <xf numFmtId="0" fontId="77" fillId="3" borderId="29" xfId="3" applyNumberFormat="1" applyFont="1" applyFill="1" applyBorder="1" applyAlignment="1">
      <alignment horizontal="center" vertical="center" wrapText="1"/>
    </xf>
    <xf numFmtId="166" fontId="77" fillId="3" borderId="29" xfId="3" applyNumberFormat="1" applyFont="1" applyFill="1" applyBorder="1" applyAlignment="1">
      <alignment horizontal="center" vertical="center" wrapText="1"/>
    </xf>
    <xf numFmtId="0" fontId="76" fillId="2" borderId="20" xfId="1" applyFont="1" applyFill="1" applyBorder="1" applyAlignment="1">
      <alignment horizontal="center" vertical="center"/>
    </xf>
    <xf numFmtId="166" fontId="77" fillId="3" borderId="33" xfId="3" applyNumberFormat="1" applyFont="1" applyFill="1" applyBorder="1" applyAlignment="1">
      <alignment horizontal="center" vertical="center" wrapText="1"/>
    </xf>
    <xf numFmtId="0" fontId="78" fillId="2" borderId="8" xfId="1" applyFont="1" applyFill="1" applyBorder="1" applyAlignment="1">
      <alignment horizontal="center" vertical="center" wrapText="1"/>
    </xf>
    <xf numFmtId="0" fontId="78" fillId="2" borderId="10" xfId="1" applyFont="1" applyFill="1" applyBorder="1" applyAlignment="1">
      <alignment horizontal="center" vertical="center" wrapText="1"/>
    </xf>
    <xf numFmtId="0" fontId="78" fillId="2" borderId="0" xfId="1" applyFont="1" applyFill="1" applyAlignment="1">
      <alignment vertical="center"/>
    </xf>
    <xf numFmtId="0" fontId="78" fillId="2" borderId="0" xfId="1" applyFont="1" applyFill="1" applyAlignment="1">
      <alignment horizontal="center" vertical="center"/>
    </xf>
    <xf numFmtId="0" fontId="78" fillId="2" borderId="3" xfId="1" applyFont="1" applyFill="1" applyBorder="1" applyAlignment="1">
      <alignment horizontal="center" vertical="center" wrapText="1"/>
    </xf>
    <xf numFmtId="0" fontId="78" fillId="2" borderId="1" xfId="1" applyFont="1" applyFill="1" applyBorder="1" applyAlignment="1">
      <alignment horizontal="center" vertical="center" wrapText="1"/>
    </xf>
    <xf numFmtId="0" fontId="78" fillId="4" borderId="8" xfId="1" applyFont="1" applyFill="1" applyBorder="1" applyAlignment="1">
      <alignment horizontal="center" vertical="center" wrapText="1"/>
    </xf>
    <xf numFmtId="0" fontId="85" fillId="3" borderId="8" xfId="1" applyNumberFormat="1" applyFont="1" applyFill="1" applyBorder="1" applyAlignment="1">
      <alignment horizontal="center" vertical="center"/>
    </xf>
    <xf numFmtId="0" fontId="85" fillId="2" borderId="8" xfId="1" applyNumberFormat="1" applyFont="1" applyFill="1" applyBorder="1" applyAlignment="1">
      <alignment horizontal="center" vertical="center" wrapText="1"/>
    </xf>
    <xf numFmtId="164" fontId="85" fillId="3" borderId="8" xfId="1" applyNumberFormat="1" applyFont="1" applyFill="1" applyBorder="1" applyAlignment="1">
      <alignment horizontal="center" vertical="center"/>
    </xf>
    <xf numFmtId="49" fontId="85" fillId="0" borderId="1" xfId="867" applyNumberFormat="1" applyFont="1" applyFill="1" applyBorder="1" applyAlignment="1" applyProtection="1">
      <alignment horizontal="center" vertical="center"/>
    </xf>
    <xf numFmtId="0" fontId="85" fillId="3" borderId="8" xfId="1" applyFont="1" applyFill="1" applyBorder="1" applyAlignment="1">
      <alignment horizontal="center" vertical="center"/>
    </xf>
    <xf numFmtId="0" fontId="78" fillId="2" borderId="0" xfId="1" applyFont="1" applyFill="1"/>
    <xf numFmtId="0" fontId="78" fillId="2" borderId="9"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78" fillId="2" borderId="0" xfId="1" applyFont="1" applyFill="1" applyBorder="1" applyAlignment="1">
      <alignment horizontal="center" vertical="center" wrapText="1"/>
    </xf>
    <xf numFmtId="0" fontId="87" fillId="2" borderId="0" xfId="1" applyFont="1" applyFill="1"/>
    <xf numFmtId="0" fontId="88" fillId="2" borderId="0" xfId="1" applyFont="1" applyFill="1"/>
    <xf numFmtId="0" fontId="89" fillId="2" borderId="0" xfId="1" applyFont="1" applyFill="1"/>
    <xf numFmtId="166" fontId="77" fillId="2" borderId="10" xfId="1" applyNumberFormat="1" applyFont="1" applyFill="1" applyBorder="1" applyAlignment="1">
      <alignment vertical="center"/>
    </xf>
    <xf numFmtId="166" fontId="77" fillId="2" borderId="1" xfId="1" applyNumberFormat="1" applyFont="1" applyFill="1" applyBorder="1" applyAlignment="1">
      <alignment vertical="center"/>
    </xf>
    <xf numFmtId="166" fontId="83" fillId="2" borderId="4" xfId="3" applyNumberFormat="1" applyFont="1" applyFill="1" applyBorder="1" applyAlignment="1">
      <alignment horizontal="center" vertical="center"/>
    </xf>
    <xf numFmtId="0" fontId="78" fillId="2" borderId="0" xfId="1" applyFont="1" applyFill="1" applyBorder="1" applyAlignment="1">
      <alignment vertical="center"/>
    </xf>
    <xf numFmtId="0" fontId="78" fillId="2" borderId="6" xfId="1" applyFont="1" applyFill="1" applyBorder="1" applyAlignment="1">
      <alignment vertical="center" wrapText="1"/>
    </xf>
    <xf numFmtId="0" fontId="78" fillId="2" borderId="7" xfId="1" applyFont="1" applyFill="1" applyBorder="1" applyAlignment="1">
      <alignment vertical="center" wrapText="1"/>
    </xf>
    <xf numFmtId="0" fontId="78" fillId="2" borderId="0" xfId="1" applyFont="1" applyFill="1" applyBorder="1" applyAlignment="1">
      <alignment vertical="center" wrapText="1"/>
    </xf>
    <xf numFmtId="0" fontId="79" fillId="2" borderId="0" xfId="1" applyFont="1" applyFill="1" applyBorder="1" applyAlignment="1">
      <alignment vertical="center" wrapText="1"/>
    </xf>
    <xf numFmtId="0" fontId="78" fillId="2" borderId="38" xfId="1" applyFont="1" applyFill="1" applyBorder="1" applyAlignment="1">
      <alignment horizontal="center" vertical="center" wrapText="1"/>
    </xf>
    <xf numFmtId="0" fontId="79" fillId="2" borderId="0" xfId="1" applyFont="1" applyFill="1" applyBorder="1" applyAlignment="1">
      <alignment horizontal="center" vertical="center" wrapText="1"/>
    </xf>
    <xf numFmtId="0" fontId="78" fillId="2" borderId="0" xfId="1" applyFont="1" applyFill="1" applyBorder="1" applyAlignment="1">
      <alignment horizontal="left" vertical="center" wrapText="1"/>
    </xf>
    <xf numFmtId="0" fontId="78" fillId="2" borderId="38" xfId="1" applyFont="1" applyFill="1" applyBorder="1" applyAlignment="1">
      <alignment vertical="center" wrapText="1"/>
    </xf>
    <xf numFmtId="0" fontId="78" fillId="2" borderId="10" xfId="1" applyFont="1" applyFill="1" applyBorder="1" applyAlignment="1">
      <alignment horizontal="left" vertical="center" wrapText="1"/>
    </xf>
    <xf numFmtId="0" fontId="78" fillId="2" borderId="11" xfId="1" applyFont="1" applyFill="1" applyBorder="1" applyAlignment="1">
      <alignment horizontal="left" vertical="center" wrapText="1"/>
    </xf>
    <xf numFmtId="0" fontId="78" fillId="2" borderId="1" xfId="1" applyFont="1" applyFill="1" applyBorder="1" applyAlignment="1">
      <alignment vertical="center"/>
    </xf>
    <xf numFmtId="0" fontId="78" fillId="2" borderId="1" xfId="1" applyFont="1" applyFill="1" applyBorder="1" applyAlignment="1">
      <alignment horizontal="left" vertical="center" wrapText="1"/>
    </xf>
    <xf numFmtId="0" fontId="78" fillId="2" borderId="4" xfId="1" applyFont="1" applyFill="1" applyBorder="1" applyAlignment="1">
      <alignment vertical="center" wrapText="1"/>
    </xf>
    <xf numFmtId="0" fontId="78" fillId="2" borderId="6" xfId="1" applyFont="1" applyFill="1" applyBorder="1" applyAlignment="1">
      <alignment horizontal="left" vertical="center" wrapText="1"/>
    </xf>
    <xf numFmtId="0" fontId="78" fillId="2" borderId="34" xfId="1" applyFont="1" applyFill="1" applyBorder="1" applyAlignment="1">
      <alignment vertical="center" wrapText="1"/>
    </xf>
    <xf numFmtId="0" fontId="78" fillId="2" borderId="37" xfId="1" applyFont="1" applyFill="1" applyBorder="1" applyAlignment="1">
      <alignment horizontal="left" vertical="center" wrapText="1"/>
    </xf>
    <xf numFmtId="0" fontId="78" fillId="2" borderId="35" xfId="1" applyFont="1" applyFill="1" applyBorder="1" applyAlignment="1">
      <alignment vertical="center" wrapText="1"/>
    </xf>
    <xf numFmtId="0" fontId="82" fillId="2" borderId="41" xfId="1" applyFont="1" applyFill="1" applyBorder="1" applyAlignment="1">
      <alignment vertical="center" wrapText="1"/>
    </xf>
    <xf numFmtId="0" fontId="82" fillId="2" borderId="42" xfId="1" applyFont="1" applyFill="1" applyBorder="1" applyAlignment="1">
      <alignment vertical="center"/>
    </xf>
    <xf numFmtId="0" fontId="86" fillId="2" borderId="43" xfId="1" applyFont="1" applyFill="1" applyBorder="1" applyAlignment="1">
      <alignment horizontal="right" vertical="center"/>
    </xf>
    <xf numFmtId="2" fontId="77" fillId="2" borderId="0" xfId="1" applyNumberFormat="1" applyFont="1" applyFill="1" applyAlignment="1">
      <alignment horizontal="right" vertical="center"/>
    </xf>
    <xf numFmtId="2" fontId="78" fillId="2" borderId="0" xfId="1" applyNumberFormat="1" applyFont="1" applyFill="1" applyAlignment="1">
      <alignment vertical="center"/>
    </xf>
    <xf numFmtId="0" fontId="92" fillId="2" borderId="0" xfId="1" applyFont="1" applyFill="1" applyAlignment="1">
      <alignment vertical="center"/>
    </xf>
    <xf numFmtId="0" fontId="78" fillId="2" borderId="0" xfId="1" applyFont="1" applyFill="1" applyAlignment="1">
      <alignment horizontal="left" vertical="center"/>
    </xf>
    <xf numFmtId="0" fontId="93" fillId="4" borderId="8" xfId="0" applyFont="1" applyFill="1" applyBorder="1" applyAlignment="1">
      <alignment horizontal="center" vertical="center" wrapText="1"/>
    </xf>
    <xf numFmtId="49" fontId="89" fillId="4" borderId="18" xfId="0" applyNumberFormat="1" applyFont="1" applyFill="1" applyBorder="1" applyAlignment="1">
      <alignment horizontal="center" vertical="center" wrapText="1"/>
    </xf>
    <xf numFmtId="49" fontId="89" fillId="4" borderId="21" xfId="0" applyNumberFormat="1" applyFont="1" applyFill="1" applyBorder="1" applyAlignment="1">
      <alignment horizontal="center" vertical="center" wrapText="1"/>
    </xf>
    <xf numFmtId="49" fontId="89" fillId="4" borderId="40" xfId="0" applyNumberFormat="1" applyFont="1" applyFill="1" applyBorder="1" applyAlignment="1">
      <alignment horizontal="center" vertical="center" wrapText="1"/>
    </xf>
    <xf numFmtId="49" fontId="95" fillId="4" borderId="18" xfId="0" applyNumberFormat="1" applyFont="1" applyFill="1" applyBorder="1" applyAlignment="1">
      <alignment horizontal="center" vertical="center" wrapText="1"/>
    </xf>
    <xf numFmtId="49" fontId="95" fillId="4" borderId="21" xfId="0" applyNumberFormat="1" applyFont="1" applyFill="1" applyBorder="1" applyAlignment="1">
      <alignment horizontal="center" vertical="center" wrapText="1"/>
    </xf>
    <xf numFmtId="0" fontId="89" fillId="4" borderId="21" xfId="0" quotePrefix="1" applyFont="1" applyFill="1" applyBorder="1" applyAlignment="1">
      <alignment horizontal="center"/>
    </xf>
    <xf numFmtId="49" fontId="95" fillId="4" borderId="40" xfId="0" applyNumberFormat="1" applyFont="1" applyFill="1" applyBorder="1" applyAlignment="1">
      <alignment horizontal="center" vertical="center" wrapText="1"/>
    </xf>
    <xf numFmtId="49" fontId="96" fillId="4" borderId="21" xfId="0" applyNumberFormat="1" applyFont="1" applyFill="1" applyBorder="1" applyAlignment="1">
      <alignment horizontal="center" vertical="center" wrapText="1"/>
    </xf>
    <xf numFmtId="49" fontId="89" fillId="4" borderId="31" xfId="0" applyNumberFormat="1" applyFont="1" applyFill="1" applyBorder="1" applyAlignment="1">
      <alignment horizontal="center" vertical="center" wrapText="1"/>
    </xf>
    <xf numFmtId="0" fontId="89" fillId="4" borderId="31" xfId="0" quotePrefix="1" applyFont="1" applyFill="1" applyBorder="1" applyAlignment="1">
      <alignment horizontal="center"/>
    </xf>
    <xf numFmtId="49" fontId="89" fillId="4" borderId="60" xfId="0" applyNumberFormat="1" applyFont="1" applyFill="1" applyBorder="1" applyAlignment="1">
      <alignment horizontal="center" vertical="center" wrapText="1"/>
    </xf>
    <xf numFmtId="0" fontId="89" fillId="4" borderId="21" xfId="0" applyFont="1" applyFill="1" applyBorder="1" applyAlignment="1">
      <alignment horizontal="center"/>
    </xf>
    <xf numFmtId="49" fontId="89" fillId="4" borderId="61" xfId="0" applyNumberFormat="1" applyFont="1" applyFill="1" applyBorder="1" applyAlignment="1">
      <alignment horizontal="center" vertical="center" wrapText="1"/>
    </xf>
    <xf numFmtId="0" fontId="89" fillId="4" borderId="40" xfId="0" applyFont="1" applyFill="1" applyBorder="1" applyAlignment="1">
      <alignment horizontal="center"/>
    </xf>
    <xf numFmtId="49" fontId="89" fillId="4" borderId="62" xfId="0" applyNumberFormat="1" applyFont="1" applyFill="1" applyBorder="1" applyAlignment="1">
      <alignment horizontal="center" vertical="center" wrapText="1"/>
    </xf>
    <xf numFmtId="0" fontId="89" fillId="4" borderId="40" xfId="0" quotePrefix="1" applyFont="1" applyFill="1" applyBorder="1" applyAlignment="1">
      <alignment horizontal="center"/>
    </xf>
    <xf numFmtId="49" fontId="89" fillId="4" borderId="17" xfId="0" applyNumberFormat="1" applyFont="1" applyFill="1" applyBorder="1" applyAlignment="1">
      <alignment horizontal="center" vertical="center" wrapText="1"/>
    </xf>
    <xf numFmtId="0" fontId="89" fillId="4" borderId="18" xfId="0" applyFont="1" applyFill="1" applyBorder="1" applyAlignment="1">
      <alignment horizontal="center"/>
    </xf>
    <xf numFmtId="0" fontId="89" fillId="4" borderId="8" xfId="0" applyFont="1" applyFill="1" applyBorder="1" applyAlignment="1">
      <alignment horizontal="center"/>
    </xf>
    <xf numFmtId="49" fontId="89" fillId="4" borderId="8" xfId="0" applyNumberFormat="1" applyFont="1" applyFill="1" applyBorder="1" applyAlignment="1">
      <alignment horizontal="center" vertical="center" wrapText="1"/>
    </xf>
    <xf numFmtId="49" fontId="89" fillId="4" borderId="22" xfId="0" applyNumberFormat="1" applyFont="1" applyFill="1" applyBorder="1" applyAlignment="1">
      <alignment horizontal="center" vertical="center" wrapText="1"/>
    </xf>
    <xf numFmtId="49" fontId="89" fillId="4" borderId="0" xfId="0" applyNumberFormat="1" applyFont="1" applyFill="1" applyBorder="1" applyAlignment="1">
      <alignment horizontal="center" vertical="center" wrapText="1"/>
    </xf>
    <xf numFmtId="49" fontId="89" fillId="4" borderId="63" xfId="0" applyNumberFormat="1" applyFont="1" applyFill="1" applyBorder="1" applyAlignment="1">
      <alignment horizontal="center" vertical="center" wrapText="1"/>
    </xf>
    <xf numFmtId="49" fontId="89" fillId="4" borderId="64" xfId="0" applyNumberFormat="1" applyFont="1" applyFill="1" applyBorder="1" applyAlignment="1">
      <alignment horizontal="center" vertical="center" wrapText="1"/>
    </xf>
    <xf numFmtId="0" fontId="89" fillId="4" borderId="17" xfId="0" applyFont="1" applyFill="1" applyBorder="1" applyAlignment="1">
      <alignment horizontal="center" vertical="center" wrapText="1"/>
    </xf>
    <xf numFmtId="49" fontId="89" fillId="4" borderId="40" xfId="0" applyNumberFormat="1" applyFont="1" applyFill="1" applyBorder="1" applyAlignment="1">
      <alignment horizontal="center" vertical="center"/>
    </xf>
    <xf numFmtId="49" fontId="95" fillId="4" borderId="31" xfId="0" applyNumberFormat="1" applyFont="1" applyFill="1" applyBorder="1" applyAlignment="1">
      <alignment horizontal="center" vertical="center" wrapText="1"/>
    </xf>
    <xf numFmtId="49" fontId="95" fillId="4" borderId="63" xfId="0" applyNumberFormat="1" applyFont="1" applyFill="1" applyBorder="1" applyAlignment="1">
      <alignment horizontal="center" vertical="center" wrapText="1"/>
    </xf>
    <xf numFmtId="0" fontId="95" fillId="4" borderId="31" xfId="0" applyFont="1" applyFill="1" applyBorder="1" applyAlignment="1">
      <alignment horizontal="center" wrapText="1"/>
    </xf>
    <xf numFmtId="0" fontId="95" fillId="4" borderId="40" xfId="0" applyFont="1" applyFill="1" applyBorder="1" applyAlignment="1">
      <alignment horizontal="center" wrapText="1"/>
    </xf>
    <xf numFmtId="0" fontId="97" fillId="2" borderId="13" xfId="0" applyFont="1" applyFill="1" applyBorder="1" applyAlignment="1">
      <alignment horizontal="center" vertical="center" wrapText="1"/>
    </xf>
    <xf numFmtId="0" fontId="97" fillId="2" borderId="14" xfId="0" applyFont="1" applyFill="1" applyBorder="1" applyAlignment="1">
      <alignment horizontal="center" vertical="center" wrapText="1"/>
    </xf>
    <xf numFmtId="0" fontId="97" fillId="2" borderId="15" xfId="0" applyFont="1" applyFill="1" applyBorder="1" applyAlignment="1">
      <alignment horizontal="center" vertical="center" wrapText="1"/>
    </xf>
    <xf numFmtId="49" fontId="95" fillId="2" borderId="19" xfId="0" applyNumberFormat="1" applyFont="1" applyFill="1" applyBorder="1" applyAlignment="1">
      <alignment horizontal="center" vertical="center" wrapText="1"/>
    </xf>
    <xf numFmtId="49" fontId="98" fillId="2" borderId="8" xfId="0" applyNumberFormat="1" applyFont="1" applyFill="1" applyBorder="1" applyAlignment="1">
      <alignment horizontal="left" vertical="center"/>
    </xf>
    <xf numFmtId="49" fontId="98" fillId="2" borderId="12" xfId="0" applyNumberFormat="1" applyFont="1" applyFill="1" applyBorder="1" applyAlignment="1">
      <alignment horizontal="center" vertical="center"/>
    </xf>
    <xf numFmtId="0" fontId="98" fillId="2" borderId="8" xfId="0" applyNumberFormat="1" applyFont="1" applyFill="1" applyBorder="1" applyAlignment="1">
      <alignment horizontal="left" vertical="center"/>
    </xf>
    <xf numFmtId="49" fontId="0" fillId="52" borderId="21" xfId="0" applyNumberFormat="1" applyFont="1" applyFill="1" applyBorder="1" applyAlignment="1">
      <alignment vertical="center" wrapText="1"/>
    </xf>
    <xf numFmtId="49" fontId="95" fillId="52" borderId="8" xfId="0" applyNumberFormat="1" applyFont="1" applyFill="1" applyBorder="1" applyAlignment="1">
      <alignment horizontal="left" vertical="center"/>
    </xf>
    <xf numFmtId="49" fontId="95" fillId="52" borderId="8" xfId="0" applyNumberFormat="1" applyFont="1" applyFill="1" applyBorder="1" applyAlignment="1">
      <alignment horizontal="center" vertical="center"/>
    </xf>
    <xf numFmtId="0" fontId="98" fillId="2" borderId="12" xfId="0" applyNumberFormat="1" applyFont="1" applyFill="1" applyBorder="1" applyAlignment="1">
      <alignment horizontal="center" vertical="center"/>
    </xf>
    <xf numFmtId="49" fontId="98" fillId="2" borderId="8" xfId="0" applyNumberFormat="1" applyFont="1" applyFill="1" applyBorder="1" applyAlignment="1">
      <alignment horizontal="left" vertical="center" wrapText="1"/>
    </xf>
    <xf numFmtId="49" fontId="95" fillId="4" borderId="17" xfId="0" applyNumberFormat="1" applyFont="1" applyFill="1" applyBorder="1" applyAlignment="1">
      <alignment vertical="center" wrapText="1"/>
    </xf>
    <xf numFmtId="49" fontId="89" fillId="4" borderId="17" xfId="0" applyNumberFormat="1" applyFont="1" applyFill="1" applyBorder="1" applyAlignment="1">
      <alignment vertical="center" wrapText="1"/>
    </xf>
    <xf numFmtId="0" fontId="89" fillId="4" borderId="17" xfId="0" applyFont="1" applyFill="1" applyBorder="1" applyAlignment="1">
      <alignment vertical="center" wrapText="1"/>
    </xf>
    <xf numFmtId="4" fontId="95" fillId="4" borderId="22" xfId="0" applyNumberFormat="1" applyFont="1" applyFill="1" applyBorder="1" applyAlignment="1">
      <alignment vertical="center" wrapText="1"/>
    </xf>
    <xf numFmtId="4" fontId="95" fillId="4" borderId="2" xfId="0" applyNumberFormat="1" applyFont="1" applyFill="1" applyBorder="1" applyAlignment="1">
      <alignment vertical="center" wrapText="1"/>
    </xf>
    <xf numFmtId="49" fontId="77" fillId="3" borderId="23" xfId="1" applyNumberFormat="1" applyFont="1" applyFill="1" applyBorder="1" applyAlignment="1">
      <alignment horizontal="center" vertical="center"/>
    </xf>
    <xf numFmtId="49" fontId="77" fillId="0" borderId="25" xfId="1" applyNumberFormat="1" applyFont="1" applyFill="1" applyBorder="1" applyAlignment="1">
      <alignment vertical="center" wrapText="1"/>
    </xf>
    <xf numFmtId="49" fontId="77" fillId="0" borderId="29" xfId="1" applyNumberFormat="1" applyFont="1" applyFill="1" applyBorder="1" applyAlignment="1">
      <alignment vertical="center" wrapText="1"/>
    </xf>
    <xf numFmtId="49" fontId="77" fillId="3" borderId="30" xfId="1" applyNumberFormat="1" applyFont="1" applyFill="1" applyBorder="1" applyAlignment="1">
      <alignment horizontal="center" vertical="center"/>
    </xf>
    <xf numFmtId="49" fontId="77" fillId="3" borderId="20" xfId="1" applyNumberFormat="1" applyFont="1" applyFill="1" applyBorder="1" applyAlignment="1">
      <alignment horizontal="center" vertical="center"/>
    </xf>
    <xf numFmtId="49" fontId="77" fillId="0" borderId="33" xfId="1" applyNumberFormat="1" applyFont="1" applyFill="1" applyBorder="1" applyAlignment="1">
      <alignment vertical="center" wrapText="1"/>
    </xf>
    <xf numFmtId="0" fontId="82" fillId="2" borderId="11" xfId="1" applyFont="1" applyFill="1" applyBorder="1" applyAlignment="1">
      <alignment vertical="center" wrapText="1"/>
    </xf>
    <xf numFmtId="0" fontId="82" fillId="2" borderId="9" xfId="1" applyFont="1" applyFill="1" applyBorder="1" applyAlignment="1">
      <alignment vertical="center" wrapText="1"/>
    </xf>
    <xf numFmtId="0" fontId="77" fillId="3" borderId="24" xfId="1" applyFont="1" applyFill="1" applyBorder="1" applyAlignment="1">
      <alignment horizontal="left" vertical="center" wrapText="1"/>
    </xf>
    <xf numFmtId="0" fontId="77" fillId="3" borderId="25" xfId="1" applyFont="1" applyFill="1" applyBorder="1" applyAlignment="1">
      <alignment horizontal="left" vertical="center" wrapText="1"/>
    </xf>
    <xf numFmtId="0" fontId="77" fillId="3" borderId="28" xfId="1" applyFont="1" applyFill="1" applyBorder="1" applyAlignment="1">
      <alignment horizontal="left" vertical="center"/>
    </xf>
    <xf numFmtId="0" fontId="77" fillId="3" borderId="29" xfId="1" applyFont="1" applyFill="1" applyBorder="1" applyAlignment="1">
      <alignment horizontal="left" vertical="center"/>
    </xf>
    <xf numFmtId="0" fontId="78" fillId="2" borderId="10" xfId="1" applyFont="1" applyFill="1" applyBorder="1" applyAlignment="1">
      <alignment horizontal="center" vertical="center" wrapText="1"/>
    </xf>
    <xf numFmtId="0" fontId="78" fillId="2" borderId="9" xfId="1" applyFont="1" applyFill="1" applyBorder="1" applyAlignment="1">
      <alignment horizontal="center" vertical="center" wrapText="1"/>
    </xf>
    <xf numFmtId="2" fontId="78" fillId="2" borderId="17" xfId="1" applyNumberFormat="1" applyFont="1" applyFill="1" applyBorder="1" applyAlignment="1">
      <alignment horizontal="center" vertical="center" wrapText="1"/>
    </xf>
    <xf numFmtId="2" fontId="78" fillId="2" borderId="2" xfId="1" applyNumberFormat="1" applyFont="1" applyFill="1" applyBorder="1" applyAlignment="1">
      <alignment horizontal="center" vertical="center" wrapText="1"/>
    </xf>
    <xf numFmtId="2" fontId="78" fillId="2" borderId="5" xfId="1" applyNumberFormat="1" applyFont="1" applyFill="1" applyBorder="1" applyAlignment="1">
      <alignment horizontal="center" vertical="center" wrapText="1"/>
    </xf>
    <xf numFmtId="2" fontId="78" fillId="2" borderId="6" xfId="1" applyNumberFormat="1" applyFont="1" applyFill="1" applyBorder="1" applyAlignment="1">
      <alignment horizontal="center" vertical="center" wrapText="1"/>
    </xf>
    <xf numFmtId="2" fontId="78" fillId="2" borderId="3" xfId="1" applyNumberFormat="1" applyFont="1" applyFill="1" applyBorder="1" applyAlignment="1">
      <alignment horizontal="center" vertical="center" wrapText="1"/>
    </xf>
    <xf numFmtId="2" fontId="78" fillId="2" borderId="1" xfId="1" applyNumberFormat="1" applyFont="1" applyFill="1" applyBorder="1" applyAlignment="1">
      <alignment horizontal="center" vertical="center" wrapText="1"/>
    </xf>
    <xf numFmtId="0" fontId="79" fillId="2" borderId="38" xfId="1" applyFont="1" applyFill="1" applyBorder="1" applyAlignment="1">
      <alignment horizontal="center" vertical="center" wrapText="1"/>
    </xf>
    <xf numFmtId="49" fontId="77" fillId="0" borderId="28" xfId="1" applyNumberFormat="1" applyFont="1" applyFill="1" applyBorder="1" applyAlignment="1">
      <alignment horizontal="left" vertical="center" wrapText="1"/>
    </xf>
    <xf numFmtId="49" fontId="77" fillId="0" borderId="29" xfId="1" applyNumberFormat="1" applyFont="1" applyFill="1" applyBorder="1" applyAlignment="1">
      <alignment horizontal="left" vertical="center" wrapText="1"/>
    </xf>
    <xf numFmtId="0" fontId="78" fillId="2" borderId="0" xfId="1" applyFont="1" applyFill="1" applyBorder="1" applyAlignment="1">
      <alignment horizontal="left" vertical="center" wrapText="1"/>
    </xf>
    <xf numFmtId="0" fontId="78" fillId="4" borderId="8" xfId="1" applyFont="1" applyFill="1" applyBorder="1" applyAlignment="1">
      <alignment horizontal="center" vertical="center" wrapText="1"/>
    </xf>
    <xf numFmtId="0" fontId="78" fillId="4" borderId="10" xfId="1" applyFont="1" applyFill="1" applyBorder="1" applyAlignment="1">
      <alignment horizontal="center" vertical="center" wrapText="1"/>
    </xf>
    <xf numFmtId="0" fontId="78" fillId="4" borderId="11" xfId="1" applyFont="1" applyFill="1" applyBorder="1" applyAlignment="1">
      <alignment horizontal="center" vertical="center" wrapText="1"/>
    </xf>
    <xf numFmtId="49" fontId="77" fillId="0" borderId="24" xfId="1" applyNumberFormat="1" applyFont="1" applyFill="1" applyBorder="1" applyAlignment="1">
      <alignment horizontal="left" vertical="center" wrapText="1"/>
    </xf>
    <xf numFmtId="49" fontId="77" fillId="0" borderId="25" xfId="1" applyNumberFormat="1" applyFont="1" applyFill="1" applyBorder="1" applyAlignment="1">
      <alignment horizontal="left" vertical="center" wrapText="1"/>
    </xf>
    <xf numFmtId="0" fontId="78" fillId="2" borderId="17"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78" fillId="2" borderId="36" xfId="1" applyFont="1" applyFill="1" applyBorder="1" applyAlignment="1">
      <alignment horizontal="left" vertical="center" wrapText="1"/>
    </xf>
    <xf numFmtId="0" fontId="78" fillId="2" borderId="6" xfId="1" applyFont="1" applyFill="1" applyBorder="1" applyAlignment="1">
      <alignment horizontal="left" vertical="center" wrapText="1"/>
    </xf>
    <xf numFmtId="0" fontId="78" fillId="2" borderId="0" xfId="1" applyFont="1" applyFill="1" applyBorder="1" applyAlignment="1">
      <alignment horizontal="left" vertical="center"/>
    </xf>
    <xf numFmtId="49" fontId="77" fillId="0" borderId="32" xfId="1" applyNumberFormat="1" applyFont="1" applyFill="1" applyBorder="1" applyAlignment="1">
      <alignment horizontal="left" vertical="center" wrapText="1"/>
    </xf>
    <xf numFmtId="49" fontId="77" fillId="0" borderId="33" xfId="1" applyNumberFormat="1" applyFont="1" applyFill="1" applyBorder="1" applyAlignment="1">
      <alignment horizontal="left" vertical="center" wrapText="1"/>
    </xf>
    <xf numFmtId="0" fontId="77" fillId="3" borderId="32" xfId="1" applyFont="1" applyFill="1" applyBorder="1" applyAlignment="1">
      <alignment horizontal="left" vertical="center"/>
    </xf>
    <xf numFmtId="0" fontId="77" fillId="3" borderId="33" xfId="1" applyFont="1" applyFill="1" applyBorder="1" applyAlignment="1">
      <alignment horizontal="left" vertical="center"/>
    </xf>
    <xf numFmtId="0" fontId="90" fillId="2" borderId="10" xfId="1" applyFont="1" applyFill="1" applyBorder="1" applyAlignment="1">
      <alignment horizontal="center" vertical="center"/>
    </xf>
    <xf numFmtId="0" fontId="90" fillId="2" borderId="11" xfId="1" applyFont="1" applyFill="1" applyBorder="1" applyAlignment="1">
      <alignment horizontal="center" vertical="center"/>
    </xf>
    <xf numFmtId="0" fontId="78" fillId="2" borderId="11" xfId="1" applyFont="1" applyFill="1" applyBorder="1" applyAlignment="1">
      <alignment horizontal="center" vertical="center" wrapText="1"/>
    </xf>
    <xf numFmtId="0" fontId="78" fillId="3" borderId="5" xfId="1" applyFont="1" applyFill="1" applyBorder="1" applyAlignment="1">
      <alignment horizontal="center" vertical="center"/>
    </xf>
    <xf numFmtId="0" fontId="78" fillId="3" borderId="7" xfId="1" applyFont="1" applyFill="1" applyBorder="1" applyAlignment="1">
      <alignment horizontal="center" vertical="center"/>
    </xf>
    <xf numFmtId="0" fontId="78" fillId="3" borderId="39" xfId="1" applyFont="1" applyFill="1" applyBorder="1" applyAlignment="1">
      <alignment horizontal="center" vertical="center"/>
    </xf>
    <xf numFmtId="0" fontId="78" fillId="3" borderId="38" xfId="1" applyFont="1" applyFill="1" applyBorder="1" applyAlignment="1">
      <alignment horizontal="center" vertical="center"/>
    </xf>
    <xf numFmtId="0" fontId="78" fillId="3" borderId="3" xfId="1" applyFont="1" applyFill="1" applyBorder="1" applyAlignment="1">
      <alignment horizontal="center" vertical="center"/>
    </xf>
    <xf numFmtId="0" fontId="78" fillId="3" borderId="4" xfId="1" applyFont="1" applyFill="1" applyBorder="1" applyAlignment="1">
      <alignment horizontal="center" vertical="center"/>
    </xf>
    <xf numFmtId="0" fontId="78" fillId="3" borderId="17" xfId="1" applyFont="1" applyFill="1" applyBorder="1" applyAlignment="1">
      <alignment horizontal="center" vertical="center"/>
    </xf>
    <xf numFmtId="0" fontId="78" fillId="3" borderId="22" xfId="1" applyFont="1" applyFill="1" applyBorder="1" applyAlignment="1">
      <alignment horizontal="center" vertical="center"/>
    </xf>
    <xf numFmtId="0" fontId="78" fillId="3" borderId="2" xfId="1" applyFont="1" applyFill="1" applyBorder="1" applyAlignment="1">
      <alignment horizontal="center" vertical="center"/>
    </xf>
    <xf numFmtId="0" fontId="79" fillId="3" borderId="17" xfId="1" applyFont="1" applyFill="1" applyBorder="1" applyAlignment="1">
      <alignment horizontal="center" vertical="center" wrapText="1"/>
    </xf>
    <xf numFmtId="0" fontId="79" fillId="3" borderId="22" xfId="1" applyFont="1" applyFill="1" applyBorder="1" applyAlignment="1">
      <alignment horizontal="center" vertical="center" wrapText="1"/>
    </xf>
    <xf numFmtId="0" fontId="79" fillId="3" borderId="2" xfId="1" applyFont="1" applyFill="1" applyBorder="1" applyAlignment="1">
      <alignment horizontal="center" vertical="center" wrapText="1"/>
    </xf>
    <xf numFmtId="0" fontId="85" fillId="2" borderId="10" xfId="1" applyFont="1" applyFill="1" applyBorder="1" applyAlignment="1">
      <alignment horizontal="center" vertical="center" wrapText="1"/>
    </xf>
    <xf numFmtId="0" fontId="85" fillId="2" borderId="9" xfId="1" applyFont="1" applyFill="1" applyBorder="1" applyAlignment="1">
      <alignment horizontal="center" vertical="center" wrapText="1"/>
    </xf>
    <xf numFmtId="0" fontId="86" fillId="2" borderId="10" xfId="1" applyFont="1" applyFill="1" applyBorder="1" applyAlignment="1">
      <alignment horizontal="left" vertical="center" wrapText="1"/>
    </xf>
    <xf numFmtId="0" fontId="86" fillId="2" borderId="11" xfId="1" applyFont="1" applyFill="1" applyBorder="1" applyAlignment="1">
      <alignment horizontal="left" vertical="center" wrapText="1"/>
    </xf>
    <xf numFmtId="0" fontId="86" fillId="2" borderId="1" xfId="1" applyFont="1" applyFill="1" applyBorder="1" applyAlignment="1">
      <alignment horizontal="left" vertical="center" wrapText="1"/>
    </xf>
    <xf numFmtId="0" fontId="86" fillId="2" borderId="4" xfId="1" applyFont="1" applyFill="1" applyBorder="1" applyAlignment="1">
      <alignment horizontal="left" vertical="center" wrapText="1"/>
    </xf>
    <xf numFmtId="0" fontId="76" fillId="2" borderId="16" xfId="1" applyFont="1" applyFill="1" applyBorder="1" applyAlignment="1">
      <alignment horizontal="center" vertical="center"/>
    </xf>
    <xf numFmtId="0" fontId="76" fillId="2" borderId="20" xfId="1" applyFont="1" applyFill="1" applyBorder="1" applyAlignment="1">
      <alignment horizontal="center" vertical="center"/>
    </xf>
    <xf numFmtId="0" fontId="78" fillId="2" borderId="16" xfId="1" applyFont="1" applyFill="1" applyBorder="1" applyAlignment="1">
      <alignment horizontal="center" vertical="center" wrapText="1"/>
    </xf>
    <xf numFmtId="0" fontId="78" fillId="2" borderId="20" xfId="1" applyFont="1" applyFill="1" applyBorder="1" applyAlignment="1">
      <alignment horizontal="center" vertical="center" wrapText="1"/>
    </xf>
    <xf numFmtId="0" fontId="78" fillId="2" borderId="5" xfId="1" applyFont="1" applyFill="1" applyBorder="1" applyAlignment="1">
      <alignment horizontal="center" vertical="center" wrapText="1"/>
    </xf>
    <xf numFmtId="0" fontId="78" fillId="2" borderId="7" xfId="1" applyFont="1" applyFill="1" applyBorder="1" applyAlignment="1">
      <alignment horizontal="center" vertical="center" wrapText="1"/>
    </xf>
    <xf numFmtId="0" fontId="78" fillId="2" borderId="3" xfId="1" applyFont="1" applyFill="1" applyBorder="1" applyAlignment="1">
      <alignment horizontal="center" vertical="center" wrapText="1"/>
    </xf>
    <xf numFmtId="0" fontId="78" fillId="2" borderId="4" xfId="1" applyFont="1" applyFill="1" applyBorder="1" applyAlignment="1">
      <alignment horizontal="center" vertical="center" wrapText="1"/>
    </xf>
    <xf numFmtId="0" fontId="78" fillId="4" borderId="9" xfId="1" applyFont="1" applyFill="1" applyBorder="1" applyAlignment="1">
      <alignment horizontal="center" vertical="center" wrapText="1"/>
    </xf>
    <xf numFmtId="0" fontId="81" fillId="0" borderId="5" xfId="1" applyFont="1" applyFill="1" applyBorder="1" applyAlignment="1">
      <alignment horizontal="center" vertical="center"/>
    </xf>
    <xf numFmtId="0" fontId="81" fillId="0" borderId="6" xfId="1" applyFont="1" applyFill="1" applyBorder="1" applyAlignment="1">
      <alignment horizontal="center" vertical="center"/>
    </xf>
    <xf numFmtId="0" fontId="81" fillId="0" borderId="7" xfId="1" applyFont="1" applyFill="1" applyBorder="1" applyAlignment="1">
      <alignment horizontal="center" vertical="center"/>
    </xf>
    <xf numFmtId="0" fontId="83" fillId="3" borderId="10" xfId="1" applyFont="1" applyFill="1" applyBorder="1" applyAlignment="1">
      <alignment horizontal="center" vertical="center"/>
    </xf>
    <xf numFmtId="0" fontId="83" fillId="3" borderId="11" xfId="1" applyFont="1" applyFill="1" applyBorder="1" applyAlignment="1">
      <alignment horizontal="center" vertical="center"/>
    </xf>
    <xf numFmtId="0" fontId="83" fillId="3" borderId="9" xfId="1" applyFont="1" applyFill="1" applyBorder="1" applyAlignment="1">
      <alignment horizontal="center" vertical="center"/>
    </xf>
    <xf numFmtId="0" fontId="80" fillId="2" borderId="5" xfId="1" applyFont="1" applyFill="1" applyBorder="1" applyAlignment="1">
      <alignment horizontal="left" vertical="center" wrapText="1"/>
    </xf>
    <xf numFmtId="0" fontId="80" fillId="2" borderId="6" xfId="1" applyFont="1" applyFill="1" applyBorder="1" applyAlignment="1">
      <alignment horizontal="left" vertical="center" wrapText="1"/>
    </xf>
    <xf numFmtId="0" fontId="80" fillId="2" borderId="7" xfId="1" applyFont="1" applyFill="1" applyBorder="1" applyAlignment="1">
      <alignment horizontal="left" vertical="center" wrapText="1"/>
    </xf>
    <xf numFmtId="0" fontId="80" fillId="2" borderId="3" xfId="1" applyFont="1" applyFill="1" applyBorder="1" applyAlignment="1">
      <alignment horizontal="left" vertical="center" wrapText="1"/>
    </xf>
    <xf numFmtId="0" fontId="80" fillId="2" borderId="1" xfId="1" applyFont="1" applyFill="1" applyBorder="1" applyAlignment="1">
      <alignment horizontal="left" vertical="center" wrapText="1"/>
    </xf>
    <xf numFmtId="0" fontId="80" fillId="2" borderId="4" xfId="1" applyFont="1" applyFill="1" applyBorder="1" applyAlignment="1">
      <alignment horizontal="left" vertical="center" wrapText="1"/>
    </xf>
    <xf numFmtId="0" fontId="82" fillId="2" borderId="10" xfId="1" applyFont="1" applyFill="1" applyBorder="1" applyAlignment="1">
      <alignment horizontal="center" vertical="center" wrapText="1"/>
    </xf>
    <xf numFmtId="0" fontId="82" fillId="2" borderId="11" xfId="1" applyFont="1" applyFill="1" applyBorder="1" applyAlignment="1">
      <alignment horizontal="center" vertical="center" wrapText="1"/>
    </xf>
    <xf numFmtId="164" fontId="85" fillId="3" borderId="8" xfId="1" applyNumberFormat="1" applyFont="1" applyFill="1" applyBorder="1" applyAlignment="1">
      <alignment horizontal="center" vertical="center" wrapText="1"/>
    </xf>
    <xf numFmtId="164" fontId="85" fillId="3" borderId="8" xfId="1" applyNumberFormat="1" applyFont="1" applyFill="1" applyBorder="1" applyAlignment="1">
      <alignment vertical="center" wrapText="1"/>
    </xf>
    <xf numFmtId="164" fontId="85" fillId="3" borderId="10" xfId="1" applyNumberFormat="1" applyFont="1" applyFill="1" applyBorder="1" applyAlignment="1">
      <alignment vertical="center" wrapText="1"/>
    </xf>
    <xf numFmtId="164" fontId="85" fillId="3" borderId="9" xfId="1" applyNumberFormat="1" applyFont="1" applyFill="1" applyBorder="1" applyAlignment="1">
      <alignment vertical="center" wrapText="1"/>
    </xf>
  </cellXfs>
  <cellStyles count="870">
    <cellStyle name="_x000d__x000a_JournalTemplate=C:\COMFO\CTALK\JOURSTD.TPL_x000d__x000a_LbStateAddress=3 3 0 251 1 89 2 311_x000d__x000a_LbStateJou" xfId="4" xr:uid="{00000000-0005-0000-0000-000000000000}"/>
    <cellStyle name="(yy/mm/dd)" xfId="5" xr:uid="{00000000-0005-0000-0000-000001000000}"/>
    <cellStyle name="????" xfId="6" xr:uid="{00000000-0005-0000-0000-000002000000}"/>
    <cellStyle name="?????()" xfId="7" xr:uid="{00000000-0005-0000-0000-000003000000}"/>
    <cellStyle name="?????(0.00)" xfId="8" xr:uid="{00000000-0005-0000-0000-000004000000}"/>
    <cellStyle name="???????_MONTHLY-Americas" xfId="9" xr:uid="{00000000-0005-0000-0000-000005000000}"/>
    <cellStyle name="?????[0.00]" xfId="10" xr:uid="{00000000-0005-0000-0000-000006000000}"/>
    <cellStyle name="?????_MONTHLY-Americas" xfId="11" xr:uid="{00000000-0005-0000-0000-000007000000}"/>
    <cellStyle name="????_PL(Actual)" xfId="12" xr:uid="{00000000-0005-0000-0000-000008000000}"/>
    <cellStyle name="??_MONTHLY (A&amp;B Company)(Asian sales co.)" xfId="13" xr:uid="{00000000-0005-0000-0000-000009000000}"/>
    <cellStyle name="_ALL2 FB_SEP_2009 生産計画本体 19.9_Ver A(編集中)" xfId="14" xr:uid="{00000000-0005-0000-0000-00000A000000}"/>
    <cellStyle name="_ALL2 FB_SEP_2009 生産計画本体 27.8" xfId="15" xr:uid="{00000000-0005-0000-0000-00000B000000}"/>
    <cellStyle name="_Copy of Kế hoạch hoạt động" xfId="16" xr:uid="{00000000-0005-0000-0000-00000C000000}"/>
    <cellStyle name="_DB" xfId="17" xr:uid="{00000000-0005-0000-0000-00000D000000}"/>
    <cellStyle name="_Sum" xfId="18" xr:uid="{00000000-0005-0000-0000-00000E000000}"/>
    <cellStyle name="_上鍋さん" xfId="19" xr:uid="{00000000-0005-0000-0000-00000F000000}"/>
    <cellStyle name="_二部二课新人作业员教育标准" xfId="20" xr:uid="{00000000-0005-0000-0000-000010000000}"/>
    <cellStyle name="_二部二课新人作业员教育标准_方針展開活動計画 Ke hoach hoat dong trien khai chinh sach" xfId="21" xr:uid="{00000000-0005-0000-0000-000011000000}"/>
    <cellStyle name="_二部二课新人作业员教育标准_方針展開活動計画 Ke hoach hoat dong trien khai chinh sach_生産計画シュミレーションBLL_12102011_案" xfId="22" xr:uid="{00000000-0005-0000-0000-000012000000}"/>
    <cellStyle name="_二部二课新人作业员教育标准_方針展開活動計画 Ke hoach hoat dong trien khai chinh sach_生産計画シュミレーションBLL_12102011_案_生産数量まとめ" xfId="23" xr:uid="{00000000-0005-0000-0000-000013000000}"/>
    <cellStyle name="_二部二课新人作业员教育标准_方針展開活動計画 Ke hoach hoat dong trien khai chinh sach_生産計画シュミレーションBLL_12102011_案_生産計画シュミレーションBLL_12102011_案" xfId="24" xr:uid="{00000000-0005-0000-0000-00001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 xfId="25" xr:uid="{00000000-0005-0000-0000-00001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数量まとめ" xfId="26" xr:uid="{00000000-0005-0000-0000-00001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 xfId="27" xr:uid="{00000000-0005-0000-0000-00001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28" xr:uid="{00000000-0005-0000-0000-00001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29" xr:uid="{00000000-0005-0000-0000-00001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0" xr:uid="{00000000-0005-0000-0000-00001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 xfId="31" xr:uid="{00000000-0005-0000-0000-00001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2" xr:uid="{00000000-0005-0000-0000-00001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3" xr:uid="{00000000-0005-0000-0000-00001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 xfId="34" xr:uid="{00000000-0005-0000-0000-00001E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 xr:uid="{00000000-0005-0000-0000-00001F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6" xr:uid="{00000000-0005-0000-0000-000020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 xfId="37" xr:uid="{00000000-0005-0000-0000-000021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8" xr:uid="{00000000-0005-0000-0000-000022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9" xr:uid="{00000000-0005-0000-0000-000023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40" xr:uid="{00000000-0005-0000-0000-00002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 xfId="41" xr:uid="{00000000-0005-0000-0000-00002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42" xr:uid="{00000000-0005-0000-0000-00002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43" xr:uid="{00000000-0005-0000-0000-00002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 xfId="44" xr:uid="{00000000-0005-0000-0000-00002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45" xr:uid="{00000000-0005-0000-0000-00002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46" xr:uid="{00000000-0005-0000-0000-00002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20221" xfId="47" xr:uid="{00000000-0005-0000-0000-00002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 xfId="48" xr:uid="{00000000-0005-0000-0000-00002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数量まとめ" xfId="49" xr:uid="{00000000-0005-0000-0000-00002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計画シュミレーションBLL_20120221" xfId="50" xr:uid="{00000000-0005-0000-0000-00002E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 xfId="51" xr:uid="{00000000-0005-0000-0000-00002F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数量まとめ" xfId="52" xr:uid="{00000000-0005-0000-0000-000030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計画シュミレーションBLL_20120221" xfId="53" xr:uid="{00000000-0005-0000-0000-000031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 xfId="54" xr:uid="{00000000-0005-0000-0000-000032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数量まとめ" xfId="55" xr:uid="{00000000-0005-0000-0000-000033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計画シュミレーションBLL_20120221" xfId="56" xr:uid="{00000000-0005-0000-0000-000034000000}"/>
    <cellStyle name="_二部二课新人作业员教育标准_方針展開活動計画 Ke hoach hoat dong trien khai chinh sach_生産計画シュミレーションBLL_12102011_案_生産計画シュミレーションBLL_14102011" xfId="57" xr:uid="{00000000-0005-0000-0000-00003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 xfId="58" xr:uid="{00000000-0005-0000-0000-00003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数量まとめ" xfId="59" xr:uid="{00000000-0005-0000-0000-00003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 xfId="60" xr:uid="{00000000-0005-0000-0000-00003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 xfId="61" xr:uid="{00000000-0005-0000-0000-00003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62" xr:uid="{00000000-0005-0000-0000-00003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63" xr:uid="{00000000-0005-0000-0000-00003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 xfId="64" xr:uid="{00000000-0005-0000-0000-00003C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65" xr:uid="{00000000-0005-0000-0000-00003D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66" xr:uid="{00000000-0005-0000-0000-00003E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 xfId="67" xr:uid="{00000000-0005-0000-0000-00003F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68" xr:uid="{00000000-0005-0000-0000-000040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69" xr:uid="{00000000-0005-0000-0000-000041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 xfId="70" xr:uid="{00000000-0005-0000-0000-000042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 xfId="71" xr:uid="{00000000-0005-0000-0000-000043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72" xr:uid="{00000000-0005-0000-0000-000044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73" xr:uid="{00000000-0005-0000-0000-00004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 xfId="74" xr:uid="{00000000-0005-0000-0000-00004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75" xr:uid="{00000000-0005-0000-0000-00004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76" xr:uid="{00000000-0005-0000-0000-00004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 xfId="77" xr:uid="{00000000-0005-0000-0000-00004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78" xr:uid="{00000000-0005-0000-0000-00004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79" xr:uid="{00000000-0005-0000-0000-00004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20221" xfId="80" xr:uid="{00000000-0005-0000-0000-00004C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 xfId="81" xr:uid="{00000000-0005-0000-0000-00004D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数量まとめ" xfId="82" xr:uid="{00000000-0005-0000-0000-00004E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計画シュミレーションBLL_20120221" xfId="83" xr:uid="{00000000-0005-0000-0000-00004F000000}"/>
    <cellStyle name="_二部二课新人作业员教育标准_方針展開活動計画 Ke hoach hoat dong trien khai chinh sach_生産計画シュミレーションBLL_12102011_案_生産計画シュミレーションBLL_14102011_生産計画シュミレーションBLL_20120112" xfId="84" xr:uid="{00000000-0005-0000-0000-000050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数量まとめ" xfId="85" xr:uid="{00000000-0005-0000-0000-000051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計画シュミレーションBLL_20120221" xfId="86" xr:uid="{00000000-0005-0000-0000-000052000000}"/>
    <cellStyle name="_二部二课新人作业员教育标准_方針展開活動計画 Ke hoach hoat dong trien khai chinh sach_生産計画シュミレーションBLL_12102011_案_生産計画シュミレーションBLL_14102011_生産計画シュミレーションBLL_20120114" xfId="87" xr:uid="{00000000-0005-0000-0000-000053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数量まとめ" xfId="88" xr:uid="{00000000-0005-0000-0000-000054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計画シュミレーションBLL_20120221" xfId="89" xr:uid="{00000000-0005-0000-0000-000055000000}"/>
    <cellStyle name="_二部二课新人作业员教育标准_方針展開活動計画 Ke hoach hoat dong trien khai chinh sach_生産計画シュミレーションBLL_12102011_案_生産計画シュミレーションBLL_20111019_案" xfId="90" xr:uid="{00000000-0005-0000-0000-00005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 xfId="91" xr:uid="{00000000-0005-0000-0000-00005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数量まとめ" xfId="92" xr:uid="{00000000-0005-0000-0000-00005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 xfId="93" xr:uid="{00000000-0005-0000-0000-00005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94" xr:uid="{00000000-0005-0000-0000-00005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95" xr:uid="{00000000-0005-0000-0000-00005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96" xr:uid="{00000000-0005-0000-0000-00005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 xfId="97" xr:uid="{00000000-0005-0000-0000-00005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98" xr:uid="{00000000-0005-0000-0000-00005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99" xr:uid="{00000000-0005-0000-0000-00005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 xfId="100" xr:uid="{00000000-0005-0000-0000-000060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101" xr:uid="{00000000-0005-0000-0000-000061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102" xr:uid="{00000000-0005-0000-0000-000062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 xfId="103" xr:uid="{00000000-0005-0000-0000-000063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104" xr:uid="{00000000-0005-0000-0000-000064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105" xr:uid="{00000000-0005-0000-0000-000065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106" xr:uid="{00000000-0005-0000-0000-00006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 xfId="107" xr:uid="{00000000-0005-0000-0000-00006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108" xr:uid="{00000000-0005-0000-0000-00006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109" xr:uid="{00000000-0005-0000-0000-00006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 xfId="110" xr:uid="{00000000-0005-0000-0000-00006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111" xr:uid="{00000000-0005-0000-0000-00006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112" xr:uid="{00000000-0005-0000-0000-00006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20221" xfId="113" xr:uid="{00000000-0005-0000-0000-00006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 xfId="114" xr:uid="{00000000-0005-0000-0000-00006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数量まとめ" xfId="115" xr:uid="{00000000-0005-0000-0000-00006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計画シュミレーションBLL_20120221" xfId="116" xr:uid="{00000000-0005-0000-0000-000070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 xfId="117" xr:uid="{00000000-0005-0000-0000-000071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数量まとめ" xfId="118" xr:uid="{00000000-0005-0000-0000-000072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計画シュミレーションBLL_20120221" xfId="119" xr:uid="{00000000-0005-0000-0000-000073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 xfId="120" xr:uid="{00000000-0005-0000-0000-000074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数量まとめ" xfId="121" xr:uid="{00000000-0005-0000-0000-000075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計画シュミレーションBLL_20120221" xfId="122" xr:uid="{00000000-0005-0000-0000-000076000000}"/>
    <cellStyle name="_二部二课新人作业员教育标准_方針展開活動計画 Ke hoach hoat dong trien khai chinh sach_生産計画シュミレーションBLL_12102011_案_生産計画シュミレーションBLL_20111021" xfId="123" xr:uid="{00000000-0005-0000-0000-00007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 xfId="124" xr:uid="{00000000-0005-0000-0000-00007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数量まとめ" xfId="125" xr:uid="{00000000-0005-0000-0000-00007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 xfId="126" xr:uid="{00000000-0005-0000-0000-00007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 xfId="127" xr:uid="{00000000-0005-0000-0000-00007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128" xr:uid="{00000000-0005-0000-0000-00007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129" xr:uid="{00000000-0005-0000-0000-00007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 xfId="130" xr:uid="{00000000-0005-0000-0000-00007E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131" xr:uid="{00000000-0005-0000-0000-00007F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132" xr:uid="{00000000-0005-0000-0000-000080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 xfId="133" xr:uid="{00000000-0005-0000-0000-000081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134" xr:uid="{00000000-0005-0000-0000-000082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135" xr:uid="{00000000-0005-0000-0000-000083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 xfId="136" xr:uid="{00000000-0005-0000-0000-000084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 xfId="137" xr:uid="{00000000-0005-0000-0000-000085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138" xr:uid="{00000000-0005-0000-0000-000086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139" xr:uid="{00000000-0005-0000-0000-00008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 xfId="140" xr:uid="{00000000-0005-0000-0000-00008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141" xr:uid="{00000000-0005-0000-0000-00008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142" xr:uid="{00000000-0005-0000-0000-00008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 xfId="143" xr:uid="{00000000-0005-0000-0000-00008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144" xr:uid="{00000000-0005-0000-0000-00008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145" xr:uid="{00000000-0005-0000-0000-00008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20221" xfId="146" xr:uid="{00000000-0005-0000-0000-00008E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 xfId="147" xr:uid="{00000000-0005-0000-0000-00008F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数量まとめ" xfId="148" xr:uid="{00000000-0005-0000-0000-000090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計画シュミレーションBLL_20120221" xfId="149" xr:uid="{00000000-0005-0000-0000-000091000000}"/>
    <cellStyle name="_二部二课新人作业员教育标准_方針展開活動計画 Ke hoach hoat dong trien khai chinh sach_生産計画シュミレーションBLL_12102011_案_生産計画シュミレーションBLL_20111021_生産計画シュミレーションBLL_20120112" xfId="150" xr:uid="{00000000-0005-0000-0000-000092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数量まとめ" xfId="151" xr:uid="{00000000-0005-0000-0000-000093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計画シュミレーションBLL_20120221" xfId="152" xr:uid="{00000000-0005-0000-0000-000094000000}"/>
    <cellStyle name="_二部二课新人作业员教育标准_方針展開活動計画 Ke hoach hoat dong trien khai chinh sach_生産計画シュミレーションBLL_12102011_案_生産計画シュミレーションBLL_20111021_生産計画シュミレーションBLL_20120114" xfId="153" xr:uid="{00000000-0005-0000-0000-000095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数量まとめ" xfId="154" xr:uid="{00000000-0005-0000-0000-000096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計画シュミレーションBLL_20120221" xfId="155" xr:uid="{00000000-0005-0000-0000-000097000000}"/>
    <cellStyle name="_二部二课新人作业员教育标准_方針展開活動計画 Ke hoach hoat dong trien khai chinh sach_生産計画シュミレーションBLL_12102011_案_生産計画シュミレーションBLL_20111024" xfId="156" xr:uid="{00000000-0005-0000-0000-000098000000}"/>
    <cellStyle name="_二部二课新人作业员教育标准_方針展開活動計画 Ke hoach hoat dong trien khai chinh sach_生産計画シュミレーションBLL_12102011_案_生産計画シュミレーションBLL_20111024_2" xfId="157" xr:uid="{00000000-0005-0000-0000-00009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 xfId="158" xr:uid="{00000000-0005-0000-0000-00009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数量まとめ" xfId="159" xr:uid="{00000000-0005-0000-0000-00009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 xfId="160" xr:uid="{00000000-0005-0000-0000-00009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161" xr:uid="{00000000-0005-0000-0000-00009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162" xr:uid="{00000000-0005-0000-0000-00009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163" xr:uid="{00000000-0005-0000-0000-00009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 xfId="164" xr:uid="{00000000-0005-0000-0000-0000A0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165" xr:uid="{00000000-0005-0000-0000-0000A1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166" xr:uid="{00000000-0005-0000-0000-0000A2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 xfId="167" xr:uid="{00000000-0005-0000-0000-0000A3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168" xr:uid="{00000000-0005-0000-0000-0000A4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169" xr:uid="{00000000-0005-0000-0000-0000A5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 xfId="170" xr:uid="{00000000-0005-0000-0000-0000A6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171" xr:uid="{00000000-0005-0000-0000-0000A7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172" xr:uid="{00000000-0005-0000-0000-0000A8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173" xr:uid="{00000000-0005-0000-0000-0000A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 xfId="174" xr:uid="{00000000-0005-0000-0000-0000A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175" xr:uid="{00000000-0005-0000-0000-0000A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176" xr:uid="{00000000-0005-0000-0000-0000A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 xfId="177" xr:uid="{00000000-0005-0000-0000-0000A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178" xr:uid="{00000000-0005-0000-0000-0000A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179" xr:uid="{00000000-0005-0000-0000-0000A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20221" xfId="180" xr:uid="{00000000-0005-0000-0000-0000B0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 xfId="181" xr:uid="{00000000-0005-0000-0000-0000B1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数量まとめ" xfId="182" xr:uid="{00000000-0005-0000-0000-0000B2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計画シュミレーションBLL_20120221" xfId="183" xr:uid="{00000000-0005-0000-0000-0000B3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 xfId="184" xr:uid="{00000000-0005-0000-0000-0000B4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数量まとめ" xfId="185" xr:uid="{00000000-0005-0000-0000-0000B5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計画シュミレーションBLL_20120221" xfId="186" xr:uid="{00000000-0005-0000-0000-0000B6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 xfId="187" xr:uid="{00000000-0005-0000-0000-0000B7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数量まとめ" xfId="188" xr:uid="{00000000-0005-0000-0000-0000B8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計画シュミレーションBLL_20120221" xfId="189" xr:uid="{00000000-0005-0000-0000-0000B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 xfId="190" xr:uid="{00000000-0005-0000-0000-0000B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数量まとめ" xfId="191" xr:uid="{00000000-0005-0000-0000-0000B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 xfId="192" xr:uid="{00000000-0005-0000-0000-0000B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 xfId="193" xr:uid="{00000000-0005-0000-0000-0000B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194" xr:uid="{00000000-0005-0000-0000-0000B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195" xr:uid="{00000000-0005-0000-0000-0000B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 xfId="196" xr:uid="{00000000-0005-0000-0000-0000C0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197" xr:uid="{00000000-0005-0000-0000-0000C1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198" xr:uid="{00000000-0005-0000-0000-0000C2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 xfId="199" xr:uid="{00000000-0005-0000-0000-0000C3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200" xr:uid="{00000000-0005-0000-0000-0000C4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201" xr:uid="{00000000-0005-0000-0000-0000C5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 xfId="202" xr:uid="{00000000-0005-0000-0000-0000C6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 xfId="203" xr:uid="{00000000-0005-0000-0000-0000C7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204" xr:uid="{00000000-0005-0000-0000-0000C8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205" xr:uid="{00000000-0005-0000-0000-0000C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 xfId="206" xr:uid="{00000000-0005-0000-0000-0000C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207" xr:uid="{00000000-0005-0000-0000-0000C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208" xr:uid="{00000000-0005-0000-0000-0000C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 xfId="209" xr:uid="{00000000-0005-0000-0000-0000C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210" xr:uid="{00000000-0005-0000-0000-0000C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211" xr:uid="{00000000-0005-0000-0000-0000C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20221" xfId="212" xr:uid="{00000000-0005-0000-0000-0000D0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 xfId="213" xr:uid="{00000000-0005-0000-0000-0000D1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数量まとめ" xfId="214" xr:uid="{00000000-0005-0000-0000-0000D2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計画シュミレーションBLL_20120221" xfId="215" xr:uid="{00000000-0005-0000-0000-0000D3000000}"/>
    <cellStyle name="_二部二课新人作业员教育标准_方針展開活動計画 Ke hoach hoat dong trien khai chinh sach_生産計画シュミレーションBLL_12102011_案_生産計画シュミレーションBLL_20111024_生産計画シュミレーションBLL_20120112" xfId="216" xr:uid="{00000000-0005-0000-0000-0000D4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数量まとめ" xfId="217" xr:uid="{00000000-0005-0000-0000-0000D5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計画シュミレーションBLL_20120221" xfId="218" xr:uid="{00000000-0005-0000-0000-0000D6000000}"/>
    <cellStyle name="_二部二课新人作业员教育标准_方針展開活動計画 Ke hoach hoat dong trien khai chinh sach_生産計画シュミレーションBLL_12102011_案_生産計画シュミレーションBLL_20111024_生産計画シュミレーションBLL_20120114" xfId="219" xr:uid="{00000000-0005-0000-0000-0000D7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数量まとめ" xfId="220" xr:uid="{00000000-0005-0000-0000-0000D8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計画シュミレーションBLL_20120221" xfId="221" xr:uid="{00000000-0005-0000-0000-0000D9000000}"/>
    <cellStyle name="_二部二课新人作业员教育标准_方針展開活動計画 Ke hoach hoat dong trien khai chinh sach_生産計画シュミレーションBLL_12102011_案_生産計画シュミレーションBLL_20111025" xfId="222" xr:uid="{00000000-0005-0000-0000-0000DA000000}"/>
    <cellStyle name="_二部二课新人作业员教育标准_方針展開活動計画 Ke hoach hoat dong trien khai chinh sach_生産計画シュミレーションBLL_12102011_案_生産計画シュミレーションBLL_20111025_2" xfId="223" xr:uid="{00000000-0005-0000-0000-0000D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 xfId="224" xr:uid="{00000000-0005-0000-0000-0000D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数量まとめ" xfId="225" xr:uid="{00000000-0005-0000-0000-0000D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 xfId="226" xr:uid="{00000000-0005-0000-0000-0000D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227" xr:uid="{00000000-0005-0000-0000-0000D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228" xr:uid="{00000000-0005-0000-0000-0000E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229" xr:uid="{00000000-0005-0000-0000-0000E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 xfId="230" xr:uid="{00000000-0005-0000-0000-0000E2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231" xr:uid="{00000000-0005-0000-0000-0000E3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232" xr:uid="{00000000-0005-0000-0000-0000E4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 xfId="233" xr:uid="{00000000-0005-0000-0000-0000E5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234" xr:uid="{00000000-0005-0000-0000-0000E6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235" xr:uid="{00000000-0005-0000-0000-0000E7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 xfId="236" xr:uid="{00000000-0005-0000-0000-0000E8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237" xr:uid="{00000000-0005-0000-0000-0000E9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238" xr:uid="{00000000-0005-0000-0000-0000EA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239" xr:uid="{00000000-0005-0000-0000-0000E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 xfId="240" xr:uid="{00000000-0005-0000-0000-0000E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241" xr:uid="{00000000-0005-0000-0000-0000E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242" xr:uid="{00000000-0005-0000-0000-0000E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 xfId="243" xr:uid="{00000000-0005-0000-0000-0000E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244" xr:uid="{00000000-0005-0000-0000-0000F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245" xr:uid="{00000000-0005-0000-0000-0000F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20221" xfId="246" xr:uid="{00000000-0005-0000-0000-0000F2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 xfId="247" xr:uid="{00000000-0005-0000-0000-0000F3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数量まとめ" xfId="248" xr:uid="{00000000-0005-0000-0000-0000F4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計画シュミレーションBLL_20120221" xfId="249" xr:uid="{00000000-0005-0000-0000-0000F5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 xfId="250" xr:uid="{00000000-0005-0000-0000-0000F6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数量まとめ" xfId="251" xr:uid="{00000000-0005-0000-0000-0000F7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計画シュミレーションBLL_20120221" xfId="252" xr:uid="{00000000-0005-0000-0000-0000F8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 xfId="253" xr:uid="{00000000-0005-0000-0000-0000F9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数量まとめ" xfId="254" xr:uid="{00000000-0005-0000-0000-0000FA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計画シュミレーションBLL_20120221" xfId="255" xr:uid="{00000000-0005-0000-0000-0000FB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 xfId="256" xr:uid="{00000000-0005-0000-0000-0000FC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数量まとめ" xfId="257" xr:uid="{00000000-0005-0000-0000-0000FD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 xfId="258" xr:uid="{00000000-0005-0000-0000-0000FE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 xfId="259" xr:uid="{00000000-0005-0000-0000-0000FF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260" xr:uid="{00000000-0005-0000-0000-00000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261" xr:uid="{00000000-0005-0000-0000-00000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 xfId="262" xr:uid="{00000000-0005-0000-0000-000002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263" xr:uid="{00000000-0005-0000-0000-000003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264" xr:uid="{00000000-0005-0000-0000-000004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 xfId="265" xr:uid="{00000000-0005-0000-0000-000005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266" xr:uid="{00000000-0005-0000-0000-000006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267" xr:uid="{00000000-0005-0000-0000-000007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 xfId="268" xr:uid="{00000000-0005-0000-0000-000008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 xfId="269" xr:uid="{00000000-0005-0000-0000-000009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270" xr:uid="{00000000-0005-0000-0000-00000A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271" xr:uid="{00000000-0005-0000-0000-00000B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 xfId="272" xr:uid="{00000000-0005-0000-0000-00000C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273" xr:uid="{00000000-0005-0000-0000-00000D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274" xr:uid="{00000000-0005-0000-0000-00000E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 xfId="275" xr:uid="{00000000-0005-0000-0000-00000F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276" xr:uid="{00000000-0005-0000-0000-00001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277" xr:uid="{00000000-0005-0000-0000-00001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20221" xfId="278" xr:uid="{00000000-0005-0000-0000-000012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 xfId="279" xr:uid="{00000000-0005-0000-0000-000013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数量まとめ" xfId="280" xr:uid="{00000000-0005-0000-0000-000014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計画シュミレーションBLL_20120221" xfId="281" xr:uid="{00000000-0005-0000-0000-000015010000}"/>
    <cellStyle name="_二部二课新人作业员教育标准_方針展開活動計画 Ke hoach hoat dong trien khai chinh sach_生産計画シュミレーションBLL_12102011_案_生産計画シュミレーションBLL_20111025_生産計画シュミレーションBLL_20120112" xfId="282" xr:uid="{00000000-0005-0000-0000-000016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数量まとめ" xfId="283" xr:uid="{00000000-0005-0000-0000-000017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計画シュミレーションBLL_20120221" xfId="284" xr:uid="{00000000-0005-0000-0000-000018010000}"/>
    <cellStyle name="_二部二课新人作业员教育标准_方針展開活動計画 Ke hoach hoat dong trien khai chinh sach_生産計画シュミレーションBLL_12102011_案_生産計画シュミレーションBLL_20111025_生産計画シュミレーションBLL_20120114" xfId="285" xr:uid="{00000000-0005-0000-0000-000019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数量まとめ" xfId="286" xr:uid="{00000000-0005-0000-0000-00001A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計画シュミレーションBLL_20120221" xfId="287" xr:uid="{00000000-0005-0000-0000-00001B010000}"/>
    <cellStyle name="_二部二课新人作业员教育标准_方針展開活動計画 Ke hoach hoat dong trien khai chinh sach_生産計画シュミレーションBLL_12102011_案_生産計画シュミレーションBLL_20111026_3" xfId="288" xr:uid="{00000000-0005-0000-0000-00001C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 xfId="289" xr:uid="{00000000-0005-0000-0000-00001D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数量まとめ" xfId="290" xr:uid="{00000000-0005-0000-0000-00001E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計画シュミレーションBLL_20120221" xfId="291" xr:uid="{00000000-0005-0000-0000-00001F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 xfId="292" xr:uid="{00000000-0005-0000-0000-000020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数量まとめ" xfId="293" xr:uid="{00000000-0005-0000-0000-000021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計画シュミレーションBLL_20120221" xfId="294" xr:uid="{00000000-0005-0000-0000-000022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 xfId="295" xr:uid="{00000000-0005-0000-0000-000023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数量まとめ" xfId="296" xr:uid="{00000000-0005-0000-0000-000024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計画シュミレーションBLL_20120221" xfId="297" xr:uid="{00000000-0005-0000-0000-000025010000}"/>
    <cellStyle name="_二部二课新人作业员教育标准_方針展開活動計画 Ke hoach hoat dong trien khai chinh sach_生産計画シュミレーションBLL_12102011_案_生産計画シュミレーションBLL_20111212_1" xfId="298" xr:uid="{00000000-0005-0000-0000-000026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 xfId="299" xr:uid="{00000000-0005-0000-0000-000027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数量まとめ" xfId="300" xr:uid="{00000000-0005-0000-0000-000028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計画シュミレーションBLL_20120221" xfId="301" xr:uid="{00000000-0005-0000-0000-000029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 xfId="302" xr:uid="{00000000-0005-0000-0000-00002A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数量まとめ" xfId="303" xr:uid="{00000000-0005-0000-0000-00002B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計画シュミレーションBLL_20120221" xfId="304" xr:uid="{00000000-0005-0000-0000-00002C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 xfId="305" xr:uid="{00000000-0005-0000-0000-00002D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数量まとめ" xfId="306" xr:uid="{00000000-0005-0000-0000-00002E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計画シュミレーションBLL_20120221" xfId="307" xr:uid="{00000000-0005-0000-0000-00002F010000}"/>
    <cellStyle name="_二部二课新人作业员教育标准_方針展開活動計画 Ke hoach hoat dong trien khai chinh sach_生産計画シュミレーションBLL_12102011_案_生産計画シュミレーションBLL_20120221" xfId="308" xr:uid="{00000000-0005-0000-0000-000030010000}"/>
    <cellStyle name="_二部二课新人作业员教育标准_方針展開活動計画 Ke hoach hoat dong trien khai chinh sach_生産計画シュミレーションBLL_20111026_2" xfId="309" xr:uid="{00000000-0005-0000-0000-000031010000}"/>
    <cellStyle name="_二部二课新人作业员教育标准_方針展開活動計画 Ke hoach hoat dong trien khai chinh sach_生産計画シュミレーションBLL_20111026_2_生産数量まとめ" xfId="310" xr:uid="{00000000-0005-0000-0000-000032010000}"/>
    <cellStyle name="_二部二课新人作业员教育标准_方針展開活動計画 Ke hoach hoat dong trien khai chinh sach_生産計画シュミレーションBLL_20111026_2_生産計画シュミレーションBLL_20111026_3" xfId="311" xr:uid="{00000000-0005-0000-0000-000033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 xfId="312" xr:uid="{00000000-0005-0000-0000-000034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数量まとめ" xfId="313" xr:uid="{00000000-0005-0000-0000-000035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計画シュミレーションBLL_20120221" xfId="314" xr:uid="{00000000-0005-0000-0000-000036010000}"/>
    <cellStyle name="_二部二课新人作业员教育标准_方針展開活動計画 Ke hoach hoat dong trien khai chinh sach_生産計画シュミレーションBLL_20111026_2_生産計画シュミレーションBLL_20111026_3_生産計画シュミレーションBLL_20120112" xfId="315" xr:uid="{00000000-0005-0000-0000-000037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数量まとめ" xfId="316" xr:uid="{00000000-0005-0000-0000-000038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計画シュミレーションBLL_20120221" xfId="317" xr:uid="{00000000-0005-0000-0000-000039010000}"/>
    <cellStyle name="_二部二课新人作业员教育标准_方針展開活動計画 Ke hoach hoat dong trien khai chinh sach_生産計画シュミレーションBLL_20111026_2_生産計画シュミレーションBLL_20111026_3_生産計画シュミレーションBLL_20120114" xfId="318" xr:uid="{00000000-0005-0000-0000-00003A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数量まとめ" xfId="319" xr:uid="{00000000-0005-0000-0000-00003B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計画シュミレーションBLL_20120221" xfId="320" xr:uid="{00000000-0005-0000-0000-00003C010000}"/>
    <cellStyle name="_二部二课新人作业员教育标准_方針展開活動計画 Ke hoach hoat dong trien khai chinh sach_生産計画シュミレーションBLL_20111026_2_生産計画シュミレーションBLL_20111212_1" xfId="321" xr:uid="{00000000-0005-0000-0000-00003D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 xfId="322" xr:uid="{00000000-0005-0000-0000-00003E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数量まとめ" xfId="323" xr:uid="{00000000-0005-0000-0000-00003F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計画シュミレーションBLL_20120221" xfId="324" xr:uid="{00000000-0005-0000-0000-000040010000}"/>
    <cellStyle name="_二部二课新人作业员教育标准_方針展開活動計画 Ke hoach hoat dong trien khai chinh sach_生産計画シュミレーションBLL_20111026_2_生産計画シュミレーションBLL_20111212_1_生産計画シュミレーションBLL_20120112" xfId="325" xr:uid="{00000000-0005-0000-0000-000041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数量まとめ" xfId="326" xr:uid="{00000000-0005-0000-0000-000042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計画シュミレーションBLL_20120221" xfId="327" xr:uid="{00000000-0005-0000-0000-000043010000}"/>
    <cellStyle name="_二部二课新人作业员教育标准_方針展開活動計画 Ke hoach hoat dong trien khai chinh sach_生産計画シュミレーションBLL_20111026_2_生産計画シュミレーションBLL_20111212_1_生産計画シュミレーションBLL_20120114" xfId="328" xr:uid="{00000000-0005-0000-0000-000044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数量まとめ" xfId="329" xr:uid="{00000000-0005-0000-0000-000045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計画シュミレーションBLL_20120221" xfId="330" xr:uid="{00000000-0005-0000-0000-000046010000}"/>
    <cellStyle name="_二部二课新人作业员教育标准_方針展開活動計画 Ke hoach hoat dong trien khai chinh sach_生産計画シュミレーションBLL_20111026_2_生産計画シュミレーションBLL_20120221" xfId="331" xr:uid="{00000000-0005-0000-0000-000047010000}"/>
    <cellStyle name="_二部二课新人作业员教育标准_方針展開活動計画 Ke hoach hoat dong trien khai chinh sach_生産計画シュミレーションBLL_20111223 De An (chua duoc dung)" xfId="332" xr:uid="{00000000-0005-0000-0000-000048010000}"/>
    <cellStyle name="_二部二课新人作业员教育标准_方針展開活動計画 Ke hoach hoat dong trien khai chinh sach_生産計画シュミレーションBLL_20111223 De An (chua duoc dung)_生産数量まとめ" xfId="333" xr:uid="{00000000-0005-0000-0000-000049010000}"/>
    <cellStyle name="_二部二课新人作业员教育标准_方針展開活動計画 Ke hoach hoat dong trien khai chinh sach_生産計画シュミレーションBLL_20111223 De An (chua duoc dung)_生産計画シュミレーションBLL_20120221" xfId="334" xr:uid="{00000000-0005-0000-0000-00004A010000}"/>
    <cellStyle name="_二部二课新人作业员教育标准_方針展開活動計画 Ke hoach hoat dong trien khai chinh sach_生産計画シュミレーションBLL_20120112" xfId="335" xr:uid="{00000000-0005-0000-0000-00004B010000}"/>
    <cellStyle name="_二部二课新人作业员教育标准_方針展開活動計画 Ke hoach hoat dong trien khai chinh sach_生産計画シュミレーションBLL_20120112_生産数量まとめ" xfId="336" xr:uid="{00000000-0005-0000-0000-00004C010000}"/>
    <cellStyle name="_二部二课新人作业员教育标准_方針展開活動計画 Ke hoach hoat dong trien khai chinh sach_生産計画シュミレーションBLL_20120112_生産計画シュミレーションBLL_20120221" xfId="337" xr:uid="{00000000-0005-0000-0000-00004D010000}"/>
    <cellStyle name="_二部二课新人作业员教育标准_方針展開活動計画 Ke hoach hoat dong trien khai chinh sach_生産計画シュミレーションBLL_20120114" xfId="338" xr:uid="{00000000-0005-0000-0000-00004E010000}"/>
    <cellStyle name="_二部二课新人作业员教育标准_方針展開活動計画 Ke hoach hoat dong trien khai chinh sach_生産計画シュミレーションBLL_20120114_生産数量まとめ" xfId="339" xr:uid="{00000000-0005-0000-0000-00004F010000}"/>
    <cellStyle name="_二部二课新人作业员教育标准_方針展開活動計画 Ke hoach hoat dong trien khai chinh sach_生産計画シュミレーションBLL_20120114_生産計画シュミレーションBLL_20120221" xfId="340" xr:uid="{00000000-0005-0000-0000-000050010000}"/>
    <cellStyle name="_二部二课新人作业员教育标准_生産計画シュミレーションBLL_12102011_案" xfId="341" xr:uid="{00000000-0005-0000-0000-000051010000}"/>
    <cellStyle name="_二部二课新人作业员教育标准_生産計画シュミレーションBLL_12102011_案_生産数量まとめ" xfId="342" xr:uid="{00000000-0005-0000-0000-000052010000}"/>
    <cellStyle name="_二部二课新人作业员教育标准_生産計画シュミレーションBLL_12102011_案_生産計画シュミレーションBLL_12102011_案" xfId="343" xr:uid="{00000000-0005-0000-0000-000053010000}"/>
    <cellStyle name="_二部二课新人作业员教育标准_生産計画シュミレーションBLL_12102011_案_生産計画シュミレーションBLL_12102011_案_生産計画シュミレーションBLL_20111026_2" xfId="344" xr:uid="{00000000-0005-0000-0000-000054010000}"/>
    <cellStyle name="_二部二课新人作业员教育标准_生産計画シュミレーションBLL_12102011_案_生産計画シュミレーションBLL_12102011_案_生産計画シュミレーションBLL_20111026_2_生産数量まとめ" xfId="345" xr:uid="{00000000-0005-0000-0000-000055010000}"/>
    <cellStyle name="_二部二课新人作业员教育标准_生産計画シュミレーションBLL_12102011_案_生産計画シュミレーションBLL_12102011_案_生産計画シュミレーションBLL_20111026_2_生産計画シュミレーションBLL_20111026_3" xfId="346" xr:uid="{00000000-0005-0000-0000-000056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347" xr:uid="{00000000-0005-0000-0000-000057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348" xr:uid="{00000000-0005-0000-0000-000058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49" xr:uid="{00000000-0005-0000-0000-000059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 xfId="350" xr:uid="{00000000-0005-0000-0000-00005A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51" xr:uid="{00000000-0005-0000-0000-00005B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52" xr:uid="{00000000-0005-0000-0000-00005C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 xfId="353" xr:uid="{00000000-0005-0000-0000-00005D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4" xr:uid="{00000000-0005-0000-0000-00005E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55" xr:uid="{00000000-0005-0000-0000-00005F010000}"/>
    <cellStyle name="_二部二课新人作业员教育标准_生産計画シュミレーションBLL_12102011_案_生産計画シュミレーションBLL_12102011_案_生産計画シュミレーションBLL_20111026_2_生産計画シュミレーションBLL_20111212_1" xfId="356" xr:uid="{00000000-0005-0000-0000-000060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57" xr:uid="{00000000-0005-0000-0000-000061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58" xr:uid="{00000000-0005-0000-0000-000062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359" xr:uid="{00000000-0005-0000-0000-000063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 xfId="360" xr:uid="{00000000-0005-0000-0000-000064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361" xr:uid="{00000000-0005-0000-0000-000065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362" xr:uid="{00000000-0005-0000-0000-000066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 xfId="363" xr:uid="{00000000-0005-0000-0000-000067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364" xr:uid="{00000000-0005-0000-0000-000068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365" xr:uid="{00000000-0005-0000-0000-000069010000}"/>
    <cellStyle name="_二部二课新人作业员教育标准_生産計画シュミレーションBLL_12102011_案_生産計画シュミレーションBLL_12102011_案_生産計画シュミレーションBLL_20111026_2_生産計画シュミレーションBLL_20120221" xfId="366" xr:uid="{00000000-0005-0000-0000-00006A010000}"/>
    <cellStyle name="_二部二课新人作业员教育标准_生産計画シュミレーションBLL_12102011_案_生産計画シュミレーションBLL_12102011_案_生産計画シュミレーションBLL_20111223 De An (chua duoc dung)" xfId="367" xr:uid="{00000000-0005-0000-0000-00006B010000}"/>
    <cellStyle name="_二部二课新人作业员教育标准_生産計画シュミレーションBLL_12102011_案_生産計画シュミレーションBLL_12102011_案_生産計画シュミレーションBLL_20111223 De An (chua duoc dung)_生産数量まとめ" xfId="368" xr:uid="{00000000-0005-0000-0000-00006C010000}"/>
    <cellStyle name="_二部二课新人作业员教育标准_生産計画シュミレーションBLL_12102011_案_生産計画シュミレーションBLL_12102011_案_生産計画シュミレーションBLL_20111223 De An (chua duoc dung)_生産計画シュミレーションBLL_20120221" xfId="369" xr:uid="{00000000-0005-0000-0000-00006D010000}"/>
    <cellStyle name="_二部二课新人作业员教育标准_生産計画シュミレーションBLL_12102011_案_生産計画シュミレーションBLL_12102011_案_生産計画シュミレーションBLL_20120112" xfId="370" xr:uid="{00000000-0005-0000-0000-00006E010000}"/>
    <cellStyle name="_二部二课新人作业员教育标准_生産計画シュミレーションBLL_12102011_案_生産計画シュミレーションBLL_12102011_案_生産計画シュミレーションBLL_20120112_生産数量まとめ" xfId="371" xr:uid="{00000000-0005-0000-0000-00006F010000}"/>
    <cellStyle name="_二部二课新人作业员教育标准_生産計画シュミレーションBLL_12102011_案_生産計画シュミレーションBLL_12102011_案_生産計画シュミレーションBLL_20120112_生産計画シュミレーションBLL_20120221" xfId="372" xr:uid="{00000000-0005-0000-0000-000070010000}"/>
    <cellStyle name="_二部二课新人作业员教育标准_生産計画シュミレーションBLL_12102011_案_生産計画シュミレーションBLL_12102011_案_生産計画シュミレーションBLL_20120114" xfId="373" xr:uid="{00000000-0005-0000-0000-000071010000}"/>
    <cellStyle name="_二部二课新人作业员教育标准_生産計画シュミレーションBLL_12102011_案_生産計画シュミレーションBLL_12102011_案_生産計画シュミレーションBLL_20120114_生産数量まとめ" xfId="374" xr:uid="{00000000-0005-0000-0000-000072010000}"/>
    <cellStyle name="_二部二课新人作业员教育标准_生産計画シュミレーションBLL_12102011_案_生産計画シュミレーションBLL_12102011_案_生産計画シュミレーションBLL_20120114_生産計画シュミレーションBLL_20120221" xfId="375" xr:uid="{00000000-0005-0000-0000-000073010000}"/>
    <cellStyle name="_二部二课新人作业员教育标准_生産計画シュミレーションBLL_12102011_案_生産計画シュミレーションBLL_14102011" xfId="376" xr:uid="{00000000-0005-0000-0000-000074010000}"/>
    <cellStyle name="_二部二课新人作业员教育标准_生産計画シュミレーションBLL_12102011_案_生産計画シュミレーションBLL_14102011_生産計画シュミレーションBLL_20111026_2" xfId="377" xr:uid="{00000000-0005-0000-0000-000075010000}"/>
    <cellStyle name="_二部二课新人作业员教育标准_生産計画シュミレーションBLL_12102011_案_生産計画シュミレーションBLL_14102011_生産計画シュミレーションBLL_20111026_2_生産数量まとめ" xfId="378" xr:uid="{00000000-0005-0000-0000-000076010000}"/>
    <cellStyle name="_二部二课新人作业员教育标准_生産計画シュミレーションBLL_12102011_案_生産計画シュミレーションBLL_14102011_生産計画シュミレーションBLL_20111026_2_生産計画シュミレーションBLL_20111026_3" xfId="379" xr:uid="{00000000-0005-0000-0000-000077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 xfId="380" xr:uid="{00000000-0005-0000-0000-000078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381" xr:uid="{00000000-0005-0000-0000-000079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382" xr:uid="{00000000-0005-0000-0000-00007A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 xfId="383" xr:uid="{00000000-0005-0000-0000-00007B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384" xr:uid="{00000000-0005-0000-0000-00007C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385" xr:uid="{00000000-0005-0000-0000-00007D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 xfId="386" xr:uid="{00000000-0005-0000-0000-00007E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387" xr:uid="{00000000-0005-0000-0000-00007F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388" xr:uid="{00000000-0005-0000-0000-000080010000}"/>
    <cellStyle name="_二部二课新人作业员教育标准_生産計画シュミレーションBLL_12102011_案_生産計画シュミレーションBLL_14102011_生産計画シュミレーションBLL_20111026_2_生産計画シュミレーションBLL_20111212_1" xfId="389" xr:uid="{00000000-0005-0000-0000-000081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 xfId="390" xr:uid="{00000000-0005-0000-0000-000082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391" xr:uid="{00000000-0005-0000-0000-000083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392" xr:uid="{00000000-0005-0000-0000-000084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 xfId="393" xr:uid="{00000000-0005-0000-0000-000085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394" xr:uid="{00000000-0005-0000-0000-000086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395" xr:uid="{00000000-0005-0000-0000-000087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 xfId="396" xr:uid="{00000000-0005-0000-0000-000088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397" xr:uid="{00000000-0005-0000-0000-000089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398" xr:uid="{00000000-0005-0000-0000-00008A010000}"/>
    <cellStyle name="_二部二课新人作业员教育标准_生産計画シュミレーションBLL_12102011_案_生産計画シュミレーションBLL_14102011_生産計画シュミレーションBLL_20111026_2_生産計画シュミレーションBLL_20120221" xfId="399" xr:uid="{00000000-0005-0000-0000-00008B010000}"/>
    <cellStyle name="_二部二课新人作业员教育标准_生産計画シュミレーションBLL_12102011_案_生産計画シュミレーションBLL_14102011_生産計画シュミレーションBLL_20111223 De An (chua duoc dung)" xfId="400" xr:uid="{00000000-0005-0000-0000-00008C010000}"/>
    <cellStyle name="_二部二课新人作业员教育标准_生産計画シュミレーションBLL_12102011_案_生産計画シュミレーションBLL_14102011_生産計画シュミレーションBLL_20111223 De An (chua duoc dung)_生産数量まとめ" xfId="401" xr:uid="{00000000-0005-0000-0000-00008D010000}"/>
    <cellStyle name="_二部二课新人作业员教育标准_生産計画シュミレーションBLL_12102011_案_生産計画シュミレーションBLL_14102011_生産計画シュミレーションBLL_20111223 De An (chua duoc dung)_生産計画シュミレーションBLL_20120221" xfId="402" xr:uid="{00000000-0005-0000-0000-00008E010000}"/>
    <cellStyle name="_二部二课新人作业员教育标准_生産計画シュミレーションBLL_12102011_案_生産計画シュミレーションBLL_14102011_生産計画シュミレーションBLL_20120112" xfId="403" xr:uid="{00000000-0005-0000-0000-00008F010000}"/>
    <cellStyle name="_二部二课新人作业员教育标准_生産計画シュミレーションBLL_12102011_案_生産計画シュミレーションBLL_14102011_生産計画シュミレーションBLL_20120112_生産数量まとめ" xfId="404" xr:uid="{00000000-0005-0000-0000-000090010000}"/>
    <cellStyle name="_二部二课新人作业员教育标准_生産計画シュミレーションBLL_12102011_案_生産計画シュミレーションBLL_14102011_生産計画シュミレーションBLL_20120112_生産計画シュミレーションBLL_20120221" xfId="405" xr:uid="{00000000-0005-0000-0000-000091010000}"/>
    <cellStyle name="_二部二课新人作业员教育标准_生産計画シュミレーションBLL_12102011_案_生産計画シュミレーションBLL_14102011_生産計画シュミレーションBLL_20120114" xfId="406" xr:uid="{00000000-0005-0000-0000-000092010000}"/>
    <cellStyle name="_二部二课新人作业员教育标准_生産計画シュミレーションBLL_12102011_案_生産計画シュミレーションBLL_14102011_生産計画シュミレーションBLL_20120114_生産数量まとめ" xfId="407" xr:uid="{00000000-0005-0000-0000-000093010000}"/>
    <cellStyle name="_二部二课新人作业员教育标准_生産計画シュミレーションBLL_12102011_案_生産計画シュミレーションBLL_14102011_生産計画シュミレーションBLL_20120114_生産計画シュミレーションBLL_20120221" xfId="408" xr:uid="{00000000-0005-0000-0000-000094010000}"/>
    <cellStyle name="_二部二课新人作业员教育标准_生産計画シュミレーションBLL_12102011_案_生産計画シュミレーションBLL_20111019_案" xfId="409" xr:uid="{00000000-0005-0000-0000-000095010000}"/>
    <cellStyle name="_二部二课新人作业员教育标准_生産計画シュミレーションBLL_12102011_案_生産計画シュミレーションBLL_20111019_案_生産計画シュミレーションBLL_20111026_2" xfId="410" xr:uid="{00000000-0005-0000-0000-000096010000}"/>
    <cellStyle name="_二部二课新人作业员教育标准_生産計画シュミレーションBLL_12102011_案_生産計画シュミレーションBLL_20111019_案_生産計画シュミレーションBLL_20111026_2_生産数量まとめ" xfId="411" xr:uid="{00000000-0005-0000-0000-000097010000}"/>
    <cellStyle name="_二部二课新人作业员教育标准_生産計画シュミレーションBLL_12102011_案_生産計画シュミレーションBLL_20111019_案_生産計画シュミレーションBLL_20111026_2_生産計画シュミレーションBLL_20111026_3" xfId="412" xr:uid="{00000000-0005-0000-0000-000098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413" xr:uid="{00000000-0005-0000-0000-000099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414" xr:uid="{00000000-0005-0000-0000-00009A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415" xr:uid="{00000000-0005-0000-0000-00009B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 xfId="416" xr:uid="{00000000-0005-0000-0000-00009C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417" xr:uid="{00000000-0005-0000-0000-00009D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418" xr:uid="{00000000-0005-0000-0000-00009E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 xfId="419" xr:uid="{00000000-0005-0000-0000-00009F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420" xr:uid="{00000000-0005-0000-0000-0000A0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421" xr:uid="{00000000-0005-0000-0000-0000A1010000}"/>
    <cellStyle name="_二部二课新人作业员教育标准_生産計画シュミレーションBLL_12102011_案_生産計画シュミレーションBLL_20111019_案_生産計画シュミレーションBLL_20111026_2_生産計画シュミレーションBLL_20111212_1" xfId="422" xr:uid="{00000000-0005-0000-0000-0000A2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423" xr:uid="{00000000-0005-0000-0000-0000A3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424" xr:uid="{00000000-0005-0000-0000-0000A4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425" xr:uid="{00000000-0005-0000-0000-0000A5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 xfId="426" xr:uid="{00000000-0005-0000-0000-0000A6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427" xr:uid="{00000000-0005-0000-0000-0000A7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428" xr:uid="{00000000-0005-0000-0000-0000A8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 xfId="429" xr:uid="{00000000-0005-0000-0000-0000A9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430" xr:uid="{00000000-0005-0000-0000-0000AA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431" xr:uid="{00000000-0005-0000-0000-0000AB010000}"/>
    <cellStyle name="_二部二课新人作业员教育标准_生産計画シュミレーションBLL_12102011_案_生産計画シュミレーションBLL_20111019_案_生産計画シュミレーションBLL_20111026_2_生産計画シュミレーションBLL_20120221" xfId="432" xr:uid="{00000000-0005-0000-0000-0000AC010000}"/>
    <cellStyle name="_二部二课新人作业员教育标准_生産計画シュミレーションBLL_12102011_案_生産計画シュミレーションBLL_20111019_案_生産計画シュミレーションBLL_20111223 De An (chua duoc dung)" xfId="433" xr:uid="{00000000-0005-0000-0000-0000AD010000}"/>
    <cellStyle name="_二部二课新人作业员教育标准_生産計画シュミレーションBLL_12102011_案_生産計画シュミレーションBLL_20111019_案_生産計画シュミレーションBLL_20111223 De An (chua duoc dung)_生産数量まとめ" xfId="434" xr:uid="{00000000-0005-0000-0000-0000AE010000}"/>
    <cellStyle name="_二部二课新人作业员教育标准_生産計画シュミレーションBLL_12102011_案_生産計画シュミレーションBLL_20111019_案_生産計画シュミレーションBLL_20111223 De An (chua duoc dung)_生産計画シュミレーションBLL_20120221" xfId="435" xr:uid="{00000000-0005-0000-0000-0000AF010000}"/>
    <cellStyle name="_二部二课新人作业员教育标准_生産計画シュミレーションBLL_12102011_案_生産計画シュミレーションBLL_20111019_案_生産計画シュミレーションBLL_20120112" xfId="436" xr:uid="{00000000-0005-0000-0000-0000B0010000}"/>
    <cellStyle name="_二部二课新人作业员教育标准_生産計画シュミレーションBLL_12102011_案_生産計画シュミレーションBLL_20111019_案_生産計画シュミレーションBLL_20120112_生産数量まとめ" xfId="437" xr:uid="{00000000-0005-0000-0000-0000B1010000}"/>
    <cellStyle name="_二部二课新人作业员教育标准_生産計画シュミレーションBLL_12102011_案_生産計画シュミレーションBLL_20111019_案_生産計画シュミレーションBLL_20120112_生産計画シュミレーションBLL_20120221" xfId="438" xr:uid="{00000000-0005-0000-0000-0000B2010000}"/>
    <cellStyle name="_二部二课新人作业员教育标准_生産計画シュミレーションBLL_12102011_案_生産計画シュミレーションBLL_20111019_案_生産計画シュミレーションBLL_20120114" xfId="439" xr:uid="{00000000-0005-0000-0000-0000B3010000}"/>
    <cellStyle name="_二部二课新人作业员教育标准_生産計画シュミレーションBLL_12102011_案_生産計画シュミレーションBLL_20111019_案_生産計画シュミレーションBLL_20120114_生産数量まとめ" xfId="440" xr:uid="{00000000-0005-0000-0000-0000B4010000}"/>
    <cellStyle name="_二部二课新人作业员教育标准_生産計画シュミレーションBLL_12102011_案_生産計画シュミレーションBLL_20111019_案_生産計画シュミレーションBLL_20120114_生産計画シュミレーションBLL_20120221" xfId="441" xr:uid="{00000000-0005-0000-0000-0000B5010000}"/>
    <cellStyle name="_二部二课新人作业员教育标准_生産計画シュミレーションBLL_12102011_案_生産計画シュミレーションBLL_20111021" xfId="442" xr:uid="{00000000-0005-0000-0000-0000B6010000}"/>
    <cellStyle name="_二部二课新人作业员教育标准_生産計画シュミレーションBLL_12102011_案_生産計画シュミレーションBLL_20111021_生産計画シュミレーションBLL_20111026_2" xfId="443" xr:uid="{00000000-0005-0000-0000-0000B7010000}"/>
    <cellStyle name="_二部二课新人作业员教育标准_生産計画シュミレーションBLL_12102011_案_生産計画シュミレーションBLL_20111021_生産計画シュミレーションBLL_20111026_2_生産数量まとめ" xfId="444" xr:uid="{00000000-0005-0000-0000-0000B8010000}"/>
    <cellStyle name="_二部二课新人作业员教育标准_生産計画シュミレーションBLL_12102011_案_生産計画シュミレーションBLL_20111021_生産計画シュミレーションBLL_20111026_2_生産計画シュミレーションBLL_20111026_3" xfId="445" xr:uid="{00000000-0005-0000-0000-0000B9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 xfId="446" xr:uid="{00000000-0005-0000-0000-0000BA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447" xr:uid="{00000000-0005-0000-0000-0000BB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448" xr:uid="{00000000-0005-0000-0000-0000BC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 xfId="449" xr:uid="{00000000-0005-0000-0000-0000BD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450" xr:uid="{00000000-0005-0000-0000-0000BE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451" xr:uid="{00000000-0005-0000-0000-0000BF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 xfId="452" xr:uid="{00000000-0005-0000-0000-0000C0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453" xr:uid="{00000000-0005-0000-0000-0000C1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454" xr:uid="{00000000-0005-0000-0000-0000C2010000}"/>
    <cellStyle name="_二部二课新人作业员教育标准_生産計画シュミレーションBLL_12102011_案_生産計画シュミレーションBLL_20111021_生産計画シュミレーションBLL_20111026_2_生産計画シュミレーションBLL_20111212_1" xfId="455" xr:uid="{00000000-0005-0000-0000-0000C3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 xfId="456" xr:uid="{00000000-0005-0000-0000-0000C4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457" xr:uid="{00000000-0005-0000-0000-0000C5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458" xr:uid="{00000000-0005-0000-0000-0000C6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 xfId="459" xr:uid="{00000000-0005-0000-0000-0000C7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460" xr:uid="{00000000-0005-0000-0000-0000C8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461" xr:uid="{00000000-0005-0000-0000-0000C9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 xfId="462" xr:uid="{00000000-0005-0000-0000-0000CA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463" xr:uid="{00000000-0005-0000-0000-0000CB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464" xr:uid="{00000000-0005-0000-0000-0000CC010000}"/>
    <cellStyle name="_二部二课新人作业员教育标准_生産計画シュミレーションBLL_12102011_案_生産計画シュミレーションBLL_20111021_生産計画シュミレーションBLL_20111026_2_生産計画シュミレーションBLL_20120221" xfId="465" xr:uid="{00000000-0005-0000-0000-0000CD010000}"/>
    <cellStyle name="_二部二课新人作业员教育标准_生産計画シュミレーションBLL_12102011_案_生産計画シュミレーションBLL_20111021_生産計画シュミレーションBLL_20111223 De An (chua duoc dung)" xfId="466" xr:uid="{00000000-0005-0000-0000-0000CE010000}"/>
    <cellStyle name="_二部二课新人作业员教育标准_生産計画シュミレーションBLL_12102011_案_生産計画シュミレーションBLL_20111021_生産計画シュミレーションBLL_20111223 De An (chua duoc dung)_生産数量まとめ" xfId="467" xr:uid="{00000000-0005-0000-0000-0000CF010000}"/>
    <cellStyle name="_二部二课新人作业员教育标准_生産計画シュミレーションBLL_12102011_案_生産計画シュミレーションBLL_20111021_生産計画シュミレーションBLL_20111223 De An (chua duoc dung)_生産計画シュミレーションBLL_20120221" xfId="468" xr:uid="{00000000-0005-0000-0000-0000D0010000}"/>
    <cellStyle name="_二部二课新人作业员教育标准_生産計画シュミレーションBLL_12102011_案_生産計画シュミレーションBLL_20111021_生産計画シュミレーションBLL_20120112" xfId="469" xr:uid="{00000000-0005-0000-0000-0000D1010000}"/>
    <cellStyle name="_二部二课新人作业员教育标准_生産計画シュミレーションBLL_12102011_案_生産計画シュミレーションBLL_20111021_生産計画シュミレーションBLL_20120112_生産数量まとめ" xfId="470" xr:uid="{00000000-0005-0000-0000-0000D2010000}"/>
    <cellStyle name="_二部二课新人作业员教育标准_生産計画シュミレーションBLL_12102011_案_生産計画シュミレーションBLL_20111021_生産計画シュミレーションBLL_20120112_生産計画シュミレーションBLL_20120221" xfId="471" xr:uid="{00000000-0005-0000-0000-0000D3010000}"/>
    <cellStyle name="_二部二课新人作业员教育标准_生産計画シュミレーションBLL_12102011_案_生産計画シュミレーションBLL_20111021_生産計画シュミレーションBLL_20120114" xfId="472" xr:uid="{00000000-0005-0000-0000-0000D4010000}"/>
    <cellStyle name="_二部二课新人作业员教育标准_生産計画シュミレーションBLL_12102011_案_生産計画シュミレーションBLL_20111021_生産計画シュミレーションBLL_20120114_生産数量まとめ" xfId="473" xr:uid="{00000000-0005-0000-0000-0000D5010000}"/>
    <cellStyle name="_二部二课新人作业员教育标准_生産計画シュミレーションBLL_12102011_案_生産計画シュミレーションBLL_20111021_生産計画シュミレーションBLL_20120114_生産計画シュミレーションBLL_20120221" xfId="474" xr:uid="{00000000-0005-0000-0000-0000D6010000}"/>
    <cellStyle name="_二部二课新人作业员教育标准_生産計画シュミレーションBLL_12102011_案_生産計画シュミレーションBLL_20111024" xfId="475" xr:uid="{00000000-0005-0000-0000-0000D7010000}"/>
    <cellStyle name="_二部二课新人作业员教育标准_生産計画シュミレーションBLL_12102011_案_生産計画シュミレーションBLL_20111024_2" xfId="476" xr:uid="{00000000-0005-0000-0000-0000D8010000}"/>
    <cellStyle name="_二部二课新人作业员教育标准_生産計画シュミレーションBLL_12102011_案_生産計画シュミレーションBLL_20111024_2_生産計画シュミレーションBLL_20111026_2" xfId="477" xr:uid="{00000000-0005-0000-0000-0000D9010000}"/>
    <cellStyle name="_二部二课新人作业员教育标准_生産計画シュミレーションBLL_12102011_案_生産計画シュミレーションBLL_20111024_2_生産計画シュミレーションBLL_20111026_2_生産数量まとめ" xfId="478" xr:uid="{00000000-0005-0000-0000-0000DA010000}"/>
    <cellStyle name="_二部二课新人作业员教育标准_生産計画シュミレーションBLL_12102011_案_生産計画シュミレーションBLL_20111024_2_生産計画シュミレーションBLL_20111026_2_生産計画シュミレーションBLL_20111026_3" xfId="479" xr:uid="{00000000-0005-0000-0000-0000DB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480" xr:uid="{00000000-0005-0000-0000-0000DC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481" xr:uid="{00000000-0005-0000-0000-0000DD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482" xr:uid="{00000000-0005-0000-0000-0000DE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 xfId="483" xr:uid="{00000000-0005-0000-0000-0000DF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484" xr:uid="{00000000-0005-0000-0000-0000E0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485" xr:uid="{00000000-0005-0000-0000-0000E1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 xfId="486" xr:uid="{00000000-0005-0000-0000-0000E2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487" xr:uid="{00000000-0005-0000-0000-0000E3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488" xr:uid="{00000000-0005-0000-0000-0000E4010000}"/>
    <cellStyle name="_二部二课新人作业员教育标准_生産計画シュミレーションBLL_12102011_案_生産計画シュミレーションBLL_20111024_2_生産計画シュミレーションBLL_20111026_2_生産計画シュミレーションBLL_20111212_1" xfId="489" xr:uid="{00000000-0005-0000-0000-0000E5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490" xr:uid="{00000000-0005-0000-0000-0000E6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491" xr:uid="{00000000-0005-0000-0000-0000E7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492" xr:uid="{00000000-0005-0000-0000-0000E8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 xfId="493" xr:uid="{00000000-0005-0000-0000-0000E9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494" xr:uid="{00000000-0005-0000-0000-0000EA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495" xr:uid="{00000000-0005-0000-0000-0000EB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 xfId="496" xr:uid="{00000000-0005-0000-0000-0000EC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497" xr:uid="{00000000-0005-0000-0000-0000ED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498" xr:uid="{00000000-0005-0000-0000-0000EE010000}"/>
    <cellStyle name="_二部二课新人作业员教育标准_生産計画シュミレーションBLL_12102011_案_生産計画シュミレーションBLL_20111024_2_生産計画シュミレーションBLL_20111026_2_生産計画シュミレーションBLL_20120221" xfId="499" xr:uid="{00000000-0005-0000-0000-0000EF010000}"/>
    <cellStyle name="_二部二课新人作业员教育标准_生産計画シュミレーションBLL_12102011_案_生産計画シュミレーションBLL_20111024_2_生産計画シュミレーションBLL_20111223 De An (chua duoc dung)" xfId="500" xr:uid="{00000000-0005-0000-0000-0000F0010000}"/>
    <cellStyle name="_二部二课新人作业员教育标准_生産計画シュミレーションBLL_12102011_案_生産計画シュミレーションBLL_20111024_2_生産計画シュミレーションBLL_20111223 De An (chua duoc dung)_生産数量まとめ" xfId="501" xr:uid="{00000000-0005-0000-0000-0000F1010000}"/>
    <cellStyle name="_二部二课新人作业员教育标准_生産計画シュミレーションBLL_12102011_案_生産計画シュミレーションBLL_20111024_2_生産計画シュミレーションBLL_20111223 De An (chua duoc dung)_生産計画シュミレーションBLL_20120221" xfId="502" xr:uid="{00000000-0005-0000-0000-0000F2010000}"/>
    <cellStyle name="_二部二课新人作业员教育标准_生産計画シュミレーションBLL_12102011_案_生産計画シュミレーションBLL_20111024_2_生産計画シュミレーションBLL_20120112" xfId="503" xr:uid="{00000000-0005-0000-0000-0000F3010000}"/>
    <cellStyle name="_二部二课新人作业员教育标准_生産計画シュミレーションBLL_12102011_案_生産計画シュミレーションBLL_20111024_2_生産計画シュミレーションBLL_20120112_生産数量まとめ" xfId="504" xr:uid="{00000000-0005-0000-0000-0000F4010000}"/>
    <cellStyle name="_二部二课新人作业员教育标准_生産計画シュミレーションBLL_12102011_案_生産計画シュミレーションBLL_20111024_2_生産計画シュミレーションBLL_20120112_生産計画シュミレーションBLL_20120221" xfId="505" xr:uid="{00000000-0005-0000-0000-0000F5010000}"/>
    <cellStyle name="_二部二课新人作业员教育标准_生産計画シュミレーションBLL_12102011_案_生産計画シュミレーションBLL_20111024_2_生産計画シュミレーションBLL_20120114" xfId="506" xr:uid="{00000000-0005-0000-0000-0000F6010000}"/>
    <cellStyle name="_二部二课新人作业员教育标准_生産計画シュミレーションBLL_12102011_案_生産計画シュミレーションBLL_20111024_2_生産計画シュミレーションBLL_20120114_生産数量まとめ" xfId="507" xr:uid="{00000000-0005-0000-0000-0000F7010000}"/>
    <cellStyle name="_二部二课新人作业员教育标准_生産計画シュミレーションBLL_12102011_案_生産計画シュミレーションBLL_20111024_2_生産計画シュミレーションBLL_20120114_生産計画シュミレーションBLL_20120221" xfId="508" xr:uid="{00000000-0005-0000-0000-0000F8010000}"/>
    <cellStyle name="_二部二课新人作业员教育标准_生産計画シュミレーションBLL_12102011_案_生産計画シュミレーションBLL_20111024_生産計画シュミレーションBLL_20111026_2" xfId="509" xr:uid="{00000000-0005-0000-0000-0000F9010000}"/>
    <cellStyle name="_二部二课新人作业员教育标准_生産計画シュミレーションBLL_12102011_案_生産計画シュミレーションBLL_20111024_生産計画シュミレーションBLL_20111026_2_生産数量まとめ" xfId="510" xr:uid="{00000000-0005-0000-0000-0000FA010000}"/>
    <cellStyle name="_二部二课新人作业员教育标准_生産計画シュミレーションBLL_12102011_案_生産計画シュミレーションBLL_20111024_生産計画シュミレーションBLL_20111026_2_生産計画シュミレーションBLL_20111026_3" xfId="511" xr:uid="{00000000-0005-0000-0000-0000FB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 xfId="512" xr:uid="{00000000-0005-0000-0000-0000FC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513" xr:uid="{00000000-0005-0000-0000-0000FD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514" xr:uid="{00000000-0005-0000-0000-0000FE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 xfId="515" xr:uid="{00000000-0005-0000-0000-0000FF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516" xr:uid="{00000000-0005-0000-0000-000000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517" xr:uid="{00000000-0005-0000-0000-000001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 xfId="518" xr:uid="{00000000-0005-0000-0000-000002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519" xr:uid="{00000000-0005-0000-0000-000003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520" xr:uid="{00000000-0005-0000-0000-000004020000}"/>
    <cellStyle name="_二部二课新人作业员教育标准_生産計画シュミレーションBLL_12102011_案_生産計画シュミレーションBLL_20111024_生産計画シュミレーションBLL_20111026_2_生産計画シュミレーションBLL_20111212_1" xfId="521" xr:uid="{00000000-0005-0000-0000-000005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 xfId="522" xr:uid="{00000000-0005-0000-0000-000006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523" xr:uid="{00000000-0005-0000-0000-000007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524" xr:uid="{00000000-0005-0000-0000-000008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 xfId="525" xr:uid="{00000000-0005-0000-0000-000009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526" xr:uid="{00000000-0005-0000-0000-00000A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527" xr:uid="{00000000-0005-0000-0000-00000B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 xfId="528" xr:uid="{00000000-0005-0000-0000-00000C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529" xr:uid="{00000000-0005-0000-0000-00000D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530" xr:uid="{00000000-0005-0000-0000-00000E020000}"/>
    <cellStyle name="_二部二课新人作业员教育标准_生産計画シュミレーションBLL_12102011_案_生産計画シュミレーションBLL_20111024_生産計画シュミレーションBLL_20111026_2_生産計画シュミレーションBLL_20120221" xfId="531" xr:uid="{00000000-0005-0000-0000-00000F020000}"/>
    <cellStyle name="_二部二课新人作业员教育标准_生産計画シュミレーションBLL_12102011_案_生産計画シュミレーションBLL_20111024_生産計画シュミレーションBLL_20111223 De An (chua duoc dung)" xfId="532" xr:uid="{00000000-0005-0000-0000-000010020000}"/>
    <cellStyle name="_二部二课新人作业员教育标准_生産計画シュミレーションBLL_12102011_案_生産計画シュミレーションBLL_20111024_生産計画シュミレーションBLL_20111223 De An (chua duoc dung)_生産数量まとめ" xfId="533" xr:uid="{00000000-0005-0000-0000-000011020000}"/>
    <cellStyle name="_二部二课新人作业员教育标准_生産計画シュミレーションBLL_12102011_案_生産計画シュミレーションBLL_20111024_生産計画シュミレーションBLL_20111223 De An (chua duoc dung)_生産計画シュミレーションBLL_20120221" xfId="534" xr:uid="{00000000-0005-0000-0000-000012020000}"/>
    <cellStyle name="_二部二课新人作业员教育标准_生産計画シュミレーションBLL_12102011_案_生産計画シュミレーションBLL_20111024_生産計画シュミレーションBLL_20120112" xfId="535" xr:uid="{00000000-0005-0000-0000-000013020000}"/>
    <cellStyle name="_二部二课新人作业员教育标准_生産計画シュミレーションBLL_12102011_案_生産計画シュミレーションBLL_20111024_生産計画シュミレーションBLL_20120112_生産数量まとめ" xfId="536" xr:uid="{00000000-0005-0000-0000-000014020000}"/>
    <cellStyle name="_二部二课新人作业员教育标准_生産計画シュミレーションBLL_12102011_案_生産計画シュミレーションBLL_20111024_生産計画シュミレーションBLL_20120112_生産計画シュミレーションBLL_20120221" xfId="537" xr:uid="{00000000-0005-0000-0000-000015020000}"/>
    <cellStyle name="_二部二课新人作业员教育标准_生産計画シュミレーションBLL_12102011_案_生産計画シュミレーションBLL_20111024_生産計画シュミレーションBLL_20120114" xfId="538" xr:uid="{00000000-0005-0000-0000-000016020000}"/>
    <cellStyle name="_二部二课新人作业员教育标准_生産計画シュミレーションBLL_12102011_案_生産計画シュミレーションBLL_20111024_生産計画シュミレーションBLL_20120114_生産数量まとめ" xfId="539" xr:uid="{00000000-0005-0000-0000-000017020000}"/>
    <cellStyle name="_二部二课新人作业员教育标准_生産計画シュミレーションBLL_12102011_案_生産計画シュミレーションBLL_20111024_生産計画シュミレーションBLL_20120114_生産計画シュミレーションBLL_20120221" xfId="540" xr:uid="{00000000-0005-0000-0000-000018020000}"/>
    <cellStyle name="_二部二课新人作业员教育标准_生産計画シュミレーションBLL_12102011_案_生産計画シュミレーションBLL_20111025" xfId="541" xr:uid="{00000000-0005-0000-0000-000019020000}"/>
    <cellStyle name="_二部二课新人作业员教育标准_生産計画シュミレーションBLL_12102011_案_生産計画シュミレーションBLL_20111025_2" xfId="542" xr:uid="{00000000-0005-0000-0000-00001A020000}"/>
    <cellStyle name="_二部二课新人作业员教育标准_生産計画シュミレーションBLL_12102011_案_生産計画シュミレーションBLL_20111025_2_生産計画シュミレーションBLL_20111026_2" xfId="543" xr:uid="{00000000-0005-0000-0000-00001B020000}"/>
    <cellStyle name="_二部二课新人作业员教育标准_生産計画シュミレーションBLL_12102011_案_生産計画シュミレーションBLL_20111025_2_生産計画シュミレーションBLL_20111026_2_生産数量まとめ" xfId="544" xr:uid="{00000000-0005-0000-0000-00001C020000}"/>
    <cellStyle name="_二部二课新人作业员教育标准_生産計画シュミレーションBLL_12102011_案_生産計画シュミレーションBLL_20111025_2_生産計画シュミレーションBLL_20111026_2_生産計画シュミレーションBLL_20111026_3" xfId="545" xr:uid="{00000000-0005-0000-0000-00001D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546" xr:uid="{00000000-0005-0000-0000-00001E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547" xr:uid="{00000000-0005-0000-0000-00001F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548" xr:uid="{00000000-0005-0000-0000-000020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 xfId="549" xr:uid="{00000000-0005-0000-0000-000021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550" xr:uid="{00000000-0005-0000-0000-000022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551" xr:uid="{00000000-0005-0000-0000-000023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 xfId="552" xr:uid="{00000000-0005-0000-0000-000024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553" xr:uid="{00000000-0005-0000-0000-000025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554" xr:uid="{00000000-0005-0000-0000-000026020000}"/>
    <cellStyle name="_二部二课新人作业员教育标准_生産計画シュミレーションBLL_12102011_案_生産計画シュミレーションBLL_20111025_2_生産計画シュミレーションBLL_20111026_2_生産計画シュミレーションBLL_20111212_1" xfId="555" xr:uid="{00000000-0005-0000-0000-000027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556" xr:uid="{00000000-0005-0000-0000-000028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557" xr:uid="{00000000-0005-0000-0000-000029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558" xr:uid="{00000000-0005-0000-0000-00002A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 xfId="559" xr:uid="{00000000-0005-0000-0000-00002B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560" xr:uid="{00000000-0005-0000-0000-00002C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561" xr:uid="{00000000-0005-0000-0000-00002D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 xfId="562" xr:uid="{00000000-0005-0000-0000-00002E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563" xr:uid="{00000000-0005-0000-0000-00002F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564" xr:uid="{00000000-0005-0000-0000-000030020000}"/>
    <cellStyle name="_二部二课新人作业员教育标准_生産計画シュミレーションBLL_12102011_案_生産計画シュミレーションBLL_20111025_2_生産計画シュミレーションBLL_20111026_2_生産計画シュミレーションBLL_20120221" xfId="565" xr:uid="{00000000-0005-0000-0000-000031020000}"/>
    <cellStyle name="_二部二课新人作业员教育标准_生産計画シュミレーションBLL_12102011_案_生産計画シュミレーションBLL_20111025_2_生産計画シュミレーションBLL_20111223 De An (chua duoc dung)" xfId="566" xr:uid="{00000000-0005-0000-0000-000032020000}"/>
    <cellStyle name="_二部二课新人作业员教育标准_生産計画シュミレーションBLL_12102011_案_生産計画シュミレーションBLL_20111025_2_生産計画シュミレーションBLL_20111223 De An (chua duoc dung)_生産数量まとめ" xfId="567" xr:uid="{00000000-0005-0000-0000-000033020000}"/>
    <cellStyle name="_二部二课新人作业员教育标准_生産計画シュミレーションBLL_12102011_案_生産計画シュミレーションBLL_20111025_2_生産計画シュミレーションBLL_20111223 De An (chua duoc dung)_生産計画シュミレーションBLL_20120221" xfId="568" xr:uid="{00000000-0005-0000-0000-000034020000}"/>
    <cellStyle name="_二部二课新人作业员教育标准_生産計画シュミレーションBLL_12102011_案_生産計画シュミレーションBLL_20111025_2_生産計画シュミレーションBLL_20120112" xfId="569" xr:uid="{00000000-0005-0000-0000-000035020000}"/>
    <cellStyle name="_二部二课新人作业员教育标准_生産計画シュミレーションBLL_12102011_案_生産計画シュミレーションBLL_20111025_2_生産計画シュミレーションBLL_20120112_生産数量まとめ" xfId="570" xr:uid="{00000000-0005-0000-0000-000036020000}"/>
    <cellStyle name="_二部二课新人作业员教育标准_生産計画シュミレーションBLL_12102011_案_生産計画シュミレーションBLL_20111025_2_生産計画シュミレーションBLL_20120112_生産計画シュミレーションBLL_20120221" xfId="571" xr:uid="{00000000-0005-0000-0000-000037020000}"/>
    <cellStyle name="_二部二课新人作业员教育标准_生産計画シュミレーションBLL_12102011_案_生産計画シュミレーションBLL_20111025_2_生産計画シュミレーションBLL_20120114" xfId="572" xr:uid="{00000000-0005-0000-0000-000038020000}"/>
    <cellStyle name="_二部二课新人作业员教育标准_生産計画シュミレーションBLL_12102011_案_生産計画シュミレーションBLL_20111025_2_生産計画シュミレーションBLL_20120114_生産数量まとめ" xfId="573" xr:uid="{00000000-0005-0000-0000-000039020000}"/>
    <cellStyle name="_二部二课新人作业员教育标准_生産計画シュミレーションBLL_12102011_案_生産計画シュミレーションBLL_20111025_2_生産計画シュミレーションBLL_20120114_生産計画シュミレーションBLL_20120221" xfId="574" xr:uid="{00000000-0005-0000-0000-00003A020000}"/>
    <cellStyle name="_二部二课新人作业员教育标准_生産計画シュミレーションBLL_12102011_案_生産計画シュミレーションBLL_20111025_生産計画シュミレーションBLL_20111026_2" xfId="575" xr:uid="{00000000-0005-0000-0000-00003B020000}"/>
    <cellStyle name="_二部二课新人作业员教育标准_生産計画シュミレーションBLL_12102011_案_生産計画シュミレーションBLL_20111025_生産計画シュミレーションBLL_20111026_2_生産数量まとめ" xfId="576" xr:uid="{00000000-0005-0000-0000-00003C020000}"/>
    <cellStyle name="_二部二课新人作业员教育标准_生産計画シュミレーションBLL_12102011_案_生産計画シュミレーションBLL_20111025_生産計画シュミレーションBLL_20111026_2_生産計画シュミレーションBLL_20111026_3" xfId="577" xr:uid="{00000000-0005-0000-0000-00003D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 xfId="578" xr:uid="{00000000-0005-0000-0000-00003E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579" xr:uid="{00000000-0005-0000-0000-00003F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580" xr:uid="{00000000-0005-0000-0000-000040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 xfId="581" xr:uid="{00000000-0005-0000-0000-000041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582" xr:uid="{00000000-0005-0000-0000-000042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583" xr:uid="{00000000-0005-0000-0000-000043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 xfId="584" xr:uid="{00000000-0005-0000-0000-000044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585" xr:uid="{00000000-0005-0000-0000-000045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586" xr:uid="{00000000-0005-0000-0000-000046020000}"/>
    <cellStyle name="_二部二课新人作业员教育标准_生産計画シュミレーションBLL_12102011_案_生産計画シュミレーションBLL_20111025_生産計画シュミレーションBLL_20111026_2_生産計画シュミレーションBLL_20111212_1" xfId="587" xr:uid="{00000000-0005-0000-0000-000047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 xfId="588" xr:uid="{00000000-0005-0000-0000-000048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589" xr:uid="{00000000-0005-0000-0000-000049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590" xr:uid="{00000000-0005-0000-0000-00004A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 xfId="591" xr:uid="{00000000-0005-0000-0000-00004B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592" xr:uid="{00000000-0005-0000-0000-00004C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593" xr:uid="{00000000-0005-0000-0000-00004D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 xfId="594" xr:uid="{00000000-0005-0000-0000-00004E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595" xr:uid="{00000000-0005-0000-0000-00004F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596" xr:uid="{00000000-0005-0000-0000-000050020000}"/>
    <cellStyle name="_二部二课新人作业员教育标准_生産計画シュミレーションBLL_12102011_案_生産計画シュミレーションBLL_20111025_生産計画シュミレーションBLL_20111026_2_生産計画シュミレーションBLL_20120221" xfId="597" xr:uid="{00000000-0005-0000-0000-000051020000}"/>
    <cellStyle name="_二部二课新人作业员教育标准_生産計画シュミレーションBLL_12102011_案_生産計画シュミレーションBLL_20111025_生産計画シュミレーションBLL_20111223 De An (chua duoc dung)" xfId="598" xr:uid="{00000000-0005-0000-0000-000052020000}"/>
    <cellStyle name="_二部二课新人作业员教育标准_生産計画シュミレーションBLL_12102011_案_生産計画シュミレーションBLL_20111025_生産計画シュミレーションBLL_20111223 De An (chua duoc dung)_生産数量まとめ" xfId="599" xr:uid="{00000000-0005-0000-0000-000053020000}"/>
    <cellStyle name="_二部二课新人作业员教育标准_生産計画シュミレーションBLL_12102011_案_生産計画シュミレーションBLL_20111025_生産計画シュミレーションBLL_20111223 De An (chua duoc dung)_生産計画シュミレーションBLL_20120221" xfId="600" xr:uid="{00000000-0005-0000-0000-000054020000}"/>
    <cellStyle name="_二部二课新人作业员教育标准_生産計画シュミレーションBLL_12102011_案_生産計画シュミレーションBLL_20111025_生産計画シュミレーションBLL_20120112" xfId="601" xr:uid="{00000000-0005-0000-0000-000055020000}"/>
    <cellStyle name="_二部二课新人作业员教育标准_生産計画シュミレーションBLL_12102011_案_生産計画シュミレーションBLL_20111025_生産計画シュミレーションBLL_20120112_生産数量まとめ" xfId="602" xr:uid="{00000000-0005-0000-0000-000056020000}"/>
    <cellStyle name="_二部二课新人作业员教育标准_生産計画シュミレーションBLL_12102011_案_生産計画シュミレーションBLL_20111025_生産計画シュミレーションBLL_20120112_生産計画シュミレーションBLL_20120221" xfId="603" xr:uid="{00000000-0005-0000-0000-000057020000}"/>
    <cellStyle name="_二部二课新人作业员教育标准_生産計画シュミレーションBLL_12102011_案_生産計画シュミレーションBLL_20111025_生産計画シュミレーションBLL_20120114" xfId="604" xr:uid="{00000000-0005-0000-0000-000058020000}"/>
    <cellStyle name="_二部二课新人作业员教育标准_生産計画シュミレーションBLL_12102011_案_生産計画シュミレーションBLL_20111025_生産計画シュミレーションBLL_20120114_生産数量まとめ" xfId="605" xr:uid="{00000000-0005-0000-0000-000059020000}"/>
    <cellStyle name="_二部二课新人作业员教育标准_生産計画シュミレーションBLL_12102011_案_生産計画シュミレーションBLL_20111025_生産計画シュミレーションBLL_20120114_生産計画シュミレーションBLL_20120221" xfId="606" xr:uid="{00000000-0005-0000-0000-00005A020000}"/>
    <cellStyle name="_二部二课新人作业员教育标准_生産計画シュミレーションBLL_12102011_案_生産計画シュミレーションBLL_20111026_3" xfId="607" xr:uid="{00000000-0005-0000-0000-00005B020000}"/>
    <cellStyle name="_二部二课新人作业员教育标准_生産計画シュミレーションBLL_12102011_案_生産計画シュミレーションBLL_20111026_3_生産計画シュミレーションBLL_20111223 De An (chua duoc dung)" xfId="608" xr:uid="{00000000-0005-0000-0000-00005C020000}"/>
    <cellStyle name="_二部二课新人作业员教育标准_生産計画シュミレーションBLL_12102011_案_生産計画シュミレーションBLL_20111026_3_生産計画シュミレーションBLL_20111223 De An (chua duoc dung)_生産数量まとめ" xfId="609" xr:uid="{00000000-0005-0000-0000-00005D020000}"/>
    <cellStyle name="_二部二课新人作业员教育标准_生産計画シュミレーションBLL_12102011_案_生産計画シュミレーションBLL_20111026_3_生産計画シュミレーションBLL_20111223 De An (chua duoc dung)_生産計画シュミレーションBLL_20120221" xfId="610" xr:uid="{00000000-0005-0000-0000-00005E020000}"/>
    <cellStyle name="_二部二课新人作业员教育标准_生産計画シュミレーションBLL_12102011_案_生産計画シュミレーションBLL_20111026_3_生産計画シュミレーションBLL_20120112" xfId="611" xr:uid="{00000000-0005-0000-0000-00005F020000}"/>
    <cellStyle name="_二部二课新人作业员教育标准_生産計画シュミレーションBLL_12102011_案_生産計画シュミレーションBLL_20111026_3_生産計画シュミレーションBLL_20120112_生産数量まとめ" xfId="612" xr:uid="{00000000-0005-0000-0000-000060020000}"/>
    <cellStyle name="_二部二课新人作业员教育标准_生産計画シュミレーションBLL_12102011_案_生産計画シュミレーションBLL_20111026_3_生産計画シュミレーションBLL_20120112_生産計画シュミレーションBLL_20120221" xfId="613" xr:uid="{00000000-0005-0000-0000-000061020000}"/>
    <cellStyle name="_二部二课新人作业员教育标准_生産計画シュミレーションBLL_12102011_案_生産計画シュミレーションBLL_20111026_3_生産計画シュミレーションBLL_20120114" xfId="614" xr:uid="{00000000-0005-0000-0000-000062020000}"/>
    <cellStyle name="_二部二课新人作业员教育标准_生産計画シュミレーションBLL_12102011_案_生産計画シュミレーションBLL_20111026_3_生産計画シュミレーションBLL_20120114_生産数量まとめ" xfId="615" xr:uid="{00000000-0005-0000-0000-000063020000}"/>
    <cellStyle name="_二部二课新人作业员教育标准_生産計画シュミレーションBLL_12102011_案_生産計画シュミレーションBLL_20111026_3_生産計画シュミレーションBLL_20120114_生産計画シュミレーションBLL_20120221" xfId="616" xr:uid="{00000000-0005-0000-0000-000064020000}"/>
    <cellStyle name="_二部二课新人作业员教育标准_生産計画シュミレーションBLL_12102011_案_生産計画シュミレーションBLL_20111212_1" xfId="617" xr:uid="{00000000-0005-0000-0000-000065020000}"/>
    <cellStyle name="_二部二课新人作业员教育标准_生産計画シュミレーションBLL_12102011_案_生産計画シュミレーションBLL_20111212_1_生産計画シュミレーションBLL_20111223 De An (chua duoc dung)" xfId="618" xr:uid="{00000000-0005-0000-0000-000066020000}"/>
    <cellStyle name="_二部二课新人作业员教育标准_生産計画シュミレーションBLL_12102011_案_生産計画シュミレーションBLL_20111212_1_生産計画シュミレーションBLL_20111223 De An (chua duoc dung)_生産数量まとめ" xfId="619" xr:uid="{00000000-0005-0000-0000-000067020000}"/>
    <cellStyle name="_二部二课新人作业员教育标准_生産計画シュミレーションBLL_12102011_案_生産計画シュミレーションBLL_20111212_1_生産計画シュミレーションBLL_20111223 De An (chua duoc dung)_生産計画シュミレーションBLL_20120221" xfId="620" xr:uid="{00000000-0005-0000-0000-000068020000}"/>
    <cellStyle name="_二部二课新人作业员教育标准_生産計画シュミレーションBLL_12102011_案_生産計画シュミレーションBLL_20111212_1_生産計画シュミレーションBLL_20120112" xfId="621" xr:uid="{00000000-0005-0000-0000-000069020000}"/>
    <cellStyle name="_二部二课新人作业员教育标准_生産計画シュミレーションBLL_12102011_案_生産計画シュミレーションBLL_20111212_1_生産計画シュミレーションBLL_20120112_生産数量まとめ" xfId="622" xr:uid="{00000000-0005-0000-0000-00006A020000}"/>
    <cellStyle name="_二部二课新人作业员教育标准_生産計画シュミレーションBLL_12102011_案_生産計画シュミレーションBLL_20111212_1_生産計画シュミレーションBLL_20120112_生産計画シュミレーションBLL_20120221" xfId="623" xr:uid="{00000000-0005-0000-0000-00006B020000}"/>
    <cellStyle name="_二部二课新人作业员教育标准_生産計画シュミレーションBLL_12102011_案_生産計画シュミレーションBLL_20111212_1_生産計画シュミレーションBLL_20120114" xfId="624" xr:uid="{00000000-0005-0000-0000-00006C020000}"/>
    <cellStyle name="_二部二课新人作业员教育标准_生産計画シュミレーションBLL_12102011_案_生産計画シュミレーションBLL_20111212_1_生産計画シュミレーションBLL_20120114_生産数量まとめ" xfId="625" xr:uid="{00000000-0005-0000-0000-00006D020000}"/>
    <cellStyle name="_二部二课新人作业员教育标准_生産計画シュミレーションBLL_12102011_案_生産計画シュミレーションBLL_20111212_1_生産計画シュミレーションBLL_20120114_生産計画シュミレーションBLL_20120221" xfId="626" xr:uid="{00000000-0005-0000-0000-00006E020000}"/>
    <cellStyle name="_二部二课新人作业员教育标准_生産計画シュミレーションBLL_12102011_案_生産計画シュミレーションBLL_20120221" xfId="627" xr:uid="{00000000-0005-0000-0000-00006F020000}"/>
    <cellStyle name="_二部二课新人作业员教育标准_生産計画シュミレーションBLL_20111026_2" xfId="628" xr:uid="{00000000-0005-0000-0000-000070020000}"/>
    <cellStyle name="_二部二课新人作业员教育标准_生産計画シュミレーションBLL_20111026_2_生産数量まとめ" xfId="629" xr:uid="{00000000-0005-0000-0000-000071020000}"/>
    <cellStyle name="_二部二课新人作业员教育标准_生産計画シュミレーションBLL_20111026_2_生産計画シュミレーションBLL_20111026_3" xfId="630" xr:uid="{00000000-0005-0000-0000-000072020000}"/>
    <cellStyle name="_二部二课新人作业员教育标准_生産計画シュミレーションBLL_20111026_2_生産計画シュミレーションBLL_20111026_3_生産計画シュミレーションBLL_20111223 De An (chua duoc dung)" xfId="631" xr:uid="{00000000-0005-0000-0000-000073020000}"/>
    <cellStyle name="_二部二课新人作业员教育标准_生産計画シュミレーションBLL_20111026_2_生産計画シュミレーションBLL_20111026_3_生産計画シュミレーションBLL_20111223 De An (chua duoc dung)_生産数量まとめ" xfId="632" xr:uid="{00000000-0005-0000-0000-000074020000}"/>
    <cellStyle name="_二部二课新人作业员教育标准_生産計画シュミレーションBLL_20111026_2_生産計画シュミレーションBLL_20111026_3_生産計画シュミレーションBLL_20111223 De An (chua duoc dung)_生産計画シュミレーションBLL_20120221" xfId="633" xr:uid="{00000000-0005-0000-0000-000075020000}"/>
    <cellStyle name="_二部二课新人作业员教育标准_生産計画シュミレーションBLL_20111026_2_生産計画シュミレーションBLL_20111026_3_生産計画シュミレーションBLL_20120112" xfId="634" xr:uid="{00000000-0005-0000-0000-000076020000}"/>
    <cellStyle name="_二部二课新人作业员教育标准_生産計画シュミレーションBLL_20111026_2_生産計画シュミレーションBLL_20111026_3_生産計画シュミレーションBLL_20120112_生産数量まとめ" xfId="635" xr:uid="{00000000-0005-0000-0000-000077020000}"/>
    <cellStyle name="_二部二课新人作业员教育标准_生産計画シュミレーションBLL_20111026_2_生産計画シュミレーションBLL_20111026_3_生産計画シュミレーションBLL_20120112_生産計画シュミレーションBLL_20120221" xfId="636" xr:uid="{00000000-0005-0000-0000-000078020000}"/>
    <cellStyle name="_二部二课新人作业员教育标准_生産計画シュミレーションBLL_20111026_2_生産計画シュミレーションBLL_20111026_3_生産計画シュミレーションBLL_20120114" xfId="637" xr:uid="{00000000-0005-0000-0000-000079020000}"/>
    <cellStyle name="_二部二课新人作业员教育标准_生産計画シュミレーションBLL_20111026_2_生産計画シュミレーションBLL_20111026_3_生産計画シュミレーションBLL_20120114_生産数量まとめ" xfId="638" xr:uid="{00000000-0005-0000-0000-00007A020000}"/>
    <cellStyle name="_二部二课新人作业员教育标准_生産計画シュミレーションBLL_20111026_2_生産計画シュミレーションBLL_20111026_3_生産計画シュミレーションBLL_20120114_生産計画シュミレーションBLL_20120221" xfId="639" xr:uid="{00000000-0005-0000-0000-00007B020000}"/>
    <cellStyle name="_二部二课新人作业员教育标准_生産計画シュミレーションBLL_20111026_2_生産計画シュミレーションBLL_20111212_1" xfId="640" xr:uid="{00000000-0005-0000-0000-00007C020000}"/>
    <cellStyle name="_二部二课新人作业员教育标准_生産計画シュミレーションBLL_20111026_2_生産計画シュミレーションBLL_20111212_1_生産計画シュミレーションBLL_20111223 De An (chua duoc dung)" xfId="641" xr:uid="{00000000-0005-0000-0000-00007D020000}"/>
    <cellStyle name="_二部二课新人作业员教育标准_生産計画シュミレーションBLL_20111026_2_生産計画シュミレーションBLL_20111212_1_生産計画シュミレーションBLL_20111223 De An (chua duoc dung)_生産数量まとめ" xfId="642" xr:uid="{00000000-0005-0000-0000-00007E020000}"/>
    <cellStyle name="_二部二课新人作业员教育标准_生産計画シュミレーションBLL_20111026_2_生産計画シュミレーションBLL_20111212_1_生産計画シュミレーションBLL_20111223 De An (chua duoc dung)_生産計画シュミレーションBLL_20120221" xfId="643" xr:uid="{00000000-0005-0000-0000-00007F020000}"/>
    <cellStyle name="_二部二课新人作业员教育标准_生産計画シュミレーションBLL_20111026_2_生産計画シュミレーションBLL_20111212_1_生産計画シュミレーションBLL_20120112" xfId="644" xr:uid="{00000000-0005-0000-0000-000080020000}"/>
    <cellStyle name="_二部二课新人作业员教育标准_生産計画シュミレーションBLL_20111026_2_生産計画シュミレーションBLL_20111212_1_生産計画シュミレーションBLL_20120112_生産数量まとめ" xfId="645" xr:uid="{00000000-0005-0000-0000-000081020000}"/>
    <cellStyle name="_二部二课新人作业员教育标准_生産計画シュミレーションBLL_20111026_2_生産計画シュミレーションBLL_20111212_1_生産計画シュミレーションBLL_20120112_生産計画シュミレーションBLL_20120221" xfId="646" xr:uid="{00000000-0005-0000-0000-000082020000}"/>
    <cellStyle name="_二部二课新人作业员教育标准_生産計画シュミレーションBLL_20111026_2_生産計画シュミレーションBLL_20111212_1_生産計画シュミレーションBLL_20120114" xfId="647" xr:uid="{00000000-0005-0000-0000-000083020000}"/>
    <cellStyle name="_二部二课新人作业员教育标准_生産計画シュミレーションBLL_20111026_2_生産計画シュミレーションBLL_20111212_1_生産計画シュミレーションBLL_20120114_生産数量まとめ" xfId="648" xr:uid="{00000000-0005-0000-0000-000084020000}"/>
    <cellStyle name="_二部二课新人作业员教育标准_生産計画シュミレーションBLL_20111026_2_生産計画シュミレーションBLL_20111212_1_生産計画シュミレーションBLL_20120114_生産計画シュミレーションBLL_20120221" xfId="649" xr:uid="{00000000-0005-0000-0000-000085020000}"/>
    <cellStyle name="_二部二课新人作业员教育标准_生産計画シュミレーションBLL_20111026_2_生産計画シュミレーションBLL_20120221" xfId="650" xr:uid="{00000000-0005-0000-0000-000086020000}"/>
    <cellStyle name="_二部二课新人作业员教育标准_生産計画シュミレーションBLL_20111223 De An (chua duoc dung)" xfId="651" xr:uid="{00000000-0005-0000-0000-000087020000}"/>
    <cellStyle name="_二部二课新人作业员教育标准_生産計画シュミレーションBLL_20111223 De An (chua duoc dung)_生産数量まとめ" xfId="652" xr:uid="{00000000-0005-0000-0000-000088020000}"/>
    <cellStyle name="_二部二课新人作业员教育标准_生産計画シュミレーションBLL_20111223 De An (chua duoc dung)_生産計画シュミレーションBLL_20120221" xfId="653" xr:uid="{00000000-0005-0000-0000-000089020000}"/>
    <cellStyle name="_二部二课新人作业员教育标准_生産計画シュミレーションBLL_20120112" xfId="654" xr:uid="{00000000-0005-0000-0000-00008A020000}"/>
    <cellStyle name="_二部二课新人作业员教育标准_生産計画シュミレーションBLL_20120112_生産数量まとめ" xfId="655" xr:uid="{00000000-0005-0000-0000-00008B020000}"/>
    <cellStyle name="_二部二课新人作业员教育标准_生産計画シュミレーションBLL_20120112_生産計画シュミレーションBLL_20120221" xfId="656" xr:uid="{00000000-0005-0000-0000-00008C020000}"/>
    <cellStyle name="_二部二课新人作业员教育标准_生産計画シュミレーションBLL_20120114" xfId="657" xr:uid="{00000000-0005-0000-0000-00008D020000}"/>
    <cellStyle name="_二部二课新人作业员教育标准_生産計画シュミレーションBLL_20120114_生産数量まとめ" xfId="658" xr:uid="{00000000-0005-0000-0000-00008E020000}"/>
    <cellStyle name="_二部二课新人作业员教育标准_生産計画シュミレーションBLL_20120114_生産計画シュミレーションBLL_20120221" xfId="659" xr:uid="{00000000-0005-0000-0000-00008F020000}"/>
    <cellStyle name="_代表機種" xfId="660" xr:uid="{00000000-0005-0000-0000-000090020000}"/>
    <cellStyle name="20% - Ênfase1" xfId="661" xr:uid="{00000000-0005-0000-0000-000091020000}"/>
    <cellStyle name="20% - Ênfase2" xfId="662" xr:uid="{00000000-0005-0000-0000-000092020000}"/>
    <cellStyle name="20% - Ênfase3" xfId="663" xr:uid="{00000000-0005-0000-0000-000093020000}"/>
    <cellStyle name="20% - Ênfase4" xfId="664" xr:uid="{00000000-0005-0000-0000-000094020000}"/>
    <cellStyle name="20% - Ênfase5" xfId="665" xr:uid="{00000000-0005-0000-0000-000095020000}"/>
    <cellStyle name="20% - Ênfase6" xfId="666" xr:uid="{00000000-0005-0000-0000-000096020000}"/>
    <cellStyle name="20% - Énfasis1" xfId="667" xr:uid="{00000000-0005-0000-0000-000097020000}"/>
    <cellStyle name="20% - Énfasis2" xfId="668" xr:uid="{00000000-0005-0000-0000-000098020000}"/>
    <cellStyle name="20% - Énfasis3" xfId="669" xr:uid="{00000000-0005-0000-0000-000099020000}"/>
    <cellStyle name="20% - Énfasis4" xfId="670" xr:uid="{00000000-0005-0000-0000-00009A020000}"/>
    <cellStyle name="20% - Énfasis5" xfId="671" xr:uid="{00000000-0005-0000-0000-00009B020000}"/>
    <cellStyle name="20% - Énfasis6" xfId="672" xr:uid="{00000000-0005-0000-0000-00009C020000}"/>
    <cellStyle name="3232" xfId="673" xr:uid="{00000000-0005-0000-0000-00009D020000}"/>
    <cellStyle name="40% - Ênfase1" xfId="674" xr:uid="{00000000-0005-0000-0000-00009E020000}"/>
    <cellStyle name="40% - Ênfase2" xfId="675" xr:uid="{00000000-0005-0000-0000-00009F020000}"/>
    <cellStyle name="40% - Ênfase3" xfId="676" xr:uid="{00000000-0005-0000-0000-0000A0020000}"/>
    <cellStyle name="40% - Ênfase4" xfId="677" xr:uid="{00000000-0005-0000-0000-0000A1020000}"/>
    <cellStyle name="40% - Ênfase5" xfId="678" xr:uid="{00000000-0005-0000-0000-0000A2020000}"/>
    <cellStyle name="40% - Ênfase6" xfId="679" xr:uid="{00000000-0005-0000-0000-0000A3020000}"/>
    <cellStyle name="40% - Énfasis1" xfId="680" xr:uid="{00000000-0005-0000-0000-0000A4020000}"/>
    <cellStyle name="40% - Énfasis2" xfId="681" xr:uid="{00000000-0005-0000-0000-0000A5020000}"/>
    <cellStyle name="40% - Énfasis3" xfId="682" xr:uid="{00000000-0005-0000-0000-0000A6020000}"/>
    <cellStyle name="40% - Énfasis4" xfId="683" xr:uid="{00000000-0005-0000-0000-0000A7020000}"/>
    <cellStyle name="40% - Énfasis5" xfId="684" xr:uid="{00000000-0005-0000-0000-0000A8020000}"/>
    <cellStyle name="40% - Énfasis6" xfId="685" xr:uid="{00000000-0005-0000-0000-0000A9020000}"/>
    <cellStyle name="60% - Ênfase1" xfId="686" xr:uid="{00000000-0005-0000-0000-0000AA020000}"/>
    <cellStyle name="60% - Ênfase2" xfId="687" xr:uid="{00000000-0005-0000-0000-0000AB020000}"/>
    <cellStyle name="60% - Ênfase3" xfId="688" xr:uid="{00000000-0005-0000-0000-0000AC020000}"/>
    <cellStyle name="60% - Ênfase4" xfId="689" xr:uid="{00000000-0005-0000-0000-0000AD020000}"/>
    <cellStyle name="60% - Ênfase5" xfId="690" xr:uid="{00000000-0005-0000-0000-0000AE020000}"/>
    <cellStyle name="60% - Ênfase6" xfId="691" xr:uid="{00000000-0005-0000-0000-0000AF020000}"/>
    <cellStyle name="60% - Énfasis1" xfId="692" xr:uid="{00000000-0005-0000-0000-0000B0020000}"/>
    <cellStyle name="60% - Énfasis2" xfId="693" xr:uid="{00000000-0005-0000-0000-0000B1020000}"/>
    <cellStyle name="60% - Énfasis3" xfId="694" xr:uid="{00000000-0005-0000-0000-0000B2020000}"/>
    <cellStyle name="60% - Énfasis4" xfId="695" xr:uid="{00000000-0005-0000-0000-0000B3020000}"/>
    <cellStyle name="60% - Énfasis5" xfId="696" xr:uid="{00000000-0005-0000-0000-0000B4020000}"/>
    <cellStyle name="60% - Énfasis6" xfId="697" xr:uid="{00000000-0005-0000-0000-0000B5020000}"/>
    <cellStyle name="Bom" xfId="698" xr:uid="{00000000-0005-0000-0000-0000B6020000}"/>
    <cellStyle name="Buena" xfId="699" xr:uid="{00000000-0005-0000-0000-0000B7020000}"/>
    <cellStyle name="Calculation-" xfId="700" xr:uid="{00000000-0005-0000-0000-0000B8020000}"/>
    <cellStyle name="Calculation2.1" xfId="701" xr:uid="{00000000-0005-0000-0000-0000B9020000}"/>
    <cellStyle name="Calculation2.2" xfId="702" xr:uid="{00000000-0005-0000-0000-0000BA020000}"/>
    <cellStyle name="Cálculo" xfId="703" xr:uid="{00000000-0005-0000-0000-0000BB020000}"/>
    <cellStyle name="Celda de comprobación" xfId="704" xr:uid="{00000000-0005-0000-0000-0000BC020000}"/>
    <cellStyle name="Celda vinculada" xfId="705" xr:uid="{00000000-0005-0000-0000-0000BD020000}"/>
    <cellStyle name="Célula de Verificação" xfId="706" xr:uid="{00000000-0005-0000-0000-0000BE020000}"/>
    <cellStyle name="Célula Vinculada" xfId="707" xr:uid="{00000000-0005-0000-0000-0000BF020000}"/>
    <cellStyle name="Centered Heading" xfId="708" xr:uid="{00000000-0005-0000-0000-0000C0020000}"/>
    <cellStyle name="CharacterInput" xfId="709" xr:uid="{00000000-0005-0000-0000-0000C1020000}"/>
    <cellStyle name="CharacterInput 2" xfId="710" xr:uid="{00000000-0005-0000-0000-0000C2020000}"/>
    <cellStyle name="Comma [0] 2" xfId="2" xr:uid="{00000000-0005-0000-0000-0000C3020000}"/>
    <cellStyle name="Comma 2" xfId="711" xr:uid="{00000000-0005-0000-0000-0000C4020000}"/>
    <cellStyle name="Comma 2 2" xfId="712" xr:uid="{00000000-0005-0000-0000-0000C5020000}"/>
    <cellStyle name="Comma 3" xfId="3" xr:uid="{00000000-0005-0000-0000-0000C6020000}"/>
    <cellStyle name="Comma 4" xfId="713" xr:uid="{00000000-0005-0000-0000-0000C7020000}"/>
    <cellStyle name="Comma 8" xfId="714" xr:uid="{00000000-0005-0000-0000-0000C8020000}"/>
    <cellStyle name="comment" xfId="715" xr:uid="{00000000-0005-0000-0000-0000C9020000}"/>
    <cellStyle name="Company Name" xfId="716" xr:uid="{00000000-0005-0000-0000-0000CA020000}"/>
    <cellStyle name="Currency 2" xfId="717" xr:uid="{00000000-0005-0000-0000-0000CB020000}"/>
    <cellStyle name="Currency 3" xfId="718" xr:uid="{00000000-0005-0000-0000-0000CC020000}"/>
    <cellStyle name="Currency 4" xfId="719" xr:uid="{00000000-0005-0000-0000-0000CD020000}"/>
    <cellStyle name="Currency 4 2" xfId="720" xr:uid="{00000000-0005-0000-0000-0000CE020000}"/>
    <cellStyle name="Currency 5" xfId="721" xr:uid="{00000000-0005-0000-0000-0000CF020000}"/>
    <cellStyle name="DateOfIssue" xfId="722" xr:uid="{00000000-0005-0000-0000-0000D0020000}"/>
    <cellStyle name="DELTA" xfId="723" xr:uid="{00000000-0005-0000-0000-0000D1020000}"/>
    <cellStyle name="Encabezado 4" xfId="724" xr:uid="{00000000-0005-0000-0000-0000D2020000}"/>
    <cellStyle name="Ênfase1" xfId="725" xr:uid="{00000000-0005-0000-0000-0000D3020000}"/>
    <cellStyle name="Ênfase2" xfId="726" xr:uid="{00000000-0005-0000-0000-0000D4020000}"/>
    <cellStyle name="Ênfase3" xfId="727" xr:uid="{00000000-0005-0000-0000-0000D5020000}"/>
    <cellStyle name="Ênfase4" xfId="728" xr:uid="{00000000-0005-0000-0000-0000D6020000}"/>
    <cellStyle name="Ênfase5" xfId="729" xr:uid="{00000000-0005-0000-0000-0000D7020000}"/>
    <cellStyle name="Ênfase6" xfId="730" xr:uid="{00000000-0005-0000-0000-0000D8020000}"/>
    <cellStyle name="Énfasis1" xfId="731" xr:uid="{00000000-0005-0000-0000-0000D9020000}"/>
    <cellStyle name="Énfasis2" xfId="732" xr:uid="{00000000-0005-0000-0000-0000DA020000}"/>
    <cellStyle name="Énfasis3" xfId="733" xr:uid="{00000000-0005-0000-0000-0000DB020000}"/>
    <cellStyle name="Énfasis4" xfId="734" xr:uid="{00000000-0005-0000-0000-0000DC020000}"/>
    <cellStyle name="Énfasis5" xfId="735" xr:uid="{00000000-0005-0000-0000-0000DD020000}"/>
    <cellStyle name="Énfasis6" xfId="736" xr:uid="{00000000-0005-0000-0000-0000DE020000}"/>
    <cellStyle name="Entrada" xfId="737" xr:uid="{00000000-0005-0000-0000-0000DF020000}"/>
    <cellStyle name="err" xfId="738" xr:uid="{00000000-0005-0000-0000-0000E0020000}"/>
    <cellStyle name="Euro" xfId="739" xr:uid="{00000000-0005-0000-0000-0000E1020000}"/>
    <cellStyle name="Header1" xfId="740" xr:uid="{00000000-0005-0000-0000-0000E2020000}"/>
    <cellStyle name="Header2" xfId="741" xr:uid="{00000000-0005-0000-0000-0000E3020000}"/>
    <cellStyle name="Heading No Underline" xfId="742" xr:uid="{00000000-0005-0000-0000-0000E4020000}"/>
    <cellStyle name="Heading With Underline" xfId="743" xr:uid="{00000000-0005-0000-0000-0000E5020000}"/>
    <cellStyle name="Incorrecto" xfId="744" xr:uid="{00000000-0005-0000-0000-0000E6020000}"/>
    <cellStyle name="Incorreto" xfId="745" xr:uid="{00000000-0005-0000-0000-0000E7020000}"/>
    <cellStyle name="LookupTitle" xfId="746" xr:uid="{00000000-0005-0000-0000-0000E8020000}"/>
    <cellStyle name="MenuTitle" xfId="747" xr:uid="{00000000-0005-0000-0000-0000E9020000}"/>
    <cellStyle name="Moneda_2009 product p&amp;l by engine" xfId="748" xr:uid="{00000000-0005-0000-0000-0000EA020000}"/>
    <cellStyle name="Neutra" xfId="749" xr:uid="{00000000-0005-0000-0000-0000EB020000}"/>
    <cellStyle name="Normal" xfId="0" builtinId="0"/>
    <cellStyle name="Normal - Style1" xfId="750" xr:uid="{00000000-0005-0000-0000-0000ED020000}"/>
    <cellStyle name="Normal - スタイル1" xfId="751" xr:uid="{00000000-0005-0000-0000-0000EE020000}"/>
    <cellStyle name="Normal - スタイル2" xfId="752" xr:uid="{00000000-0005-0000-0000-0000EF020000}"/>
    <cellStyle name="Normal - スタイル3" xfId="753" xr:uid="{00000000-0005-0000-0000-0000F0020000}"/>
    <cellStyle name="Normal - スタイル4" xfId="754" xr:uid="{00000000-0005-0000-0000-0000F1020000}"/>
    <cellStyle name="Normal - スタイル5" xfId="755" xr:uid="{00000000-0005-0000-0000-0000F2020000}"/>
    <cellStyle name="Normal - スタイル6" xfId="756" xr:uid="{00000000-0005-0000-0000-0000F3020000}"/>
    <cellStyle name="Normal - スタイル7" xfId="757" xr:uid="{00000000-0005-0000-0000-0000F4020000}"/>
    <cellStyle name="Normal - スタイル8" xfId="758" xr:uid="{00000000-0005-0000-0000-0000F5020000}"/>
    <cellStyle name="Normal 2" xfId="759" xr:uid="{00000000-0005-0000-0000-0000F6020000}"/>
    <cellStyle name="Normal 2 2" xfId="760" xr:uid="{00000000-0005-0000-0000-0000F7020000}"/>
    <cellStyle name="Normal 3" xfId="1" xr:uid="{00000000-0005-0000-0000-0000F8020000}"/>
    <cellStyle name="Normal 4" xfId="761" xr:uid="{00000000-0005-0000-0000-0000F9020000}"/>
    <cellStyle name="Normal 5" xfId="762" xr:uid="{00000000-0005-0000-0000-0000FA020000}"/>
    <cellStyle name="Normal 6" xfId="763" xr:uid="{00000000-0005-0000-0000-0000FB020000}"/>
    <cellStyle name="Normal 7" xfId="764" xr:uid="{00000000-0005-0000-0000-0000FC020000}"/>
    <cellStyle name="Normal 8" xfId="765" xr:uid="{00000000-0005-0000-0000-0000FD020000}"/>
    <cellStyle name="Nota" xfId="766" xr:uid="{00000000-0005-0000-0000-0000FE020000}"/>
    <cellStyle name="Notas" xfId="767" xr:uid="{00000000-0005-0000-0000-0000FF020000}"/>
    <cellStyle name="Number" xfId="768" xr:uid="{00000000-0005-0000-0000-000000030000}"/>
    <cellStyle name="NumberInput" xfId="769" xr:uid="{00000000-0005-0000-0000-000001030000}"/>
    <cellStyle name="NumberInput1.4" xfId="770" xr:uid="{00000000-0005-0000-0000-000002030000}"/>
    <cellStyle name="NumberInput2.2" xfId="771" xr:uid="{00000000-0005-0000-0000-000003030000}"/>
    <cellStyle name="parentesis" xfId="772" xr:uid="{00000000-0005-0000-0000-000004030000}"/>
    <cellStyle name="Percent 2" xfId="773" xr:uid="{00000000-0005-0000-0000-000005030000}"/>
    <cellStyle name="Percent 3" xfId="774" xr:uid="{00000000-0005-0000-0000-000006030000}"/>
    <cellStyle name="Saída" xfId="775" xr:uid="{00000000-0005-0000-0000-000007030000}"/>
    <cellStyle name="Salida" xfId="776" xr:uid="{00000000-0005-0000-0000-000008030000}"/>
    <cellStyle name="SAPBEXaggData" xfId="777" xr:uid="{00000000-0005-0000-0000-000009030000}"/>
    <cellStyle name="SAPBEXaggData 2" xfId="778" xr:uid="{00000000-0005-0000-0000-00000A030000}"/>
    <cellStyle name="SAPBEXaggDataEmph" xfId="779" xr:uid="{00000000-0005-0000-0000-00000B030000}"/>
    <cellStyle name="SAPBEXaggItem" xfId="780" xr:uid="{00000000-0005-0000-0000-00000C030000}"/>
    <cellStyle name="SAPBEXaggItem 2" xfId="781" xr:uid="{00000000-0005-0000-0000-00000D030000}"/>
    <cellStyle name="SAPBEXaggItem_DB" xfId="782" xr:uid="{00000000-0005-0000-0000-00000E030000}"/>
    <cellStyle name="SAPBEXaggItemX" xfId="783" xr:uid="{00000000-0005-0000-0000-00000F030000}"/>
    <cellStyle name="SAPBEXchaText" xfId="784" xr:uid="{00000000-0005-0000-0000-000010030000}"/>
    <cellStyle name="SAPBEXchaText 2" xfId="785" xr:uid="{00000000-0005-0000-0000-000011030000}"/>
    <cellStyle name="SAPBEXchaText_DB" xfId="786" xr:uid="{00000000-0005-0000-0000-000012030000}"/>
    <cellStyle name="SAPBEXexcBad7" xfId="787" xr:uid="{00000000-0005-0000-0000-000013030000}"/>
    <cellStyle name="SAPBEXexcBad8" xfId="788" xr:uid="{00000000-0005-0000-0000-000014030000}"/>
    <cellStyle name="SAPBEXexcBad9" xfId="789" xr:uid="{00000000-0005-0000-0000-000015030000}"/>
    <cellStyle name="SAPBEXexcCritical4" xfId="790" xr:uid="{00000000-0005-0000-0000-000016030000}"/>
    <cellStyle name="SAPBEXexcCritical5" xfId="791" xr:uid="{00000000-0005-0000-0000-000017030000}"/>
    <cellStyle name="SAPBEXexcCritical6" xfId="792" xr:uid="{00000000-0005-0000-0000-000018030000}"/>
    <cellStyle name="SAPBEXexcGood1" xfId="793" xr:uid="{00000000-0005-0000-0000-000019030000}"/>
    <cellStyle name="SAPBEXexcGood2" xfId="794" xr:uid="{00000000-0005-0000-0000-00001A030000}"/>
    <cellStyle name="SAPBEXexcGood3" xfId="795" xr:uid="{00000000-0005-0000-0000-00001B030000}"/>
    <cellStyle name="SAPBEXfilterDrill" xfId="796" xr:uid="{00000000-0005-0000-0000-00001C030000}"/>
    <cellStyle name="SAPBEXfilterDrill 2" xfId="797" xr:uid="{00000000-0005-0000-0000-00001D030000}"/>
    <cellStyle name="SAPBEXfilterDrill_DB" xfId="798" xr:uid="{00000000-0005-0000-0000-00001E030000}"/>
    <cellStyle name="SAPBEXfilterItem" xfId="799" xr:uid="{00000000-0005-0000-0000-00001F030000}"/>
    <cellStyle name="SAPBEXfilterItem 2" xfId="800" xr:uid="{00000000-0005-0000-0000-000020030000}"/>
    <cellStyle name="SAPBEXfilterItem_DB" xfId="801" xr:uid="{00000000-0005-0000-0000-000021030000}"/>
    <cellStyle name="SAPBEXfilterText" xfId="802" xr:uid="{00000000-0005-0000-0000-000022030000}"/>
    <cellStyle name="SAPBEXformats" xfId="803" xr:uid="{00000000-0005-0000-0000-000023030000}"/>
    <cellStyle name="SAPBEXformats 2" xfId="804" xr:uid="{00000000-0005-0000-0000-000024030000}"/>
    <cellStyle name="SAPBEXformats_YEAR-END" xfId="805" xr:uid="{00000000-0005-0000-0000-000025030000}"/>
    <cellStyle name="SAPBEXheaderItem" xfId="806" xr:uid="{00000000-0005-0000-0000-000026030000}"/>
    <cellStyle name="SAPBEXheaderItem 2" xfId="807" xr:uid="{00000000-0005-0000-0000-000027030000}"/>
    <cellStyle name="SAPBEXheaderItem_DB" xfId="808" xr:uid="{00000000-0005-0000-0000-000028030000}"/>
    <cellStyle name="SAPBEXheaderText" xfId="809" xr:uid="{00000000-0005-0000-0000-000029030000}"/>
    <cellStyle name="SAPBEXheaderText 2" xfId="810" xr:uid="{00000000-0005-0000-0000-00002A030000}"/>
    <cellStyle name="SAPBEXheaderText_DB" xfId="811" xr:uid="{00000000-0005-0000-0000-00002B030000}"/>
    <cellStyle name="SAPBEXHLevel0" xfId="812" xr:uid="{00000000-0005-0000-0000-00002C030000}"/>
    <cellStyle name="SAPBEXHLevel0X" xfId="813" xr:uid="{00000000-0005-0000-0000-00002D030000}"/>
    <cellStyle name="SAPBEXHLevel1" xfId="814" xr:uid="{00000000-0005-0000-0000-00002E030000}"/>
    <cellStyle name="SAPBEXHLevel1X" xfId="815" xr:uid="{00000000-0005-0000-0000-00002F030000}"/>
    <cellStyle name="SAPBEXHLevel2" xfId="816" xr:uid="{00000000-0005-0000-0000-000030030000}"/>
    <cellStyle name="SAPBEXHLevel2X" xfId="817" xr:uid="{00000000-0005-0000-0000-000031030000}"/>
    <cellStyle name="SAPBEXHLevel3" xfId="818" xr:uid="{00000000-0005-0000-0000-000032030000}"/>
    <cellStyle name="SAPBEXHLevel3X" xfId="819" xr:uid="{00000000-0005-0000-0000-000033030000}"/>
    <cellStyle name="SAPBEXresData" xfId="820" xr:uid="{00000000-0005-0000-0000-000034030000}"/>
    <cellStyle name="SAPBEXresDataEmph" xfId="821" xr:uid="{00000000-0005-0000-0000-000035030000}"/>
    <cellStyle name="SAPBEXresItem" xfId="822" xr:uid="{00000000-0005-0000-0000-000036030000}"/>
    <cellStyle name="SAPBEXresItemX" xfId="823" xr:uid="{00000000-0005-0000-0000-000037030000}"/>
    <cellStyle name="SAPBEXstdData" xfId="824" xr:uid="{00000000-0005-0000-0000-000038030000}"/>
    <cellStyle name="SAPBEXstdData 2" xfId="825" xr:uid="{00000000-0005-0000-0000-000039030000}"/>
    <cellStyle name="SAPBEXstdDataEmph" xfId="826" xr:uid="{00000000-0005-0000-0000-00003A030000}"/>
    <cellStyle name="SAPBEXstdItem" xfId="827" xr:uid="{00000000-0005-0000-0000-00003B030000}"/>
    <cellStyle name="SAPBEXstdItem 2" xfId="828" xr:uid="{00000000-0005-0000-0000-00003C030000}"/>
    <cellStyle name="SAPBEXstdItem 3" xfId="829" xr:uid="{00000000-0005-0000-0000-00003D030000}"/>
    <cellStyle name="SAPBEXstdItem_Sales Track 2008 (SOP208 Preliminary-1)_1.07" xfId="830" xr:uid="{00000000-0005-0000-0000-00003E030000}"/>
    <cellStyle name="SAPBEXstdItemX" xfId="831" xr:uid="{00000000-0005-0000-0000-00003F030000}"/>
    <cellStyle name="SAPBEXstdItemX 2" xfId="832" xr:uid="{00000000-0005-0000-0000-000040030000}"/>
    <cellStyle name="SAPBEXstdItemX_DB" xfId="833" xr:uid="{00000000-0005-0000-0000-000041030000}"/>
    <cellStyle name="SAPBEXtitle" xfId="834" xr:uid="{00000000-0005-0000-0000-000042030000}"/>
    <cellStyle name="SAPBEXtitle 2" xfId="835" xr:uid="{00000000-0005-0000-0000-000043030000}"/>
    <cellStyle name="SAPBEXundefined" xfId="836" xr:uid="{00000000-0005-0000-0000-000044030000}"/>
    <cellStyle name="SEM-BPS-data" xfId="837" xr:uid="{00000000-0005-0000-0000-000045030000}"/>
    <cellStyle name="SEM-BPS-head" xfId="838" xr:uid="{00000000-0005-0000-0000-000046030000}"/>
    <cellStyle name="SEM-BPS-headdata" xfId="839" xr:uid="{00000000-0005-0000-0000-000047030000}"/>
    <cellStyle name="SEM-BPS-headkey" xfId="840" xr:uid="{00000000-0005-0000-0000-000048030000}"/>
    <cellStyle name="SEM-BPS-input-on" xfId="841" xr:uid="{00000000-0005-0000-0000-000049030000}"/>
    <cellStyle name="SEM-BPS-key" xfId="842" xr:uid="{00000000-0005-0000-0000-00004A030000}"/>
    <cellStyle name="SEM-BPS-sub1" xfId="843" xr:uid="{00000000-0005-0000-0000-00004B030000}"/>
    <cellStyle name="SEM-BPS-sub2" xfId="844" xr:uid="{00000000-0005-0000-0000-00004C030000}"/>
    <cellStyle name="SEM-BPS-total" xfId="845" xr:uid="{00000000-0005-0000-0000-00004D030000}"/>
    <cellStyle name="Separador de milhares 2" xfId="846" xr:uid="{00000000-0005-0000-0000-00004E030000}"/>
    <cellStyle name="Style 1" xfId="847" xr:uid="{00000000-0005-0000-0000-00004F030000}"/>
    <cellStyle name="Texto de advertencia" xfId="848" xr:uid="{00000000-0005-0000-0000-000050030000}"/>
    <cellStyle name="Texto de Aviso" xfId="849" xr:uid="{00000000-0005-0000-0000-000051030000}"/>
    <cellStyle name="Texto explicativo" xfId="850" xr:uid="{00000000-0005-0000-0000-000052030000}"/>
    <cellStyle name="Título" xfId="851" xr:uid="{00000000-0005-0000-0000-000053030000}"/>
    <cellStyle name="Título 1" xfId="852" xr:uid="{00000000-0005-0000-0000-000054030000}"/>
    <cellStyle name="Título 2" xfId="853" xr:uid="{00000000-0005-0000-0000-000055030000}"/>
    <cellStyle name="Título 3" xfId="854" xr:uid="{00000000-0005-0000-0000-000056030000}"/>
    <cellStyle name="Título 4" xfId="855" xr:uid="{00000000-0005-0000-0000-000057030000}"/>
    <cellStyle name="True0False1" xfId="856" xr:uid="{00000000-0005-0000-0000-000058030000}"/>
    <cellStyle name="パーセント()" xfId="857" xr:uid="{00000000-0005-0000-0000-000059030000}"/>
    <cellStyle name="パーセント(0.00)" xfId="858" xr:uid="{00000000-0005-0000-0000-00005A030000}"/>
    <cellStyle name="パーセント[0.00]" xfId="859" xr:uid="{00000000-0005-0000-0000-00005B030000}"/>
    <cellStyle name="_laroux" xfId="860" xr:uid="{00000000-0005-0000-0000-00005C030000}"/>
    <cellStyle name="千位[0]_laroux" xfId="861" xr:uid="{00000000-0005-0000-0000-00005D030000}"/>
    <cellStyle name="千位_laroux" xfId="862" xr:uid="{00000000-0005-0000-0000-00005E030000}"/>
    <cellStyle name="千位分隔[0]_总能率标准格式" xfId="863" xr:uid="{00000000-0005-0000-0000-00005F030000}"/>
    <cellStyle name="常规_001～10" xfId="864" xr:uid="{00000000-0005-0000-0000-000060030000}"/>
    <cellStyle name="折り返し" xfId="865" xr:uid="{00000000-0005-0000-0000-000061030000}"/>
    <cellStyle name="桁区切り [0.00]_OFFICE SUPPLY REQUEST_Ver1 00" xfId="866" xr:uid="{00000000-0005-0000-0000-000062030000}"/>
    <cellStyle name="標準_OFFICE SUPPLY REQUEST_Ver1 00" xfId="867" xr:uid="{00000000-0005-0000-0000-000063030000}"/>
    <cellStyle name="見出し１" xfId="868" xr:uid="{00000000-0005-0000-0000-000064030000}"/>
    <cellStyle name="超链接_ALL-FB量試問題点管理" xfId="869" xr:uid="{00000000-0005-0000-0000-000065030000}"/>
  </cellStyles>
  <dxfs count="0"/>
  <tableStyles count="0" defaultTableStyle="TableStyleMedium9" defaultPivotStyle="PivotStyleLight16"/>
  <colors>
    <mruColors>
      <color rgb="FFFFFF99"/>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33618</xdr:colOff>
      <xdr:row>2</xdr:row>
      <xdr:rowOff>1</xdr:rowOff>
    </xdr:from>
    <xdr:to>
      <xdr:col>1</xdr:col>
      <xdr:colOff>750093</xdr:colOff>
      <xdr:row>2</xdr:row>
      <xdr:rowOff>419661</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3618" y="1333501"/>
          <a:ext cx="1311788" cy="419660"/>
        </a:xfrm>
        <a:prstGeom prst="rect">
          <a:avLst/>
        </a:prstGeom>
        <a:noFill/>
        <a:ln w="9525">
          <a:noFill/>
          <a:miter lim="800000"/>
          <a:headEnd/>
          <a:tailEnd/>
        </a:ln>
      </xdr:spPr>
      <xdr:txBody>
        <a:bodyPr vertOverflow="clip" wrap="square" lIns="36576" tIns="36576" rIns="0" bIns="0" anchor="t" upright="1"/>
        <a:lstStyle/>
        <a:p>
          <a:pPr algn="l" rtl="0">
            <a:defRPr sz="1000"/>
          </a:pPr>
          <a:r>
            <a:rPr lang="en-US" sz="2400" b="0" i="0" strike="noStrike">
              <a:solidFill>
                <a:srgbClr val="000000"/>
              </a:solidFill>
              <a:latin typeface="Times New Roman"/>
              <a:cs typeface="Times New Roman"/>
            </a:rPr>
            <a:t>Ver: 1.07</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70"/>
  <sheetViews>
    <sheetView tabSelected="1" view="pageBreakPreview" topLeftCell="A12" zoomScale="85" zoomScaleNormal="100" zoomScaleSheetLayoutView="85" workbookViewId="0">
      <selection activeCell="C20" sqref="C20:D20"/>
    </sheetView>
  </sheetViews>
  <sheetFormatPr defaultRowHeight="15.5"/>
  <cols>
    <col min="1" max="1" width="8.81640625" style="30" customWidth="1"/>
    <col min="2" max="2" width="23.54296875" style="30" customWidth="1"/>
    <col min="3" max="3" width="26.7265625" style="30" customWidth="1"/>
    <col min="4" max="4" width="22.81640625" style="30" customWidth="1"/>
    <col min="5" max="5" width="29.54296875" style="30" customWidth="1"/>
    <col min="6" max="6" width="26.54296875" style="30" customWidth="1"/>
    <col min="7" max="7" width="31.81640625" style="30" customWidth="1"/>
    <col min="8" max="8" width="14.54296875" style="30" customWidth="1"/>
    <col min="9" max="9" width="11.453125" style="30" customWidth="1"/>
    <col min="10" max="10" width="15.7265625" style="30" customWidth="1"/>
    <col min="11" max="11" width="14.26953125" style="30" bestFit="1" customWidth="1"/>
    <col min="12" max="12" width="17.453125" style="30" customWidth="1"/>
    <col min="13" max="14" width="14.453125" style="30" customWidth="1"/>
    <col min="15" max="15" width="24.453125" style="72" customWidth="1"/>
    <col min="16" max="16" width="8.54296875" style="30" bestFit="1" customWidth="1"/>
    <col min="17" max="18" width="9.1796875" style="30"/>
    <col min="19" max="19" width="18.453125" style="30" bestFit="1" customWidth="1"/>
    <col min="20" max="20" width="24.81640625" style="30" customWidth="1"/>
    <col min="21" max="21" width="25.54296875" style="30" bestFit="1" customWidth="1"/>
    <col min="22" max="22" width="29.453125" style="30" bestFit="1" customWidth="1"/>
    <col min="23" max="23" width="9.1796875" style="30"/>
    <col min="24" max="24" width="7.26953125" style="31" customWidth="1"/>
    <col min="25" max="25" width="32.26953125" style="30" customWidth="1"/>
    <col min="26" max="26" width="47" style="30" bestFit="1" customWidth="1"/>
    <col min="27" max="27" width="16.7265625" style="30" customWidth="1"/>
    <col min="28" max="257" width="9.1796875" style="30"/>
    <col min="258" max="258" width="8.81640625" style="30" customWidth="1"/>
    <col min="259" max="259" width="30" style="30" customWidth="1"/>
    <col min="260" max="260" width="28" style="30" customWidth="1"/>
    <col min="261" max="261" width="26.7265625" style="30" customWidth="1"/>
    <col min="262" max="262" width="33.453125" style="30" customWidth="1"/>
    <col min="263" max="263" width="29.26953125" style="30" customWidth="1"/>
    <col min="264" max="264" width="14.1796875" style="30" customWidth="1"/>
    <col min="265" max="265" width="17.7265625" style="30" customWidth="1"/>
    <col min="266" max="266" width="16.7265625" style="30" customWidth="1"/>
    <col min="267" max="267" width="16.1796875" style="30" customWidth="1"/>
    <col min="268" max="268" width="17.453125" style="30" customWidth="1"/>
    <col min="269" max="269" width="15.7265625" style="30" customWidth="1"/>
    <col min="270" max="270" width="17.26953125" style="30" customWidth="1"/>
    <col min="271" max="271" width="18.7265625" style="30" customWidth="1"/>
    <col min="272" max="272" width="8.54296875" style="30" bestFit="1" customWidth="1"/>
    <col min="273" max="274" width="9.1796875" style="30"/>
    <col min="275" max="275" width="8.7265625" style="30" bestFit="1" customWidth="1"/>
    <col min="276" max="276" width="25.54296875" style="30" bestFit="1" customWidth="1"/>
    <col min="277" max="277" width="29.453125" style="30" bestFit="1" customWidth="1"/>
    <col min="278" max="278" width="18.453125" style="30" bestFit="1" customWidth="1"/>
    <col min="279" max="279" width="9.1796875" style="30"/>
    <col min="280" max="280" width="7.26953125" style="30" customWidth="1"/>
    <col min="281" max="281" width="32.26953125" style="30" customWidth="1"/>
    <col min="282" max="282" width="47" style="30" bestFit="1" customWidth="1"/>
    <col min="283" max="283" width="16.7265625" style="30" customWidth="1"/>
    <col min="284" max="513" width="9.1796875" style="30"/>
    <col min="514" max="514" width="8.81640625" style="30" customWidth="1"/>
    <col min="515" max="515" width="30" style="30" customWidth="1"/>
    <col min="516" max="516" width="28" style="30" customWidth="1"/>
    <col min="517" max="517" width="26.7265625" style="30" customWidth="1"/>
    <col min="518" max="518" width="33.453125" style="30" customWidth="1"/>
    <col min="519" max="519" width="29.26953125" style="30" customWidth="1"/>
    <col min="520" max="520" width="14.1796875" style="30" customWidth="1"/>
    <col min="521" max="521" width="17.7265625" style="30" customWidth="1"/>
    <col min="522" max="522" width="16.7265625" style="30" customWidth="1"/>
    <col min="523" max="523" width="16.1796875" style="30" customWidth="1"/>
    <col min="524" max="524" width="17.453125" style="30" customWidth="1"/>
    <col min="525" max="525" width="15.7265625" style="30" customWidth="1"/>
    <col min="526" max="526" width="17.26953125" style="30" customWidth="1"/>
    <col min="527" max="527" width="18.7265625" style="30" customWidth="1"/>
    <col min="528" max="528" width="8.54296875" style="30" bestFit="1" customWidth="1"/>
    <col min="529" max="530" width="9.1796875" style="30"/>
    <col min="531" max="531" width="8.7265625" style="30" bestFit="1" customWidth="1"/>
    <col min="532" max="532" width="25.54296875" style="30" bestFit="1" customWidth="1"/>
    <col min="533" max="533" width="29.453125" style="30" bestFit="1" customWidth="1"/>
    <col min="534" max="534" width="18.453125" style="30" bestFit="1" customWidth="1"/>
    <col min="535" max="535" width="9.1796875" style="30"/>
    <col min="536" max="536" width="7.26953125" style="30" customWidth="1"/>
    <col min="537" max="537" width="32.26953125" style="30" customWidth="1"/>
    <col min="538" max="538" width="47" style="30" bestFit="1" customWidth="1"/>
    <col min="539" max="539" width="16.7265625" style="30" customWidth="1"/>
    <col min="540" max="769" width="9.1796875" style="30"/>
    <col min="770" max="770" width="8.81640625" style="30" customWidth="1"/>
    <col min="771" max="771" width="30" style="30" customWidth="1"/>
    <col min="772" max="772" width="28" style="30" customWidth="1"/>
    <col min="773" max="773" width="26.7265625" style="30" customWidth="1"/>
    <col min="774" max="774" width="33.453125" style="30" customWidth="1"/>
    <col min="775" max="775" width="29.26953125" style="30" customWidth="1"/>
    <col min="776" max="776" width="14.1796875" style="30" customWidth="1"/>
    <col min="777" max="777" width="17.7265625" style="30" customWidth="1"/>
    <col min="778" max="778" width="16.7265625" style="30" customWidth="1"/>
    <col min="779" max="779" width="16.1796875" style="30" customWidth="1"/>
    <col min="780" max="780" width="17.453125" style="30" customWidth="1"/>
    <col min="781" max="781" width="15.7265625" style="30" customWidth="1"/>
    <col min="782" max="782" width="17.26953125" style="30" customWidth="1"/>
    <col min="783" max="783" width="18.7265625" style="30" customWidth="1"/>
    <col min="784" max="784" width="8.54296875" style="30" bestFit="1" customWidth="1"/>
    <col min="785" max="786" width="9.1796875" style="30"/>
    <col min="787" max="787" width="8.7265625" style="30" bestFit="1" customWidth="1"/>
    <col min="788" max="788" width="25.54296875" style="30" bestFit="1" customWidth="1"/>
    <col min="789" max="789" width="29.453125" style="30" bestFit="1" customWidth="1"/>
    <col min="790" max="790" width="18.453125" style="30" bestFit="1" customWidth="1"/>
    <col min="791" max="791" width="9.1796875" style="30"/>
    <col min="792" max="792" width="7.26953125" style="30" customWidth="1"/>
    <col min="793" max="793" width="32.26953125" style="30" customWidth="1"/>
    <col min="794" max="794" width="47" style="30" bestFit="1" customWidth="1"/>
    <col min="795" max="795" width="16.7265625" style="30" customWidth="1"/>
    <col min="796" max="1025" width="9.1796875" style="30"/>
    <col min="1026" max="1026" width="8.81640625" style="30" customWidth="1"/>
    <col min="1027" max="1027" width="30" style="30" customWidth="1"/>
    <col min="1028" max="1028" width="28" style="30" customWidth="1"/>
    <col min="1029" max="1029" width="26.7265625" style="30" customWidth="1"/>
    <col min="1030" max="1030" width="33.453125" style="30" customWidth="1"/>
    <col min="1031" max="1031" width="29.26953125" style="30" customWidth="1"/>
    <col min="1032" max="1032" width="14.1796875" style="30" customWidth="1"/>
    <col min="1033" max="1033" width="17.7265625" style="30" customWidth="1"/>
    <col min="1034" max="1034" width="16.7265625" style="30" customWidth="1"/>
    <col min="1035" max="1035" width="16.1796875" style="30" customWidth="1"/>
    <col min="1036" max="1036" width="17.453125" style="30" customWidth="1"/>
    <col min="1037" max="1037" width="15.7265625" style="30" customWidth="1"/>
    <col min="1038" max="1038" width="17.26953125" style="30" customWidth="1"/>
    <col min="1039" max="1039" width="18.7265625" style="30" customWidth="1"/>
    <col min="1040" max="1040" width="8.54296875" style="30" bestFit="1" customWidth="1"/>
    <col min="1041" max="1042" width="9.1796875" style="30"/>
    <col min="1043" max="1043" width="8.7265625" style="30" bestFit="1" customWidth="1"/>
    <col min="1044" max="1044" width="25.54296875" style="30" bestFit="1" customWidth="1"/>
    <col min="1045" max="1045" width="29.453125" style="30" bestFit="1" customWidth="1"/>
    <col min="1046" max="1046" width="18.453125" style="30" bestFit="1" customWidth="1"/>
    <col min="1047" max="1047" width="9.1796875" style="30"/>
    <col min="1048" max="1048" width="7.26953125" style="30" customWidth="1"/>
    <col min="1049" max="1049" width="32.26953125" style="30" customWidth="1"/>
    <col min="1050" max="1050" width="47" style="30" bestFit="1" customWidth="1"/>
    <col min="1051" max="1051" width="16.7265625" style="30" customWidth="1"/>
    <col min="1052" max="1281" width="9.1796875" style="30"/>
    <col min="1282" max="1282" width="8.81640625" style="30" customWidth="1"/>
    <col min="1283" max="1283" width="30" style="30" customWidth="1"/>
    <col min="1284" max="1284" width="28" style="30" customWidth="1"/>
    <col min="1285" max="1285" width="26.7265625" style="30" customWidth="1"/>
    <col min="1286" max="1286" width="33.453125" style="30" customWidth="1"/>
    <col min="1287" max="1287" width="29.26953125" style="30" customWidth="1"/>
    <col min="1288" max="1288" width="14.1796875" style="30" customWidth="1"/>
    <col min="1289" max="1289" width="17.7265625" style="30" customWidth="1"/>
    <col min="1290" max="1290" width="16.7265625" style="30" customWidth="1"/>
    <col min="1291" max="1291" width="16.1796875" style="30" customWidth="1"/>
    <col min="1292" max="1292" width="17.453125" style="30" customWidth="1"/>
    <col min="1293" max="1293" width="15.7265625" style="30" customWidth="1"/>
    <col min="1294" max="1294" width="17.26953125" style="30" customWidth="1"/>
    <col min="1295" max="1295" width="18.7265625" style="30" customWidth="1"/>
    <col min="1296" max="1296" width="8.54296875" style="30" bestFit="1" customWidth="1"/>
    <col min="1297" max="1298" width="9.1796875" style="30"/>
    <col min="1299" max="1299" width="8.7265625" style="30" bestFit="1" customWidth="1"/>
    <col min="1300" max="1300" width="25.54296875" style="30" bestFit="1" customWidth="1"/>
    <col min="1301" max="1301" width="29.453125" style="30" bestFit="1" customWidth="1"/>
    <col min="1302" max="1302" width="18.453125" style="30" bestFit="1" customWidth="1"/>
    <col min="1303" max="1303" width="9.1796875" style="30"/>
    <col min="1304" max="1304" width="7.26953125" style="30" customWidth="1"/>
    <col min="1305" max="1305" width="32.26953125" style="30" customWidth="1"/>
    <col min="1306" max="1306" width="47" style="30" bestFit="1" customWidth="1"/>
    <col min="1307" max="1307" width="16.7265625" style="30" customWidth="1"/>
    <col min="1308" max="1537" width="9.1796875" style="30"/>
    <col min="1538" max="1538" width="8.81640625" style="30" customWidth="1"/>
    <col min="1539" max="1539" width="30" style="30" customWidth="1"/>
    <col min="1540" max="1540" width="28" style="30" customWidth="1"/>
    <col min="1541" max="1541" width="26.7265625" style="30" customWidth="1"/>
    <col min="1542" max="1542" width="33.453125" style="30" customWidth="1"/>
    <col min="1543" max="1543" width="29.26953125" style="30" customWidth="1"/>
    <col min="1544" max="1544" width="14.1796875" style="30" customWidth="1"/>
    <col min="1545" max="1545" width="17.7265625" style="30" customWidth="1"/>
    <col min="1546" max="1546" width="16.7265625" style="30" customWidth="1"/>
    <col min="1547" max="1547" width="16.1796875" style="30" customWidth="1"/>
    <col min="1548" max="1548" width="17.453125" style="30" customWidth="1"/>
    <col min="1549" max="1549" width="15.7265625" style="30" customWidth="1"/>
    <col min="1550" max="1550" width="17.26953125" style="30" customWidth="1"/>
    <col min="1551" max="1551" width="18.7265625" style="30" customWidth="1"/>
    <col min="1552" max="1552" width="8.54296875" style="30" bestFit="1" customWidth="1"/>
    <col min="1553" max="1554" width="9.1796875" style="30"/>
    <col min="1555" max="1555" width="8.7265625" style="30" bestFit="1" customWidth="1"/>
    <col min="1556" max="1556" width="25.54296875" style="30" bestFit="1" customWidth="1"/>
    <col min="1557" max="1557" width="29.453125" style="30" bestFit="1" customWidth="1"/>
    <col min="1558" max="1558" width="18.453125" style="30" bestFit="1" customWidth="1"/>
    <col min="1559" max="1559" width="9.1796875" style="30"/>
    <col min="1560" max="1560" width="7.26953125" style="30" customWidth="1"/>
    <col min="1561" max="1561" width="32.26953125" style="30" customWidth="1"/>
    <col min="1562" max="1562" width="47" style="30" bestFit="1" customWidth="1"/>
    <col min="1563" max="1563" width="16.7265625" style="30" customWidth="1"/>
    <col min="1564" max="1793" width="9.1796875" style="30"/>
    <col min="1794" max="1794" width="8.81640625" style="30" customWidth="1"/>
    <col min="1795" max="1795" width="30" style="30" customWidth="1"/>
    <col min="1796" max="1796" width="28" style="30" customWidth="1"/>
    <col min="1797" max="1797" width="26.7265625" style="30" customWidth="1"/>
    <col min="1798" max="1798" width="33.453125" style="30" customWidth="1"/>
    <col min="1799" max="1799" width="29.26953125" style="30" customWidth="1"/>
    <col min="1800" max="1800" width="14.1796875" style="30" customWidth="1"/>
    <col min="1801" max="1801" width="17.7265625" style="30" customWidth="1"/>
    <col min="1802" max="1802" width="16.7265625" style="30" customWidth="1"/>
    <col min="1803" max="1803" width="16.1796875" style="30" customWidth="1"/>
    <col min="1804" max="1804" width="17.453125" style="30" customWidth="1"/>
    <col min="1805" max="1805" width="15.7265625" style="30" customWidth="1"/>
    <col min="1806" max="1806" width="17.26953125" style="30" customWidth="1"/>
    <col min="1807" max="1807" width="18.7265625" style="30" customWidth="1"/>
    <col min="1808" max="1808" width="8.54296875" style="30" bestFit="1" customWidth="1"/>
    <col min="1809" max="1810" width="9.1796875" style="30"/>
    <col min="1811" max="1811" width="8.7265625" style="30" bestFit="1" customWidth="1"/>
    <col min="1812" max="1812" width="25.54296875" style="30" bestFit="1" customWidth="1"/>
    <col min="1813" max="1813" width="29.453125" style="30" bestFit="1" customWidth="1"/>
    <col min="1814" max="1814" width="18.453125" style="30" bestFit="1" customWidth="1"/>
    <col min="1815" max="1815" width="9.1796875" style="30"/>
    <col min="1816" max="1816" width="7.26953125" style="30" customWidth="1"/>
    <col min="1817" max="1817" width="32.26953125" style="30" customWidth="1"/>
    <col min="1818" max="1818" width="47" style="30" bestFit="1" customWidth="1"/>
    <col min="1819" max="1819" width="16.7265625" style="30" customWidth="1"/>
    <col min="1820" max="2049" width="9.1796875" style="30"/>
    <col min="2050" max="2050" width="8.81640625" style="30" customWidth="1"/>
    <col min="2051" max="2051" width="30" style="30" customWidth="1"/>
    <col min="2052" max="2052" width="28" style="30" customWidth="1"/>
    <col min="2053" max="2053" width="26.7265625" style="30" customWidth="1"/>
    <col min="2054" max="2054" width="33.453125" style="30" customWidth="1"/>
    <col min="2055" max="2055" width="29.26953125" style="30" customWidth="1"/>
    <col min="2056" max="2056" width="14.1796875" style="30" customWidth="1"/>
    <col min="2057" max="2057" width="17.7265625" style="30" customWidth="1"/>
    <col min="2058" max="2058" width="16.7265625" style="30" customWidth="1"/>
    <col min="2059" max="2059" width="16.1796875" style="30" customWidth="1"/>
    <col min="2060" max="2060" width="17.453125" style="30" customWidth="1"/>
    <col min="2061" max="2061" width="15.7265625" style="30" customWidth="1"/>
    <col min="2062" max="2062" width="17.26953125" style="30" customWidth="1"/>
    <col min="2063" max="2063" width="18.7265625" style="30" customWidth="1"/>
    <col min="2064" max="2064" width="8.54296875" style="30" bestFit="1" customWidth="1"/>
    <col min="2065" max="2066" width="9.1796875" style="30"/>
    <col min="2067" max="2067" width="8.7265625" style="30" bestFit="1" customWidth="1"/>
    <col min="2068" max="2068" width="25.54296875" style="30" bestFit="1" customWidth="1"/>
    <col min="2069" max="2069" width="29.453125" style="30" bestFit="1" customWidth="1"/>
    <col min="2070" max="2070" width="18.453125" style="30" bestFit="1" customWidth="1"/>
    <col min="2071" max="2071" width="9.1796875" style="30"/>
    <col min="2072" max="2072" width="7.26953125" style="30" customWidth="1"/>
    <col min="2073" max="2073" width="32.26953125" style="30" customWidth="1"/>
    <col min="2074" max="2074" width="47" style="30" bestFit="1" customWidth="1"/>
    <col min="2075" max="2075" width="16.7265625" style="30" customWidth="1"/>
    <col min="2076" max="2305" width="9.1796875" style="30"/>
    <col min="2306" max="2306" width="8.81640625" style="30" customWidth="1"/>
    <col min="2307" max="2307" width="30" style="30" customWidth="1"/>
    <col min="2308" max="2308" width="28" style="30" customWidth="1"/>
    <col min="2309" max="2309" width="26.7265625" style="30" customWidth="1"/>
    <col min="2310" max="2310" width="33.453125" style="30" customWidth="1"/>
    <col min="2311" max="2311" width="29.26953125" style="30" customWidth="1"/>
    <col min="2312" max="2312" width="14.1796875" style="30" customWidth="1"/>
    <col min="2313" max="2313" width="17.7265625" style="30" customWidth="1"/>
    <col min="2314" max="2314" width="16.7265625" style="30" customWidth="1"/>
    <col min="2315" max="2315" width="16.1796875" style="30" customWidth="1"/>
    <col min="2316" max="2316" width="17.453125" style="30" customWidth="1"/>
    <col min="2317" max="2317" width="15.7265625" style="30" customWidth="1"/>
    <col min="2318" max="2318" width="17.26953125" style="30" customWidth="1"/>
    <col min="2319" max="2319" width="18.7265625" style="30" customWidth="1"/>
    <col min="2320" max="2320" width="8.54296875" style="30" bestFit="1" customWidth="1"/>
    <col min="2321" max="2322" width="9.1796875" style="30"/>
    <col min="2323" max="2323" width="8.7265625" style="30" bestFit="1" customWidth="1"/>
    <col min="2324" max="2324" width="25.54296875" style="30" bestFit="1" customWidth="1"/>
    <col min="2325" max="2325" width="29.453125" style="30" bestFit="1" customWidth="1"/>
    <col min="2326" max="2326" width="18.453125" style="30" bestFit="1" customWidth="1"/>
    <col min="2327" max="2327" width="9.1796875" style="30"/>
    <col min="2328" max="2328" width="7.26953125" style="30" customWidth="1"/>
    <col min="2329" max="2329" width="32.26953125" style="30" customWidth="1"/>
    <col min="2330" max="2330" width="47" style="30" bestFit="1" customWidth="1"/>
    <col min="2331" max="2331" width="16.7265625" style="30" customWidth="1"/>
    <col min="2332" max="2561" width="9.1796875" style="30"/>
    <col min="2562" max="2562" width="8.81640625" style="30" customWidth="1"/>
    <col min="2563" max="2563" width="30" style="30" customWidth="1"/>
    <col min="2564" max="2564" width="28" style="30" customWidth="1"/>
    <col min="2565" max="2565" width="26.7265625" style="30" customWidth="1"/>
    <col min="2566" max="2566" width="33.453125" style="30" customWidth="1"/>
    <col min="2567" max="2567" width="29.26953125" style="30" customWidth="1"/>
    <col min="2568" max="2568" width="14.1796875" style="30" customWidth="1"/>
    <col min="2569" max="2569" width="17.7265625" style="30" customWidth="1"/>
    <col min="2570" max="2570" width="16.7265625" style="30" customWidth="1"/>
    <col min="2571" max="2571" width="16.1796875" style="30" customWidth="1"/>
    <col min="2572" max="2572" width="17.453125" style="30" customWidth="1"/>
    <col min="2573" max="2573" width="15.7265625" style="30" customWidth="1"/>
    <col min="2574" max="2574" width="17.26953125" style="30" customWidth="1"/>
    <col min="2575" max="2575" width="18.7265625" style="30" customWidth="1"/>
    <col min="2576" max="2576" width="8.54296875" style="30" bestFit="1" customWidth="1"/>
    <col min="2577" max="2578" width="9.1796875" style="30"/>
    <col min="2579" max="2579" width="8.7265625" style="30" bestFit="1" customWidth="1"/>
    <col min="2580" max="2580" width="25.54296875" style="30" bestFit="1" customWidth="1"/>
    <col min="2581" max="2581" width="29.453125" style="30" bestFit="1" customWidth="1"/>
    <col min="2582" max="2582" width="18.453125" style="30" bestFit="1" customWidth="1"/>
    <col min="2583" max="2583" width="9.1796875" style="30"/>
    <col min="2584" max="2584" width="7.26953125" style="30" customWidth="1"/>
    <col min="2585" max="2585" width="32.26953125" style="30" customWidth="1"/>
    <col min="2586" max="2586" width="47" style="30" bestFit="1" customWidth="1"/>
    <col min="2587" max="2587" width="16.7265625" style="30" customWidth="1"/>
    <col min="2588" max="2817" width="9.1796875" style="30"/>
    <col min="2818" max="2818" width="8.81640625" style="30" customWidth="1"/>
    <col min="2819" max="2819" width="30" style="30" customWidth="1"/>
    <col min="2820" max="2820" width="28" style="30" customWidth="1"/>
    <col min="2821" max="2821" width="26.7265625" style="30" customWidth="1"/>
    <col min="2822" max="2822" width="33.453125" style="30" customWidth="1"/>
    <col min="2823" max="2823" width="29.26953125" style="30" customWidth="1"/>
    <col min="2824" max="2824" width="14.1796875" style="30" customWidth="1"/>
    <col min="2825" max="2825" width="17.7265625" style="30" customWidth="1"/>
    <col min="2826" max="2826" width="16.7265625" style="30" customWidth="1"/>
    <col min="2827" max="2827" width="16.1796875" style="30" customWidth="1"/>
    <col min="2828" max="2828" width="17.453125" style="30" customWidth="1"/>
    <col min="2829" max="2829" width="15.7265625" style="30" customWidth="1"/>
    <col min="2830" max="2830" width="17.26953125" style="30" customWidth="1"/>
    <col min="2831" max="2831" width="18.7265625" style="30" customWidth="1"/>
    <col min="2832" max="2832" width="8.54296875" style="30" bestFit="1" customWidth="1"/>
    <col min="2833" max="2834" width="9.1796875" style="30"/>
    <col min="2835" max="2835" width="8.7265625" style="30" bestFit="1" customWidth="1"/>
    <col min="2836" max="2836" width="25.54296875" style="30" bestFit="1" customWidth="1"/>
    <col min="2837" max="2837" width="29.453125" style="30" bestFit="1" customWidth="1"/>
    <col min="2838" max="2838" width="18.453125" style="30" bestFit="1" customWidth="1"/>
    <col min="2839" max="2839" width="9.1796875" style="30"/>
    <col min="2840" max="2840" width="7.26953125" style="30" customWidth="1"/>
    <col min="2841" max="2841" width="32.26953125" style="30" customWidth="1"/>
    <col min="2842" max="2842" width="47" style="30" bestFit="1" customWidth="1"/>
    <col min="2843" max="2843" width="16.7265625" style="30" customWidth="1"/>
    <col min="2844" max="3073" width="9.1796875" style="30"/>
    <col min="3074" max="3074" width="8.81640625" style="30" customWidth="1"/>
    <col min="3075" max="3075" width="30" style="30" customWidth="1"/>
    <col min="3076" max="3076" width="28" style="30" customWidth="1"/>
    <col min="3077" max="3077" width="26.7265625" style="30" customWidth="1"/>
    <col min="3078" max="3078" width="33.453125" style="30" customWidth="1"/>
    <col min="3079" max="3079" width="29.26953125" style="30" customWidth="1"/>
    <col min="3080" max="3080" width="14.1796875" style="30" customWidth="1"/>
    <col min="3081" max="3081" width="17.7265625" style="30" customWidth="1"/>
    <col min="3082" max="3082" width="16.7265625" style="30" customWidth="1"/>
    <col min="3083" max="3083" width="16.1796875" style="30" customWidth="1"/>
    <col min="3084" max="3084" width="17.453125" style="30" customWidth="1"/>
    <col min="3085" max="3085" width="15.7265625" style="30" customWidth="1"/>
    <col min="3086" max="3086" width="17.26953125" style="30" customWidth="1"/>
    <col min="3087" max="3087" width="18.7265625" style="30" customWidth="1"/>
    <col min="3088" max="3088" width="8.54296875" style="30" bestFit="1" customWidth="1"/>
    <col min="3089" max="3090" width="9.1796875" style="30"/>
    <col min="3091" max="3091" width="8.7265625" style="30" bestFit="1" customWidth="1"/>
    <col min="3092" max="3092" width="25.54296875" style="30" bestFit="1" customWidth="1"/>
    <col min="3093" max="3093" width="29.453125" style="30" bestFit="1" customWidth="1"/>
    <col min="3094" max="3094" width="18.453125" style="30" bestFit="1" customWidth="1"/>
    <col min="3095" max="3095" width="9.1796875" style="30"/>
    <col min="3096" max="3096" width="7.26953125" style="30" customWidth="1"/>
    <col min="3097" max="3097" width="32.26953125" style="30" customWidth="1"/>
    <col min="3098" max="3098" width="47" style="30" bestFit="1" customWidth="1"/>
    <col min="3099" max="3099" width="16.7265625" style="30" customWidth="1"/>
    <col min="3100" max="3329" width="9.1796875" style="30"/>
    <col min="3330" max="3330" width="8.81640625" style="30" customWidth="1"/>
    <col min="3331" max="3331" width="30" style="30" customWidth="1"/>
    <col min="3332" max="3332" width="28" style="30" customWidth="1"/>
    <col min="3333" max="3333" width="26.7265625" style="30" customWidth="1"/>
    <col min="3334" max="3334" width="33.453125" style="30" customWidth="1"/>
    <col min="3335" max="3335" width="29.26953125" style="30" customWidth="1"/>
    <col min="3336" max="3336" width="14.1796875" style="30" customWidth="1"/>
    <col min="3337" max="3337" width="17.7265625" style="30" customWidth="1"/>
    <col min="3338" max="3338" width="16.7265625" style="30" customWidth="1"/>
    <col min="3339" max="3339" width="16.1796875" style="30" customWidth="1"/>
    <col min="3340" max="3340" width="17.453125" style="30" customWidth="1"/>
    <col min="3341" max="3341" width="15.7265625" style="30" customWidth="1"/>
    <col min="3342" max="3342" width="17.26953125" style="30" customWidth="1"/>
    <col min="3343" max="3343" width="18.7265625" style="30" customWidth="1"/>
    <col min="3344" max="3344" width="8.54296875" style="30" bestFit="1" customWidth="1"/>
    <col min="3345" max="3346" width="9.1796875" style="30"/>
    <col min="3347" max="3347" width="8.7265625" style="30" bestFit="1" customWidth="1"/>
    <col min="3348" max="3348" width="25.54296875" style="30" bestFit="1" customWidth="1"/>
    <col min="3349" max="3349" width="29.453125" style="30" bestFit="1" customWidth="1"/>
    <col min="3350" max="3350" width="18.453125" style="30" bestFit="1" customWidth="1"/>
    <col min="3351" max="3351" width="9.1796875" style="30"/>
    <col min="3352" max="3352" width="7.26953125" style="30" customWidth="1"/>
    <col min="3353" max="3353" width="32.26953125" style="30" customWidth="1"/>
    <col min="3354" max="3354" width="47" style="30" bestFit="1" customWidth="1"/>
    <col min="3355" max="3355" width="16.7265625" style="30" customWidth="1"/>
    <col min="3356" max="3585" width="9.1796875" style="30"/>
    <col min="3586" max="3586" width="8.81640625" style="30" customWidth="1"/>
    <col min="3587" max="3587" width="30" style="30" customWidth="1"/>
    <col min="3588" max="3588" width="28" style="30" customWidth="1"/>
    <col min="3589" max="3589" width="26.7265625" style="30" customWidth="1"/>
    <col min="3590" max="3590" width="33.453125" style="30" customWidth="1"/>
    <col min="3591" max="3591" width="29.26953125" style="30" customWidth="1"/>
    <col min="3592" max="3592" width="14.1796875" style="30" customWidth="1"/>
    <col min="3593" max="3593" width="17.7265625" style="30" customWidth="1"/>
    <col min="3594" max="3594" width="16.7265625" style="30" customWidth="1"/>
    <col min="3595" max="3595" width="16.1796875" style="30" customWidth="1"/>
    <col min="3596" max="3596" width="17.453125" style="30" customWidth="1"/>
    <col min="3597" max="3597" width="15.7265625" style="30" customWidth="1"/>
    <col min="3598" max="3598" width="17.26953125" style="30" customWidth="1"/>
    <col min="3599" max="3599" width="18.7265625" style="30" customWidth="1"/>
    <col min="3600" max="3600" width="8.54296875" style="30" bestFit="1" customWidth="1"/>
    <col min="3601" max="3602" width="9.1796875" style="30"/>
    <col min="3603" max="3603" width="8.7265625" style="30" bestFit="1" customWidth="1"/>
    <col min="3604" max="3604" width="25.54296875" style="30" bestFit="1" customWidth="1"/>
    <col min="3605" max="3605" width="29.453125" style="30" bestFit="1" customWidth="1"/>
    <col min="3606" max="3606" width="18.453125" style="30" bestFit="1" customWidth="1"/>
    <col min="3607" max="3607" width="9.1796875" style="30"/>
    <col min="3608" max="3608" width="7.26953125" style="30" customWidth="1"/>
    <col min="3609" max="3609" width="32.26953125" style="30" customWidth="1"/>
    <col min="3610" max="3610" width="47" style="30" bestFit="1" customWidth="1"/>
    <col min="3611" max="3611" width="16.7265625" style="30" customWidth="1"/>
    <col min="3612" max="3841" width="9.1796875" style="30"/>
    <col min="3842" max="3842" width="8.81640625" style="30" customWidth="1"/>
    <col min="3843" max="3843" width="30" style="30" customWidth="1"/>
    <col min="3844" max="3844" width="28" style="30" customWidth="1"/>
    <col min="3845" max="3845" width="26.7265625" style="30" customWidth="1"/>
    <col min="3846" max="3846" width="33.453125" style="30" customWidth="1"/>
    <col min="3847" max="3847" width="29.26953125" style="30" customWidth="1"/>
    <col min="3848" max="3848" width="14.1796875" style="30" customWidth="1"/>
    <col min="3849" max="3849" width="17.7265625" style="30" customWidth="1"/>
    <col min="3850" max="3850" width="16.7265625" style="30" customWidth="1"/>
    <col min="3851" max="3851" width="16.1796875" style="30" customWidth="1"/>
    <col min="3852" max="3852" width="17.453125" style="30" customWidth="1"/>
    <col min="3853" max="3853" width="15.7265625" style="30" customWidth="1"/>
    <col min="3854" max="3854" width="17.26953125" style="30" customWidth="1"/>
    <col min="3855" max="3855" width="18.7265625" style="30" customWidth="1"/>
    <col min="3856" max="3856" width="8.54296875" style="30" bestFit="1" customWidth="1"/>
    <col min="3857" max="3858" width="9.1796875" style="30"/>
    <col min="3859" max="3859" width="8.7265625" style="30" bestFit="1" customWidth="1"/>
    <col min="3860" max="3860" width="25.54296875" style="30" bestFit="1" customWidth="1"/>
    <col min="3861" max="3861" width="29.453125" style="30" bestFit="1" customWidth="1"/>
    <col min="3862" max="3862" width="18.453125" style="30" bestFit="1" customWidth="1"/>
    <col min="3863" max="3863" width="9.1796875" style="30"/>
    <col min="3864" max="3864" width="7.26953125" style="30" customWidth="1"/>
    <col min="3865" max="3865" width="32.26953125" style="30" customWidth="1"/>
    <col min="3866" max="3866" width="47" style="30" bestFit="1" customWidth="1"/>
    <col min="3867" max="3867" width="16.7265625" style="30" customWidth="1"/>
    <col min="3868" max="4097" width="9.1796875" style="30"/>
    <col min="4098" max="4098" width="8.81640625" style="30" customWidth="1"/>
    <col min="4099" max="4099" width="30" style="30" customWidth="1"/>
    <col min="4100" max="4100" width="28" style="30" customWidth="1"/>
    <col min="4101" max="4101" width="26.7265625" style="30" customWidth="1"/>
    <col min="4102" max="4102" width="33.453125" style="30" customWidth="1"/>
    <col min="4103" max="4103" width="29.26953125" style="30" customWidth="1"/>
    <col min="4104" max="4104" width="14.1796875" style="30" customWidth="1"/>
    <col min="4105" max="4105" width="17.7265625" style="30" customWidth="1"/>
    <col min="4106" max="4106" width="16.7265625" style="30" customWidth="1"/>
    <col min="4107" max="4107" width="16.1796875" style="30" customWidth="1"/>
    <col min="4108" max="4108" width="17.453125" style="30" customWidth="1"/>
    <col min="4109" max="4109" width="15.7265625" style="30" customWidth="1"/>
    <col min="4110" max="4110" width="17.26953125" style="30" customWidth="1"/>
    <col min="4111" max="4111" width="18.7265625" style="30" customWidth="1"/>
    <col min="4112" max="4112" width="8.54296875" style="30" bestFit="1" customWidth="1"/>
    <col min="4113" max="4114" width="9.1796875" style="30"/>
    <col min="4115" max="4115" width="8.7265625" style="30" bestFit="1" customWidth="1"/>
    <col min="4116" max="4116" width="25.54296875" style="30" bestFit="1" customWidth="1"/>
    <col min="4117" max="4117" width="29.453125" style="30" bestFit="1" customWidth="1"/>
    <col min="4118" max="4118" width="18.453125" style="30" bestFit="1" customWidth="1"/>
    <col min="4119" max="4119" width="9.1796875" style="30"/>
    <col min="4120" max="4120" width="7.26953125" style="30" customWidth="1"/>
    <col min="4121" max="4121" width="32.26953125" style="30" customWidth="1"/>
    <col min="4122" max="4122" width="47" style="30" bestFit="1" customWidth="1"/>
    <col min="4123" max="4123" width="16.7265625" style="30" customWidth="1"/>
    <col min="4124" max="4353" width="9.1796875" style="30"/>
    <col min="4354" max="4354" width="8.81640625" style="30" customWidth="1"/>
    <col min="4355" max="4355" width="30" style="30" customWidth="1"/>
    <col min="4356" max="4356" width="28" style="30" customWidth="1"/>
    <col min="4357" max="4357" width="26.7265625" style="30" customWidth="1"/>
    <col min="4358" max="4358" width="33.453125" style="30" customWidth="1"/>
    <col min="4359" max="4359" width="29.26953125" style="30" customWidth="1"/>
    <col min="4360" max="4360" width="14.1796875" style="30" customWidth="1"/>
    <col min="4361" max="4361" width="17.7265625" style="30" customWidth="1"/>
    <col min="4362" max="4362" width="16.7265625" style="30" customWidth="1"/>
    <col min="4363" max="4363" width="16.1796875" style="30" customWidth="1"/>
    <col min="4364" max="4364" width="17.453125" style="30" customWidth="1"/>
    <col min="4365" max="4365" width="15.7265625" style="30" customWidth="1"/>
    <col min="4366" max="4366" width="17.26953125" style="30" customWidth="1"/>
    <col min="4367" max="4367" width="18.7265625" style="30" customWidth="1"/>
    <col min="4368" max="4368" width="8.54296875" style="30" bestFit="1" customWidth="1"/>
    <col min="4369" max="4370" width="9.1796875" style="30"/>
    <col min="4371" max="4371" width="8.7265625" style="30" bestFit="1" customWidth="1"/>
    <col min="4372" max="4372" width="25.54296875" style="30" bestFit="1" customWidth="1"/>
    <col min="4373" max="4373" width="29.453125" style="30" bestFit="1" customWidth="1"/>
    <col min="4374" max="4374" width="18.453125" style="30" bestFit="1" customWidth="1"/>
    <col min="4375" max="4375" width="9.1796875" style="30"/>
    <col min="4376" max="4376" width="7.26953125" style="30" customWidth="1"/>
    <col min="4377" max="4377" width="32.26953125" style="30" customWidth="1"/>
    <col min="4378" max="4378" width="47" style="30" bestFit="1" customWidth="1"/>
    <col min="4379" max="4379" width="16.7265625" style="30" customWidth="1"/>
    <col min="4380" max="4609" width="9.1796875" style="30"/>
    <col min="4610" max="4610" width="8.81640625" style="30" customWidth="1"/>
    <col min="4611" max="4611" width="30" style="30" customWidth="1"/>
    <col min="4612" max="4612" width="28" style="30" customWidth="1"/>
    <col min="4613" max="4613" width="26.7265625" style="30" customWidth="1"/>
    <col min="4614" max="4614" width="33.453125" style="30" customWidth="1"/>
    <col min="4615" max="4615" width="29.26953125" style="30" customWidth="1"/>
    <col min="4616" max="4616" width="14.1796875" style="30" customWidth="1"/>
    <col min="4617" max="4617" width="17.7265625" style="30" customWidth="1"/>
    <col min="4618" max="4618" width="16.7265625" style="30" customWidth="1"/>
    <col min="4619" max="4619" width="16.1796875" style="30" customWidth="1"/>
    <col min="4620" max="4620" width="17.453125" style="30" customWidth="1"/>
    <col min="4621" max="4621" width="15.7265625" style="30" customWidth="1"/>
    <col min="4622" max="4622" width="17.26953125" style="30" customWidth="1"/>
    <col min="4623" max="4623" width="18.7265625" style="30" customWidth="1"/>
    <col min="4624" max="4624" width="8.54296875" style="30" bestFit="1" customWidth="1"/>
    <col min="4625" max="4626" width="9.1796875" style="30"/>
    <col min="4627" max="4627" width="8.7265625" style="30" bestFit="1" customWidth="1"/>
    <col min="4628" max="4628" width="25.54296875" style="30" bestFit="1" customWidth="1"/>
    <col min="4629" max="4629" width="29.453125" style="30" bestFit="1" customWidth="1"/>
    <col min="4630" max="4630" width="18.453125" style="30" bestFit="1" customWidth="1"/>
    <col min="4631" max="4631" width="9.1796875" style="30"/>
    <col min="4632" max="4632" width="7.26953125" style="30" customWidth="1"/>
    <col min="4633" max="4633" width="32.26953125" style="30" customWidth="1"/>
    <col min="4634" max="4634" width="47" style="30" bestFit="1" customWidth="1"/>
    <col min="4635" max="4635" width="16.7265625" style="30" customWidth="1"/>
    <col min="4636" max="4865" width="9.1796875" style="30"/>
    <col min="4866" max="4866" width="8.81640625" style="30" customWidth="1"/>
    <col min="4867" max="4867" width="30" style="30" customWidth="1"/>
    <col min="4868" max="4868" width="28" style="30" customWidth="1"/>
    <col min="4869" max="4869" width="26.7265625" style="30" customWidth="1"/>
    <col min="4870" max="4870" width="33.453125" style="30" customWidth="1"/>
    <col min="4871" max="4871" width="29.26953125" style="30" customWidth="1"/>
    <col min="4872" max="4872" width="14.1796875" style="30" customWidth="1"/>
    <col min="4873" max="4873" width="17.7265625" style="30" customWidth="1"/>
    <col min="4874" max="4874" width="16.7265625" style="30" customWidth="1"/>
    <col min="4875" max="4875" width="16.1796875" style="30" customWidth="1"/>
    <col min="4876" max="4876" width="17.453125" style="30" customWidth="1"/>
    <col min="4877" max="4877" width="15.7265625" style="30" customWidth="1"/>
    <col min="4878" max="4878" width="17.26953125" style="30" customWidth="1"/>
    <col min="4879" max="4879" width="18.7265625" style="30" customWidth="1"/>
    <col min="4880" max="4880" width="8.54296875" style="30" bestFit="1" customWidth="1"/>
    <col min="4881" max="4882" width="9.1796875" style="30"/>
    <col min="4883" max="4883" width="8.7265625" style="30" bestFit="1" customWidth="1"/>
    <col min="4884" max="4884" width="25.54296875" style="30" bestFit="1" customWidth="1"/>
    <col min="4885" max="4885" width="29.453125" style="30" bestFit="1" customWidth="1"/>
    <col min="4886" max="4886" width="18.453125" style="30" bestFit="1" customWidth="1"/>
    <col min="4887" max="4887" width="9.1796875" style="30"/>
    <col min="4888" max="4888" width="7.26953125" style="30" customWidth="1"/>
    <col min="4889" max="4889" width="32.26953125" style="30" customWidth="1"/>
    <col min="4890" max="4890" width="47" style="30" bestFit="1" customWidth="1"/>
    <col min="4891" max="4891" width="16.7265625" style="30" customWidth="1"/>
    <col min="4892" max="5121" width="9.1796875" style="30"/>
    <col min="5122" max="5122" width="8.81640625" style="30" customWidth="1"/>
    <col min="5123" max="5123" width="30" style="30" customWidth="1"/>
    <col min="5124" max="5124" width="28" style="30" customWidth="1"/>
    <col min="5125" max="5125" width="26.7265625" style="30" customWidth="1"/>
    <col min="5126" max="5126" width="33.453125" style="30" customWidth="1"/>
    <col min="5127" max="5127" width="29.26953125" style="30" customWidth="1"/>
    <col min="5128" max="5128" width="14.1796875" style="30" customWidth="1"/>
    <col min="5129" max="5129" width="17.7265625" style="30" customWidth="1"/>
    <col min="5130" max="5130" width="16.7265625" style="30" customWidth="1"/>
    <col min="5131" max="5131" width="16.1796875" style="30" customWidth="1"/>
    <col min="5132" max="5132" width="17.453125" style="30" customWidth="1"/>
    <col min="5133" max="5133" width="15.7265625" style="30" customWidth="1"/>
    <col min="5134" max="5134" width="17.26953125" style="30" customWidth="1"/>
    <col min="5135" max="5135" width="18.7265625" style="30" customWidth="1"/>
    <col min="5136" max="5136" width="8.54296875" style="30" bestFit="1" customWidth="1"/>
    <col min="5137" max="5138" width="9.1796875" style="30"/>
    <col min="5139" max="5139" width="8.7265625" style="30" bestFit="1" customWidth="1"/>
    <col min="5140" max="5140" width="25.54296875" style="30" bestFit="1" customWidth="1"/>
    <col min="5141" max="5141" width="29.453125" style="30" bestFit="1" customWidth="1"/>
    <col min="5142" max="5142" width="18.453125" style="30" bestFit="1" customWidth="1"/>
    <col min="5143" max="5143" width="9.1796875" style="30"/>
    <col min="5144" max="5144" width="7.26953125" style="30" customWidth="1"/>
    <col min="5145" max="5145" width="32.26953125" style="30" customWidth="1"/>
    <col min="5146" max="5146" width="47" style="30" bestFit="1" customWidth="1"/>
    <col min="5147" max="5147" width="16.7265625" style="30" customWidth="1"/>
    <col min="5148" max="5377" width="9.1796875" style="30"/>
    <col min="5378" max="5378" width="8.81640625" style="30" customWidth="1"/>
    <col min="5379" max="5379" width="30" style="30" customWidth="1"/>
    <col min="5380" max="5380" width="28" style="30" customWidth="1"/>
    <col min="5381" max="5381" width="26.7265625" style="30" customWidth="1"/>
    <col min="5382" max="5382" width="33.453125" style="30" customWidth="1"/>
    <col min="5383" max="5383" width="29.26953125" style="30" customWidth="1"/>
    <col min="5384" max="5384" width="14.1796875" style="30" customWidth="1"/>
    <col min="5385" max="5385" width="17.7265625" style="30" customWidth="1"/>
    <col min="5386" max="5386" width="16.7265625" style="30" customWidth="1"/>
    <col min="5387" max="5387" width="16.1796875" style="30" customWidth="1"/>
    <col min="5388" max="5388" width="17.453125" style="30" customWidth="1"/>
    <col min="5389" max="5389" width="15.7265625" style="30" customWidth="1"/>
    <col min="5390" max="5390" width="17.26953125" style="30" customWidth="1"/>
    <col min="5391" max="5391" width="18.7265625" style="30" customWidth="1"/>
    <col min="5392" max="5392" width="8.54296875" style="30" bestFit="1" customWidth="1"/>
    <col min="5393" max="5394" width="9.1796875" style="30"/>
    <col min="5395" max="5395" width="8.7265625" style="30" bestFit="1" customWidth="1"/>
    <col min="5396" max="5396" width="25.54296875" style="30" bestFit="1" customWidth="1"/>
    <col min="5397" max="5397" width="29.453125" style="30" bestFit="1" customWidth="1"/>
    <col min="5398" max="5398" width="18.453125" style="30" bestFit="1" customWidth="1"/>
    <col min="5399" max="5399" width="9.1796875" style="30"/>
    <col min="5400" max="5400" width="7.26953125" style="30" customWidth="1"/>
    <col min="5401" max="5401" width="32.26953125" style="30" customWidth="1"/>
    <col min="5402" max="5402" width="47" style="30" bestFit="1" customWidth="1"/>
    <col min="5403" max="5403" width="16.7265625" style="30" customWidth="1"/>
    <col min="5404" max="5633" width="9.1796875" style="30"/>
    <col min="5634" max="5634" width="8.81640625" style="30" customWidth="1"/>
    <col min="5635" max="5635" width="30" style="30" customWidth="1"/>
    <col min="5636" max="5636" width="28" style="30" customWidth="1"/>
    <col min="5637" max="5637" width="26.7265625" style="30" customWidth="1"/>
    <col min="5638" max="5638" width="33.453125" style="30" customWidth="1"/>
    <col min="5639" max="5639" width="29.26953125" style="30" customWidth="1"/>
    <col min="5640" max="5640" width="14.1796875" style="30" customWidth="1"/>
    <col min="5641" max="5641" width="17.7265625" style="30" customWidth="1"/>
    <col min="5642" max="5642" width="16.7265625" style="30" customWidth="1"/>
    <col min="5643" max="5643" width="16.1796875" style="30" customWidth="1"/>
    <col min="5644" max="5644" width="17.453125" style="30" customWidth="1"/>
    <col min="5645" max="5645" width="15.7265625" style="30" customWidth="1"/>
    <col min="5646" max="5646" width="17.26953125" style="30" customWidth="1"/>
    <col min="5647" max="5647" width="18.7265625" style="30" customWidth="1"/>
    <col min="5648" max="5648" width="8.54296875" style="30" bestFit="1" customWidth="1"/>
    <col min="5649" max="5650" width="9.1796875" style="30"/>
    <col min="5651" max="5651" width="8.7265625" style="30" bestFit="1" customWidth="1"/>
    <col min="5652" max="5652" width="25.54296875" style="30" bestFit="1" customWidth="1"/>
    <col min="5653" max="5653" width="29.453125" style="30" bestFit="1" customWidth="1"/>
    <col min="5654" max="5654" width="18.453125" style="30" bestFit="1" customWidth="1"/>
    <col min="5655" max="5655" width="9.1796875" style="30"/>
    <col min="5656" max="5656" width="7.26953125" style="30" customWidth="1"/>
    <col min="5657" max="5657" width="32.26953125" style="30" customWidth="1"/>
    <col min="5658" max="5658" width="47" style="30" bestFit="1" customWidth="1"/>
    <col min="5659" max="5659" width="16.7265625" style="30" customWidth="1"/>
    <col min="5660" max="5889" width="9.1796875" style="30"/>
    <col min="5890" max="5890" width="8.81640625" style="30" customWidth="1"/>
    <col min="5891" max="5891" width="30" style="30" customWidth="1"/>
    <col min="5892" max="5892" width="28" style="30" customWidth="1"/>
    <col min="5893" max="5893" width="26.7265625" style="30" customWidth="1"/>
    <col min="5894" max="5894" width="33.453125" style="30" customWidth="1"/>
    <col min="5895" max="5895" width="29.26953125" style="30" customWidth="1"/>
    <col min="5896" max="5896" width="14.1796875" style="30" customWidth="1"/>
    <col min="5897" max="5897" width="17.7265625" style="30" customWidth="1"/>
    <col min="5898" max="5898" width="16.7265625" style="30" customWidth="1"/>
    <col min="5899" max="5899" width="16.1796875" style="30" customWidth="1"/>
    <col min="5900" max="5900" width="17.453125" style="30" customWidth="1"/>
    <col min="5901" max="5901" width="15.7265625" style="30" customWidth="1"/>
    <col min="5902" max="5902" width="17.26953125" style="30" customWidth="1"/>
    <col min="5903" max="5903" width="18.7265625" style="30" customWidth="1"/>
    <col min="5904" max="5904" width="8.54296875" style="30" bestFit="1" customWidth="1"/>
    <col min="5905" max="5906" width="9.1796875" style="30"/>
    <col min="5907" max="5907" width="8.7265625" style="30" bestFit="1" customWidth="1"/>
    <col min="5908" max="5908" width="25.54296875" style="30" bestFit="1" customWidth="1"/>
    <col min="5909" max="5909" width="29.453125" style="30" bestFit="1" customWidth="1"/>
    <col min="5910" max="5910" width="18.453125" style="30" bestFit="1" customWidth="1"/>
    <col min="5911" max="5911" width="9.1796875" style="30"/>
    <col min="5912" max="5912" width="7.26953125" style="30" customWidth="1"/>
    <col min="5913" max="5913" width="32.26953125" style="30" customWidth="1"/>
    <col min="5914" max="5914" width="47" style="30" bestFit="1" customWidth="1"/>
    <col min="5915" max="5915" width="16.7265625" style="30" customWidth="1"/>
    <col min="5916" max="6145" width="9.1796875" style="30"/>
    <col min="6146" max="6146" width="8.81640625" style="30" customWidth="1"/>
    <col min="6147" max="6147" width="30" style="30" customWidth="1"/>
    <col min="6148" max="6148" width="28" style="30" customWidth="1"/>
    <col min="6149" max="6149" width="26.7265625" style="30" customWidth="1"/>
    <col min="6150" max="6150" width="33.453125" style="30" customWidth="1"/>
    <col min="6151" max="6151" width="29.26953125" style="30" customWidth="1"/>
    <col min="6152" max="6152" width="14.1796875" style="30" customWidth="1"/>
    <col min="6153" max="6153" width="17.7265625" style="30" customWidth="1"/>
    <col min="6154" max="6154" width="16.7265625" style="30" customWidth="1"/>
    <col min="6155" max="6155" width="16.1796875" style="30" customWidth="1"/>
    <col min="6156" max="6156" width="17.453125" style="30" customWidth="1"/>
    <col min="6157" max="6157" width="15.7265625" style="30" customWidth="1"/>
    <col min="6158" max="6158" width="17.26953125" style="30" customWidth="1"/>
    <col min="6159" max="6159" width="18.7265625" style="30" customWidth="1"/>
    <col min="6160" max="6160" width="8.54296875" style="30" bestFit="1" customWidth="1"/>
    <col min="6161" max="6162" width="9.1796875" style="30"/>
    <col min="6163" max="6163" width="8.7265625" style="30" bestFit="1" customWidth="1"/>
    <col min="6164" max="6164" width="25.54296875" style="30" bestFit="1" customWidth="1"/>
    <col min="6165" max="6165" width="29.453125" style="30" bestFit="1" customWidth="1"/>
    <col min="6166" max="6166" width="18.453125" style="30" bestFit="1" customWidth="1"/>
    <col min="6167" max="6167" width="9.1796875" style="30"/>
    <col min="6168" max="6168" width="7.26953125" style="30" customWidth="1"/>
    <col min="6169" max="6169" width="32.26953125" style="30" customWidth="1"/>
    <col min="6170" max="6170" width="47" style="30" bestFit="1" customWidth="1"/>
    <col min="6171" max="6171" width="16.7265625" style="30" customWidth="1"/>
    <col min="6172" max="6401" width="9.1796875" style="30"/>
    <col min="6402" max="6402" width="8.81640625" style="30" customWidth="1"/>
    <col min="6403" max="6403" width="30" style="30" customWidth="1"/>
    <col min="6404" max="6404" width="28" style="30" customWidth="1"/>
    <col min="6405" max="6405" width="26.7265625" style="30" customWidth="1"/>
    <col min="6406" max="6406" width="33.453125" style="30" customWidth="1"/>
    <col min="6407" max="6407" width="29.26953125" style="30" customWidth="1"/>
    <col min="6408" max="6408" width="14.1796875" style="30" customWidth="1"/>
    <col min="6409" max="6409" width="17.7265625" style="30" customWidth="1"/>
    <col min="6410" max="6410" width="16.7265625" style="30" customWidth="1"/>
    <col min="6411" max="6411" width="16.1796875" style="30" customWidth="1"/>
    <col min="6412" max="6412" width="17.453125" style="30" customWidth="1"/>
    <col min="6413" max="6413" width="15.7265625" style="30" customWidth="1"/>
    <col min="6414" max="6414" width="17.26953125" style="30" customWidth="1"/>
    <col min="6415" max="6415" width="18.7265625" style="30" customWidth="1"/>
    <col min="6416" max="6416" width="8.54296875" style="30" bestFit="1" customWidth="1"/>
    <col min="6417" max="6418" width="9.1796875" style="30"/>
    <col min="6419" max="6419" width="8.7265625" style="30" bestFit="1" customWidth="1"/>
    <col min="6420" max="6420" width="25.54296875" style="30" bestFit="1" customWidth="1"/>
    <col min="6421" max="6421" width="29.453125" style="30" bestFit="1" customWidth="1"/>
    <col min="6422" max="6422" width="18.453125" style="30" bestFit="1" customWidth="1"/>
    <col min="6423" max="6423" width="9.1796875" style="30"/>
    <col min="6424" max="6424" width="7.26953125" style="30" customWidth="1"/>
    <col min="6425" max="6425" width="32.26953125" style="30" customWidth="1"/>
    <col min="6426" max="6426" width="47" style="30" bestFit="1" customWidth="1"/>
    <col min="6427" max="6427" width="16.7265625" style="30" customWidth="1"/>
    <col min="6428" max="6657" width="9.1796875" style="30"/>
    <col min="6658" max="6658" width="8.81640625" style="30" customWidth="1"/>
    <col min="6659" max="6659" width="30" style="30" customWidth="1"/>
    <col min="6660" max="6660" width="28" style="30" customWidth="1"/>
    <col min="6661" max="6661" width="26.7265625" style="30" customWidth="1"/>
    <col min="6662" max="6662" width="33.453125" style="30" customWidth="1"/>
    <col min="6663" max="6663" width="29.26953125" style="30" customWidth="1"/>
    <col min="6664" max="6664" width="14.1796875" style="30" customWidth="1"/>
    <col min="6665" max="6665" width="17.7265625" style="30" customWidth="1"/>
    <col min="6666" max="6666" width="16.7265625" style="30" customWidth="1"/>
    <col min="6667" max="6667" width="16.1796875" style="30" customWidth="1"/>
    <col min="6668" max="6668" width="17.453125" style="30" customWidth="1"/>
    <col min="6669" max="6669" width="15.7265625" style="30" customWidth="1"/>
    <col min="6670" max="6670" width="17.26953125" style="30" customWidth="1"/>
    <col min="6671" max="6671" width="18.7265625" style="30" customWidth="1"/>
    <col min="6672" max="6672" width="8.54296875" style="30" bestFit="1" customWidth="1"/>
    <col min="6673" max="6674" width="9.1796875" style="30"/>
    <col min="6675" max="6675" width="8.7265625" style="30" bestFit="1" customWidth="1"/>
    <col min="6676" max="6676" width="25.54296875" style="30" bestFit="1" customWidth="1"/>
    <col min="6677" max="6677" width="29.453125" style="30" bestFit="1" customWidth="1"/>
    <col min="6678" max="6678" width="18.453125" style="30" bestFit="1" customWidth="1"/>
    <col min="6679" max="6679" width="9.1796875" style="30"/>
    <col min="6680" max="6680" width="7.26953125" style="30" customWidth="1"/>
    <col min="6681" max="6681" width="32.26953125" style="30" customWidth="1"/>
    <col min="6682" max="6682" width="47" style="30" bestFit="1" customWidth="1"/>
    <col min="6683" max="6683" width="16.7265625" style="30" customWidth="1"/>
    <col min="6684" max="6913" width="9.1796875" style="30"/>
    <col min="6914" max="6914" width="8.81640625" style="30" customWidth="1"/>
    <col min="6915" max="6915" width="30" style="30" customWidth="1"/>
    <col min="6916" max="6916" width="28" style="30" customWidth="1"/>
    <col min="6917" max="6917" width="26.7265625" style="30" customWidth="1"/>
    <col min="6918" max="6918" width="33.453125" style="30" customWidth="1"/>
    <col min="6919" max="6919" width="29.26953125" style="30" customWidth="1"/>
    <col min="6920" max="6920" width="14.1796875" style="30" customWidth="1"/>
    <col min="6921" max="6921" width="17.7265625" style="30" customWidth="1"/>
    <col min="6922" max="6922" width="16.7265625" style="30" customWidth="1"/>
    <col min="6923" max="6923" width="16.1796875" style="30" customWidth="1"/>
    <col min="6924" max="6924" width="17.453125" style="30" customWidth="1"/>
    <col min="6925" max="6925" width="15.7265625" style="30" customWidth="1"/>
    <col min="6926" max="6926" width="17.26953125" style="30" customWidth="1"/>
    <col min="6927" max="6927" width="18.7265625" style="30" customWidth="1"/>
    <col min="6928" max="6928" width="8.54296875" style="30" bestFit="1" customWidth="1"/>
    <col min="6929" max="6930" width="9.1796875" style="30"/>
    <col min="6931" max="6931" width="8.7265625" style="30" bestFit="1" customWidth="1"/>
    <col min="6932" max="6932" width="25.54296875" style="30" bestFit="1" customWidth="1"/>
    <col min="6933" max="6933" width="29.453125" style="30" bestFit="1" customWidth="1"/>
    <col min="6934" max="6934" width="18.453125" style="30" bestFit="1" customWidth="1"/>
    <col min="6935" max="6935" width="9.1796875" style="30"/>
    <col min="6936" max="6936" width="7.26953125" style="30" customWidth="1"/>
    <col min="6937" max="6937" width="32.26953125" style="30" customWidth="1"/>
    <col min="6938" max="6938" width="47" style="30" bestFit="1" customWidth="1"/>
    <col min="6939" max="6939" width="16.7265625" style="30" customWidth="1"/>
    <col min="6940" max="7169" width="9.1796875" style="30"/>
    <col min="7170" max="7170" width="8.81640625" style="30" customWidth="1"/>
    <col min="7171" max="7171" width="30" style="30" customWidth="1"/>
    <col min="7172" max="7172" width="28" style="30" customWidth="1"/>
    <col min="7173" max="7173" width="26.7265625" style="30" customWidth="1"/>
    <col min="7174" max="7174" width="33.453125" style="30" customWidth="1"/>
    <col min="7175" max="7175" width="29.26953125" style="30" customWidth="1"/>
    <col min="7176" max="7176" width="14.1796875" style="30" customWidth="1"/>
    <col min="7177" max="7177" width="17.7265625" style="30" customWidth="1"/>
    <col min="7178" max="7178" width="16.7265625" style="30" customWidth="1"/>
    <col min="7179" max="7179" width="16.1796875" style="30" customWidth="1"/>
    <col min="7180" max="7180" width="17.453125" style="30" customWidth="1"/>
    <col min="7181" max="7181" width="15.7265625" style="30" customWidth="1"/>
    <col min="7182" max="7182" width="17.26953125" style="30" customWidth="1"/>
    <col min="7183" max="7183" width="18.7265625" style="30" customWidth="1"/>
    <col min="7184" max="7184" width="8.54296875" style="30" bestFit="1" customWidth="1"/>
    <col min="7185" max="7186" width="9.1796875" style="30"/>
    <col min="7187" max="7187" width="8.7265625" style="30" bestFit="1" customWidth="1"/>
    <col min="7188" max="7188" width="25.54296875" style="30" bestFit="1" customWidth="1"/>
    <col min="7189" max="7189" width="29.453125" style="30" bestFit="1" customWidth="1"/>
    <col min="7190" max="7190" width="18.453125" style="30" bestFit="1" customWidth="1"/>
    <col min="7191" max="7191" width="9.1796875" style="30"/>
    <col min="7192" max="7192" width="7.26953125" style="30" customWidth="1"/>
    <col min="7193" max="7193" width="32.26953125" style="30" customWidth="1"/>
    <col min="7194" max="7194" width="47" style="30" bestFit="1" customWidth="1"/>
    <col min="7195" max="7195" width="16.7265625" style="30" customWidth="1"/>
    <col min="7196" max="7425" width="9.1796875" style="30"/>
    <col min="7426" max="7426" width="8.81640625" style="30" customWidth="1"/>
    <col min="7427" max="7427" width="30" style="30" customWidth="1"/>
    <col min="7428" max="7428" width="28" style="30" customWidth="1"/>
    <col min="7429" max="7429" width="26.7265625" style="30" customWidth="1"/>
    <col min="7430" max="7430" width="33.453125" style="30" customWidth="1"/>
    <col min="7431" max="7431" width="29.26953125" style="30" customWidth="1"/>
    <col min="7432" max="7432" width="14.1796875" style="30" customWidth="1"/>
    <col min="7433" max="7433" width="17.7265625" style="30" customWidth="1"/>
    <col min="7434" max="7434" width="16.7265625" style="30" customWidth="1"/>
    <col min="7435" max="7435" width="16.1796875" style="30" customWidth="1"/>
    <col min="7436" max="7436" width="17.453125" style="30" customWidth="1"/>
    <col min="7437" max="7437" width="15.7265625" style="30" customWidth="1"/>
    <col min="7438" max="7438" width="17.26953125" style="30" customWidth="1"/>
    <col min="7439" max="7439" width="18.7265625" style="30" customWidth="1"/>
    <col min="7440" max="7440" width="8.54296875" style="30" bestFit="1" customWidth="1"/>
    <col min="7441" max="7442" width="9.1796875" style="30"/>
    <col min="7443" max="7443" width="8.7265625" style="30" bestFit="1" customWidth="1"/>
    <col min="7444" max="7444" width="25.54296875" style="30" bestFit="1" customWidth="1"/>
    <col min="7445" max="7445" width="29.453125" style="30" bestFit="1" customWidth="1"/>
    <col min="7446" max="7446" width="18.453125" style="30" bestFit="1" customWidth="1"/>
    <col min="7447" max="7447" width="9.1796875" style="30"/>
    <col min="7448" max="7448" width="7.26953125" style="30" customWidth="1"/>
    <col min="7449" max="7449" width="32.26953125" style="30" customWidth="1"/>
    <col min="7450" max="7450" width="47" style="30" bestFit="1" customWidth="1"/>
    <col min="7451" max="7451" width="16.7265625" style="30" customWidth="1"/>
    <col min="7452" max="7681" width="9.1796875" style="30"/>
    <col min="7682" max="7682" width="8.81640625" style="30" customWidth="1"/>
    <col min="7683" max="7683" width="30" style="30" customWidth="1"/>
    <col min="7684" max="7684" width="28" style="30" customWidth="1"/>
    <col min="7685" max="7685" width="26.7265625" style="30" customWidth="1"/>
    <col min="7686" max="7686" width="33.453125" style="30" customWidth="1"/>
    <col min="7687" max="7687" width="29.26953125" style="30" customWidth="1"/>
    <col min="7688" max="7688" width="14.1796875" style="30" customWidth="1"/>
    <col min="7689" max="7689" width="17.7265625" style="30" customWidth="1"/>
    <col min="7690" max="7690" width="16.7265625" style="30" customWidth="1"/>
    <col min="7691" max="7691" width="16.1796875" style="30" customWidth="1"/>
    <col min="7692" max="7692" width="17.453125" style="30" customWidth="1"/>
    <col min="7693" max="7693" width="15.7265625" style="30" customWidth="1"/>
    <col min="7694" max="7694" width="17.26953125" style="30" customWidth="1"/>
    <col min="7695" max="7695" width="18.7265625" style="30" customWidth="1"/>
    <col min="7696" max="7696" width="8.54296875" style="30" bestFit="1" customWidth="1"/>
    <col min="7697" max="7698" width="9.1796875" style="30"/>
    <col min="7699" max="7699" width="8.7265625" style="30" bestFit="1" customWidth="1"/>
    <col min="7700" max="7700" width="25.54296875" style="30" bestFit="1" customWidth="1"/>
    <col min="7701" max="7701" width="29.453125" style="30" bestFit="1" customWidth="1"/>
    <col min="7702" max="7702" width="18.453125" style="30" bestFit="1" customWidth="1"/>
    <col min="7703" max="7703" width="9.1796875" style="30"/>
    <col min="7704" max="7704" width="7.26953125" style="30" customWidth="1"/>
    <col min="7705" max="7705" width="32.26953125" style="30" customWidth="1"/>
    <col min="7706" max="7706" width="47" style="30" bestFit="1" customWidth="1"/>
    <col min="7707" max="7707" width="16.7265625" style="30" customWidth="1"/>
    <col min="7708" max="7937" width="9.1796875" style="30"/>
    <col min="7938" max="7938" width="8.81640625" style="30" customWidth="1"/>
    <col min="7939" max="7939" width="30" style="30" customWidth="1"/>
    <col min="7940" max="7940" width="28" style="30" customWidth="1"/>
    <col min="7941" max="7941" width="26.7265625" style="30" customWidth="1"/>
    <col min="7942" max="7942" width="33.453125" style="30" customWidth="1"/>
    <col min="7943" max="7943" width="29.26953125" style="30" customWidth="1"/>
    <col min="7944" max="7944" width="14.1796875" style="30" customWidth="1"/>
    <col min="7945" max="7945" width="17.7265625" style="30" customWidth="1"/>
    <col min="7946" max="7946" width="16.7265625" style="30" customWidth="1"/>
    <col min="7947" max="7947" width="16.1796875" style="30" customWidth="1"/>
    <col min="7948" max="7948" width="17.453125" style="30" customWidth="1"/>
    <col min="7949" max="7949" width="15.7265625" style="30" customWidth="1"/>
    <col min="7950" max="7950" width="17.26953125" style="30" customWidth="1"/>
    <col min="7951" max="7951" width="18.7265625" style="30" customWidth="1"/>
    <col min="7952" max="7952" width="8.54296875" style="30" bestFit="1" customWidth="1"/>
    <col min="7953" max="7954" width="9.1796875" style="30"/>
    <col min="7955" max="7955" width="8.7265625" style="30" bestFit="1" customWidth="1"/>
    <col min="7956" max="7956" width="25.54296875" style="30" bestFit="1" customWidth="1"/>
    <col min="7957" max="7957" width="29.453125" style="30" bestFit="1" customWidth="1"/>
    <col min="7958" max="7958" width="18.453125" style="30" bestFit="1" customWidth="1"/>
    <col min="7959" max="7959" width="9.1796875" style="30"/>
    <col min="7960" max="7960" width="7.26953125" style="30" customWidth="1"/>
    <col min="7961" max="7961" width="32.26953125" style="30" customWidth="1"/>
    <col min="7962" max="7962" width="47" style="30" bestFit="1" customWidth="1"/>
    <col min="7963" max="7963" width="16.7265625" style="30" customWidth="1"/>
    <col min="7964" max="8193" width="9.1796875" style="30"/>
    <col min="8194" max="8194" width="8.81640625" style="30" customWidth="1"/>
    <col min="8195" max="8195" width="30" style="30" customWidth="1"/>
    <col min="8196" max="8196" width="28" style="30" customWidth="1"/>
    <col min="8197" max="8197" width="26.7265625" style="30" customWidth="1"/>
    <col min="8198" max="8198" width="33.453125" style="30" customWidth="1"/>
    <col min="8199" max="8199" width="29.26953125" style="30" customWidth="1"/>
    <col min="8200" max="8200" width="14.1796875" style="30" customWidth="1"/>
    <col min="8201" max="8201" width="17.7265625" style="30" customWidth="1"/>
    <col min="8202" max="8202" width="16.7265625" style="30" customWidth="1"/>
    <col min="8203" max="8203" width="16.1796875" style="30" customWidth="1"/>
    <col min="8204" max="8204" width="17.453125" style="30" customWidth="1"/>
    <col min="8205" max="8205" width="15.7265625" style="30" customWidth="1"/>
    <col min="8206" max="8206" width="17.26953125" style="30" customWidth="1"/>
    <col min="8207" max="8207" width="18.7265625" style="30" customWidth="1"/>
    <col min="8208" max="8208" width="8.54296875" style="30" bestFit="1" customWidth="1"/>
    <col min="8209" max="8210" width="9.1796875" style="30"/>
    <col min="8211" max="8211" width="8.7265625" style="30" bestFit="1" customWidth="1"/>
    <col min="8212" max="8212" width="25.54296875" style="30" bestFit="1" customWidth="1"/>
    <col min="8213" max="8213" width="29.453125" style="30" bestFit="1" customWidth="1"/>
    <col min="8214" max="8214" width="18.453125" style="30" bestFit="1" customWidth="1"/>
    <col min="8215" max="8215" width="9.1796875" style="30"/>
    <col min="8216" max="8216" width="7.26953125" style="30" customWidth="1"/>
    <col min="8217" max="8217" width="32.26953125" style="30" customWidth="1"/>
    <col min="8218" max="8218" width="47" style="30" bestFit="1" customWidth="1"/>
    <col min="8219" max="8219" width="16.7265625" style="30" customWidth="1"/>
    <col min="8220" max="8449" width="9.1796875" style="30"/>
    <col min="8450" max="8450" width="8.81640625" style="30" customWidth="1"/>
    <col min="8451" max="8451" width="30" style="30" customWidth="1"/>
    <col min="8452" max="8452" width="28" style="30" customWidth="1"/>
    <col min="8453" max="8453" width="26.7265625" style="30" customWidth="1"/>
    <col min="8454" max="8454" width="33.453125" style="30" customWidth="1"/>
    <col min="8455" max="8455" width="29.26953125" style="30" customWidth="1"/>
    <col min="8456" max="8456" width="14.1796875" style="30" customWidth="1"/>
    <col min="8457" max="8457" width="17.7265625" style="30" customWidth="1"/>
    <col min="8458" max="8458" width="16.7265625" style="30" customWidth="1"/>
    <col min="8459" max="8459" width="16.1796875" style="30" customWidth="1"/>
    <col min="8460" max="8460" width="17.453125" style="30" customWidth="1"/>
    <col min="8461" max="8461" width="15.7265625" style="30" customWidth="1"/>
    <col min="8462" max="8462" width="17.26953125" style="30" customWidth="1"/>
    <col min="8463" max="8463" width="18.7265625" style="30" customWidth="1"/>
    <col min="8464" max="8464" width="8.54296875" style="30" bestFit="1" customWidth="1"/>
    <col min="8465" max="8466" width="9.1796875" style="30"/>
    <col min="8467" max="8467" width="8.7265625" style="30" bestFit="1" customWidth="1"/>
    <col min="8468" max="8468" width="25.54296875" style="30" bestFit="1" customWidth="1"/>
    <col min="8469" max="8469" width="29.453125" style="30" bestFit="1" customWidth="1"/>
    <col min="8470" max="8470" width="18.453125" style="30" bestFit="1" customWidth="1"/>
    <col min="8471" max="8471" width="9.1796875" style="30"/>
    <col min="8472" max="8472" width="7.26953125" style="30" customWidth="1"/>
    <col min="8473" max="8473" width="32.26953125" style="30" customWidth="1"/>
    <col min="8474" max="8474" width="47" style="30" bestFit="1" customWidth="1"/>
    <col min="8475" max="8475" width="16.7265625" style="30" customWidth="1"/>
    <col min="8476" max="8705" width="9.1796875" style="30"/>
    <col min="8706" max="8706" width="8.81640625" style="30" customWidth="1"/>
    <col min="8707" max="8707" width="30" style="30" customWidth="1"/>
    <col min="8708" max="8708" width="28" style="30" customWidth="1"/>
    <col min="8709" max="8709" width="26.7265625" style="30" customWidth="1"/>
    <col min="8710" max="8710" width="33.453125" style="30" customWidth="1"/>
    <col min="8711" max="8711" width="29.26953125" style="30" customWidth="1"/>
    <col min="8712" max="8712" width="14.1796875" style="30" customWidth="1"/>
    <col min="8713" max="8713" width="17.7265625" style="30" customWidth="1"/>
    <col min="8714" max="8714" width="16.7265625" style="30" customWidth="1"/>
    <col min="8715" max="8715" width="16.1796875" style="30" customWidth="1"/>
    <col min="8716" max="8716" width="17.453125" style="30" customWidth="1"/>
    <col min="8717" max="8717" width="15.7265625" style="30" customWidth="1"/>
    <col min="8718" max="8718" width="17.26953125" style="30" customWidth="1"/>
    <col min="8719" max="8719" width="18.7265625" style="30" customWidth="1"/>
    <col min="8720" max="8720" width="8.54296875" style="30" bestFit="1" customWidth="1"/>
    <col min="8721" max="8722" width="9.1796875" style="30"/>
    <col min="8723" max="8723" width="8.7265625" style="30" bestFit="1" customWidth="1"/>
    <col min="8724" max="8724" width="25.54296875" style="30" bestFit="1" customWidth="1"/>
    <col min="8725" max="8725" width="29.453125" style="30" bestFit="1" customWidth="1"/>
    <col min="8726" max="8726" width="18.453125" style="30" bestFit="1" customWidth="1"/>
    <col min="8727" max="8727" width="9.1796875" style="30"/>
    <col min="8728" max="8728" width="7.26953125" style="30" customWidth="1"/>
    <col min="8729" max="8729" width="32.26953125" style="30" customWidth="1"/>
    <col min="8730" max="8730" width="47" style="30" bestFit="1" customWidth="1"/>
    <col min="8731" max="8731" width="16.7265625" style="30" customWidth="1"/>
    <col min="8732" max="8961" width="9.1796875" style="30"/>
    <col min="8962" max="8962" width="8.81640625" style="30" customWidth="1"/>
    <col min="8963" max="8963" width="30" style="30" customWidth="1"/>
    <col min="8964" max="8964" width="28" style="30" customWidth="1"/>
    <col min="8965" max="8965" width="26.7265625" style="30" customWidth="1"/>
    <col min="8966" max="8966" width="33.453125" style="30" customWidth="1"/>
    <col min="8967" max="8967" width="29.26953125" style="30" customWidth="1"/>
    <col min="8968" max="8968" width="14.1796875" style="30" customWidth="1"/>
    <col min="8969" max="8969" width="17.7265625" style="30" customWidth="1"/>
    <col min="8970" max="8970" width="16.7265625" style="30" customWidth="1"/>
    <col min="8971" max="8971" width="16.1796875" style="30" customWidth="1"/>
    <col min="8972" max="8972" width="17.453125" style="30" customWidth="1"/>
    <col min="8973" max="8973" width="15.7265625" style="30" customWidth="1"/>
    <col min="8974" max="8974" width="17.26953125" style="30" customWidth="1"/>
    <col min="8975" max="8975" width="18.7265625" style="30" customWidth="1"/>
    <col min="8976" max="8976" width="8.54296875" style="30" bestFit="1" customWidth="1"/>
    <col min="8977" max="8978" width="9.1796875" style="30"/>
    <col min="8979" max="8979" width="8.7265625" style="30" bestFit="1" customWidth="1"/>
    <col min="8980" max="8980" width="25.54296875" style="30" bestFit="1" customWidth="1"/>
    <col min="8981" max="8981" width="29.453125" style="30" bestFit="1" customWidth="1"/>
    <col min="8982" max="8982" width="18.453125" style="30" bestFit="1" customWidth="1"/>
    <col min="8983" max="8983" width="9.1796875" style="30"/>
    <col min="8984" max="8984" width="7.26953125" style="30" customWidth="1"/>
    <col min="8985" max="8985" width="32.26953125" style="30" customWidth="1"/>
    <col min="8986" max="8986" width="47" style="30" bestFit="1" customWidth="1"/>
    <col min="8987" max="8987" width="16.7265625" style="30" customWidth="1"/>
    <col min="8988" max="9217" width="9.1796875" style="30"/>
    <col min="9218" max="9218" width="8.81640625" style="30" customWidth="1"/>
    <col min="9219" max="9219" width="30" style="30" customWidth="1"/>
    <col min="9220" max="9220" width="28" style="30" customWidth="1"/>
    <col min="9221" max="9221" width="26.7265625" style="30" customWidth="1"/>
    <col min="9222" max="9222" width="33.453125" style="30" customWidth="1"/>
    <col min="9223" max="9223" width="29.26953125" style="30" customWidth="1"/>
    <col min="9224" max="9224" width="14.1796875" style="30" customWidth="1"/>
    <col min="9225" max="9225" width="17.7265625" style="30" customWidth="1"/>
    <col min="9226" max="9226" width="16.7265625" style="30" customWidth="1"/>
    <col min="9227" max="9227" width="16.1796875" style="30" customWidth="1"/>
    <col min="9228" max="9228" width="17.453125" style="30" customWidth="1"/>
    <col min="9229" max="9229" width="15.7265625" style="30" customWidth="1"/>
    <col min="9230" max="9230" width="17.26953125" style="30" customWidth="1"/>
    <col min="9231" max="9231" width="18.7265625" style="30" customWidth="1"/>
    <col min="9232" max="9232" width="8.54296875" style="30" bestFit="1" customWidth="1"/>
    <col min="9233" max="9234" width="9.1796875" style="30"/>
    <col min="9235" max="9235" width="8.7265625" style="30" bestFit="1" customWidth="1"/>
    <col min="9236" max="9236" width="25.54296875" style="30" bestFit="1" customWidth="1"/>
    <col min="9237" max="9237" width="29.453125" style="30" bestFit="1" customWidth="1"/>
    <col min="9238" max="9238" width="18.453125" style="30" bestFit="1" customWidth="1"/>
    <col min="9239" max="9239" width="9.1796875" style="30"/>
    <col min="9240" max="9240" width="7.26953125" style="30" customWidth="1"/>
    <col min="9241" max="9241" width="32.26953125" style="30" customWidth="1"/>
    <col min="9242" max="9242" width="47" style="30" bestFit="1" customWidth="1"/>
    <col min="9243" max="9243" width="16.7265625" style="30" customWidth="1"/>
    <col min="9244" max="9473" width="9.1796875" style="30"/>
    <col min="9474" max="9474" width="8.81640625" style="30" customWidth="1"/>
    <col min="9475" max="9475" width="30" style="30" customWidth="1"/>
    <col min="9476" max="9476" width="28" style="30" customWidth="1"/>
    <col min="9477" max="9477" width="26.7265625" style="30" customWidth="1"/>
    <col min="9478" max="9478" width="33.453125" style="30" customWidth="1"/>
    <col min="9479" max="9479" width="29.26953125" style="30" customWidth="1"/>
    <col min="9480" max="9480" width="14.1796875" style="30" customWidth="1"/>
    <col min="9481" max="9481" width="17.7265625" style="30" customWidth="1"/>
    <col min="9482" max="9482" width="16.7265625" style="30" customWidth="1"/>
    <col min="9483" max="9483" width="16.1796875" style="30" customWidth="1"/>
    <col min="9484" max="9484" width="17.453125" style="30" customWidth="1"/>
    <col min="9485" max="9485" width="15.7265625" style="30" customWidth="1"/>
    <col min="9486" max="9486" width="17.26953125" style="30" customWidth="1"/>
    <col min="9487" max="9487" width="18.7265625" style="30" customWidth="1"/>
    <col min="9488" max="9488" width="8.54296875" style="30" bestFit="1" customWidth="1"/>
    <col min="9489" max="9490" width="9.1796875" style="30"/>
    <col min="9491" max="9491" width="8.7265625" style="30" bestFit="1" customWidth="1"/>
    <col min="9492" max="9492" width="25.54296875" style="30" bestFit="1" customWidth="1"/>
    <col min="9493" max="9493" width="29.453125" style="30" bestFit="1" customWidth="1"/>
    <col min="9494" max="9494" width="18.453125" style="30" bestFit="1" customWidth="1"/>
    <col min="9495" max="9495" width="9.1796875" style="30"/>
    <col min="9496" max="9496" width="7.26953125" style="30" customWidth="1"/>
    <col min="9497" max="9497" width="32.26953125" style="30" customWidth="1"/>
    <col min="9498" max="9498" width="47" style="30" bestFit="1" customWidth="1"/>
    <col min="9499" max="9499" width="16.7265625" style="30" customWidth="1"/>
    <col min="9500" max="9729" width="9.1796875" style="30"/>
    <col min="9730" max="9730" width="8.81640625" style="30" customWidth="1"/>
    <col min="9731" max="9731" width="30" style="30" customWidth="1"/>
    <col min="9732" max="9732" width="28" style="30" customWidth="1"/>
    <col min="9733" max="9733" width="26.7265625" style="30" customWidth="1"/>
    <col min="9734" max="9734" width="33.453125" style="30" customWidth="1"/>
    <col min="9735" max="9735" width="29.26953125" style="30" customWidth="1"/>
    <col min="9736" max="9736" width="14.1796875" style="30" customWidth="1"/>
    <col min="9737" max="9737" width="17.7265625" style="30" customWidth="1"/>
    <col min="9738" max="9738" width="16.7265625" style="30" customWidth="1"/>
    <col min="9739" max="9739" width="16.1796875" style="30" customWidth="1"/>
    <col min="9740" max="9740" width="17.453125" style="30" customWidth="1"/>
    <col min="9741" max="9741" width="15.7265625" style="30" customWidth="1"/>
    <col min="9742" max="9742" width="17.26953125" style="30" customWidth="1"/>
    <col min="9743" max="9743" width="18.7265625" style="30" customWidth="1"/>
    <col min="9744" max="9744" width="8.54296875" style="30" bestFit="1" customWidth="1"/>
    <col min="9745" max="9746" width="9.1796875" style="30"/>
    <col min="9747" max="9747" width="8.7265625" style="30" bestFit="1" customWidth="1"/>
    <col min="9748" max="9748" width="25.54296875" style="30" bestFit="1" customWidth="1"/>
    <col min="9749" max="9749" width="29.453125" style="30" bestFit="1" customWidth="1"/>
    <col min="9750" max="9750" width="18.453125" style="30" bestFit="1" customWidth="1"/>
    <col min="9751" max="9751" width="9.1796875" style="30"/>
    <col min="9752" max="9752" width="7.26953125" style="30" customWidth="1"/>
    <col min="9753" max="9753" width="32.26953125" style="30" customWidth="1"/>
    <col min="9754" max="9754" width="47" style="30" bestFit="1" customWidth="1"/>
    <col min="9755" max="9755" width="16.7265625" style="30" customWidth="1"/>
    <col min="9756" max="9985" width="9.1796875" style="30"/>
    <col min="9986" max="9986" width="8.81640625" style="30" customWidth="1"/>
    <col min="9987" max="9987" width="30" style="30" customWidth="1"/>
    <col min="9988" max="9988" width="28" style="30" customWidth="1"/>
    <col min="9989" max="9989" width="26.7265625" style="30" customWidth="1"/>
    <col min="9990" max="9990" width="33.453125" style="30" customWidth="1"/>
    <col min="9991" max="9991" width="29.26953125" style="30" customWidth="1"/>
    <col min="9992" max="9992" width="14.1796875" style="30" customWidth="1"/>
    <col min="9993" max="9993" width="17.7265625" style="30" customWidth="1"/>
    <col min="9994" max="9994" width="16.7265625" style="30" customWidth="1"/>
    <col min="9995" max="9995" width="16.1796875" style="30" customWidth="1"/>
    <col min="9996" max="9996" width="17.453125" style="30" customWidth="1"/>
    <col min="9997" max="9997" width="15.7265625" style="30" customWidth="1"/>
    <col min="9998" max="9998" width="17.26953125" style="30" customWidth="1"/>
    <col min="9999" max="9999" width="18.7265625" style="30" customWidth="1"/>
    <col min="10000" max="10000" width="8.54296875" style="30" bestFit="1" customWidth="1"/>
    <col min="10001" max="10002" width="9.1796875" style="30"/>
    <col min="10003" max="10003" width="8.7265625" style="30" bestFit="1" customWidth="1"/>
    <col min="10004" max="10004" width="25.54296875" style="30" bestFit="1" customWidth="1"/>
    <col min="10005" max="10005" width="29.453125" style="30" bestFit="1" customWidth="1"/>
    <col min="10006" max="10006" width="18.453125" style="30" bestFit="1" customWidth="1"/>
    <col min="10007" max="10007" width="9.1796875" style="30"/>
    <col min="10008" max="10008" width="7.26953125" style="30" customWidth="1"/>
    <col min="10009" max="10009" width="32.26953125" style="30" customWidth="1"/>
    <col min="10010" max="10010" width="47" style="30" bestFit="1" customWidth="1"/>
    <col min="10011" max="10011" width="16.7265625" style="30" customWidth="1"/>
    <col min="10012" max="10241" width="9.1796875" style="30"/>
    <col min="10242" max="10242" width="8.81640625" style="30" customWidth="1"/>
    <col min="10243" max="10243" width="30" style="30" customWidth="1"/>
    <col min="10244" max="10244" width="28" style="30" customWidth="1"/>
    <col min="10245" max="10245" width="26.7265625" style="30" customWidth="1"/>
    <col min="10246" max="10246" width="33.453125" style="30" customWidth="1"/>
    <col min="10247" max="10247" width="29.26953125" style="30" customWidth="1"/>
    <col min="10248" max="10248" width="14.1796875" style="30" customWidth="1"/>
    <col min="10249" max="10249" width="17.7265625" style="30" customWidth="1"/>
    <col min="10250" max="10250" width="16.7265625" style="30" customWidth="1"/>
    <col min="10251" max="10251" width="16.1796875" style="30" customWidth="1"/>
    <col min="10252" max="10252" width="17.453125" style="30" customWidth="1"/>
    <col min="10253" max="10253" width="15.7265625" style="30" customWidth="1"/>
    <col min="10254" max="10254" width="17.26953125" style="30" customWidth="1"/>
    <col min="10255" max="10255" width="18.7265625" style="30" customWidth="1"/>
    <col min="10256" max="10256" width="8.54296875" style="30" bestFit="1" customWidth="1"/>
    <col min="10257" max="10258" width="9.1796875" style="30"/>
    <col min="10259" max="10259" width="8.7265625" style="30" bestFit="1" customWidth="1"/>
    <col min="10260" max="10260" width="25.54296875" style="30" bestFit="1" customWidth="1"/>
    <col min="10261" max="10261" width="29.453125" style="30" bestFit="1" customWidth="1"/>
    <col min="10262" max="10262" width="18.453125" style="30" bestFit="1" customWidth="1"/>
    <col min="10263" max="10263" width="9.1796875" style="30"/>
    <col min="10264" max="10264" width="7.26953125" style="30" customWidth="1"/>
    <col min="10265" max="10265" width="32.26953125" style="30" customWidth="1"/>
    <col min="10266" max="10266" width="47" style="30" bestFit="1" customWidth="1"/>
    <col min="10267" max="10267" width="16.7265625" style="30" customWidth="1"/>
    <col min="10268" max="10497" width="9.1796875" style="30"/>
    <col min="10498" max="10498" width="8.81640625" style="30" customWidth="1"/>
    <col min="10499" max="10499" width="30" style="30" customWidth="1"/>
    <col min="10500" max="10500" width="28" style="30" customWidth="1"/>
    <col min="10501" max="10501" width="26.7265625" style="30" customWidth="1"/>
    <col min="10502" max="10502" width="33.453125" style="30" customWidth="1"/>
    <col min="10503" max="10503" width="29.26953125" style="30" customWidth="1"/>
    <col min="10504" max="10504" width="14.1796875" style="30" customWidth="1"/>
    <col min="10505" max="10505" width="17.7265625" style="30" customWidth="1"/>
    <col min="10506" max="10506" width="16.7265625" style="30" customWidth="1"/>
    <col min="10507" max="10507" width="16.1796875" style="30" customWidth="1"/>
    <col min="10508" max="10508" width="17.453125" style="30" customWidth="1"/>
    <col min="10509" max="10509" width="15.7265625" style="30" customWidth="1"/>
    <col min="10510" max="10510" width="17.26953125" style="30" customWidth="1"/>
    <col min="10511" max="10511" width="18.7265625" style="30" customWidth="1"/>
    <col min="10512" max="10512" width="8.54296875" style="30" bestFit="1" customWidth="1"/>
    <col min="10513" max="10514" width="9.1796875" style="30"/>
    <col min="10515" max="10515" width="8.7265625" style="30" bestFit="1" customWidth="1"/>
    <col min="10516" max="10516" width="25.54296875" style="30" bestFit="1" customWidth="1"/>
    <col min="10517" max="10517" width="29.453125" style="30" bestFit="1" customWidth="1"/>
    <col min="10518" max="10518" width="18.453125" style="30" bestFit="1" customWidth="1"/>
    <col min="10519" max="10519" width="9.1796875" style="30"/>
    <col min="10520" max="10520" width="7.26953125" style="30" customWidth="1"/>
    <col min="10521" max="10521" width="32.26953125" style="30" customWidth="1"/>
    <col min="10522" max="10522" width="47" style="30" bestFit="1" customWidth="1"/>
    <col min="10523" max="10523" width="16.7265625" style="30" customWidth="1"/>
    <col min="10524" max="10753" width="9.1796875" style="30"/>
    <col min="10754" max="10754" width="8.81640625" style="30" customWidth="1"/>
    <col min="10755" max="10755" width="30" style="30" customWidth="1"/>
    <col min="10756" max="10756" width="28" style="30" customWidth="1"/>
    <col min="10757" max="10757" width="26.7265625" style="30" customWidth="1"/>
    <col min="10758" max="10758" width="33.453125" style="30" customWidth="1"/>
    <col min="10759" max="10759" width="29.26953125" style="30" customWidth="1"/>
    <col min="10760" max="10760" width="14.1796875" style="30" customWidth="1"/>
    <col min="10761" max="10761" width="17.7265625" style="30" customWidth="1"/>
    <col min="10762" max="10762" width="16.7265625" style="30" customWidth="1"/>
    <col min="10763" max="10763" width="16.1796875" style="30" customWidth="1"/>
    <col min="10764" max="10764" width="17.453125" style="30" customWidth="1"/>
    <col min="10765" max="10765" width="15.7265625" style="30" customWidth="1"/>
    <col min="10766" max="10766" width="17.26953125" style="30" customWidth="1"/>
    <col min="10767" max="10767" width="18.7265625" style="30" customWidth="1"/>
    <col min="10768" max="10768" width="8.54296875" style="30" bestFit="1" customWidth="1"/>
    <col min="10769" max="10770" width="9.1796875" style="30"/>
    <col min="10771" max="10771" width="8.7265625" style="30" bestFit="1" customWidth="1"/>
    <col min="10772" max="10772" width="25.54296875" style="30" bestFit="1" customWidth="1"/>
    <col min="10773" max="10773" width="29.453125" style="30" bestFit="1" customWidth="1"/>
    <col min="10774" max="10774" width="18.453125" style="30" bestFit="1" customWidth="1"/>
    <col min="10775" max="10775" width="9.1796875" style="30"/>
    <col min="10776" max="10776" width="7.26953125" style="30" customWidth="1"/>
    <col min="10777" max="10777" width="32.26953125" style="30" customWidth="1"/>
    <col min="10778" max="10778" width="47" style="30" bestFit="1" customWidth="1"/>
    <col min="10779" max="10779" width="16.7265625" style="30" customWidth="1"/>
    <col min="10780" max="11009" width="9.1796875" style="30"/>
    <col min="11010" max="11010" width="8.81640625" style="30" customWidth="1"/>
    <col min="11011" max="11011" width="30" style="30" customWidth="1"/>
    <col min="11012" max="11012" width="28" style="30" customWidth="1"/>
    <col min="11013" max="11013" width="26.7265625" style="30" customWidth="1"/>
    <col min="11014" max="11014" width="33.453125" style="30" customWidth="1"/>
    <col min="11015" max="11015" width="29.26953125" style="30" customWidth="1"/>
    <col min="11016" max="11016" width="14.1796875" style="30" customWidth="1"/>
    <col min="11017" max="11017" width="17.7265625" style="30" customWidth="1"/>
    <col min="11018" max="11018" width="16.7265625" style="30" customWidth="1"/>
    <col min="11019" max="11019" width="16.1796875" style="30" customWidth="1"/>
    <col min="11020" max="11020" width="17.453125" style="30" customWidth="1"/>
    <col min="11021" max="11021" width="15.7265625" style="30" customWidth="1"/>
    <col min="11022" max="11022" width="17.26953125" style="30" customWidth="1"/>
    <col min="11023" max="11023" width="18.7265625" style="30" customWidth="1"/>
    <col min="11024" max="11024" width="8.54296875" style="30" bestFit="1" customWidth="1"/>
    <col min="11025" max="11026" width="9.1796875" style="30"/>
    <col min="11027" max="11027" width="8.7265625" style="30" bestFit="1" customWidth="1"/>
    <col min="11028" max="11028" width="25.54296875" style="30" bestFit="1" customWidth="1"/>
    <col min="11029" max="11029" width="29.453125" style="30" bestFit="1" customWidth="1"/>
    <col min="11030" max="11030" width="18.453125" style="30" bestFit="1" customWidth="1"/>
    <col min="11031" max="11031" width="9.1796875" style="30"/>
    <col min="11032" max="11032" width="7.26953125" style="30" customWidth="1"/>
    <col min="11033" max="11033" width="32.26953125" style="30" customWidth="1"/>
    <col min="11034" max="11034" width="47" style="30" bestFit="1" customWidth="1"/>
    <col min="11035" max="11035" width="16.7265625" style="30" customWidth="1"/>
    <col min="11036" max="11265" width="9.1796875" style="30"/>
    <col min="11266" max="11266" width="8.81640625" style="30" customWidth="1"/>
    <col min="11267" max="11267" width="30" style="30" customWidth="1"/>
    <col min="11268" max="11268" width="28" style="30" customWidth="1"/>
    <col min="11269" max="11269" width="26.7265625" style="30" customWidth="1"/>
    <col min="11270" max="11270" width="33.453125" style="30" customWidth="1"/>
    <col min="11271" max="11271" width="29.26953125" style="30" customWidth="1"/>
    <col min="11272" max="11272" width="14.1796875" style="30" customWidth="1"/>
    <col min="11273" max="11273" width="17.7265625" style="30" customWidth="1"/>
    <col min="11274" max="11274" width="16.7265625" style="30" customWidth="1"/>
    <col min="11275" max="11275" width="16.1796875" style="30" customWidth="1"/>
    <col min="11276" max="11276" width="17.453125" style="30" customWidth="1"/>
    <col min="11277" max="11277" width="15.7265625" style="30" customWidth="1"/>
    <col min="11278" max="11278" width="17.26953125" style="30" customWidth="1"/>
    <col min="11279" max="11279" width="18.7265625" style="30" customWidth="1"/>
    <col min="11280" max="11280" width="8.54296875" style="30" bestFit="1" customWidth="1"/>
    <col min="11281" max="11282" width="9.1796875" style="30"/>
    <col min="11283" max="11283" width="8.7265625" style="30" bestFit="1" customWidth="1"/>
    <col min="11284" max="11284" width="25.54296875" style="30" bestFit="1" customWidth="1"/>
    <col min="11285" max="11285" width="29.453125" style="30" bestFit="1" customWidth="1"/>
    <col min="11286" max="11286" width="18.453125" style="30" bestFit="1" customWidth="1"/>
    <col min="11287" max="11287" width="9.1796875" style="30"/>
    <col min="11288" max="11288" width="7.26953125" style="30" customWidth="1"/>
    <col min="11289" max="11289" width="32.26953125" style="30" customWidth="1"/>
    <col min="11290" max="11290" width="47" style="30" bestFit="1" customWidth="1"/>
    <col min="11291" max="11291" width="16.7265625" style="30" customWidth="1"/>
    <col min="11292" max="11521" width="9.1796875" style="30"/>
    <col min="11522" max="11522" width="8.81640625" style="30" customWidth="1"/>
    <col min="11523" max="11523" width="30" style="30" customWidth="1"/>
    <col min="11524" max="11524" width="28" style="30" customWidth="1"/>
    <col min="11525" max="11525" width="26.7265625" style="30" customWidth="1"/>
    <col min="11526" max="11526" width="33.453125" style="30" customWidth="1"/>
    <col min="11527" max="11527" width="29.26953125" style="30" customWidth="1"/>
    <col min="11528" max="11528" width="14.1796875" style="30" customWidth="1"/>
    <col min="11529" max="11529" width="17.7265625" style="30" customWidth="1"/>
    <col min="11530" max="11530" width="16.7265625" style="30" customWidth="1"/>
    <col min="11531" max="11531" width="16.1796875" style="30" customWidth="1"/>
    <col min="11532" max="11532" width="17.453125" style="30" customWidth="1"/>
    <col min="11533" max="11533" width="15.7265625" style="30" customWidth="1"/>
    <col min="11534" max="11534" width="17.26953125" style="30" customWidth="1"/>
    <col min="11535" max="11535" width="18.7265625" style="30" customWidth="1"/>
    <col min="11536" max="11536" width="8.54296875" style="30" bestFit="1" customWidth="1"/>
    <col min="11537" max="11538" width="9.1796875" style="30"/>
    <col min="11539" max="11539" width="8.7265625" style="30" bestFit="1" customWidth="1"/>
    <col min="11540" max="11540" width="25.54296875" style="30" bestFit="1" customWidth="1"/>
    <col min="11541" max="11541" width="29.453125" style="30" bestFit="1" customWidth="1"/>
    <col min="11542" max="11542" width="18.453125" style="30" bestFit="1" customWidth="1"/>
    <col min="11543" max="11543" width="9.1796875" style="30"/>
    <col min="11544" max="11544" width="7.26953125" style="30" customWidth="1"/>
    <col min="11545" max="11545" width="32.26953125" style="30" customWidth="1"/>
    <col min="11546" max="11546" width="47" style="30" bestFit="1" customWidth="1"/>
    <col min="11547" max="11547" width="16.7265625" style="30" customWidth="1"/>
    <col min="11548" max="11777" width="9.1796875" style="30"/>
    <col min="11778" max="11778" width="8.81640625" style="30" customWidth="1"/>
    <col min="11779" max="11779" width="30" style="30" customWidth="1"/>
    <col min="11780" max="11780" width="28" style="30" customWidth="1"/>
    <col min="11781" max="11781" width="26.7265625" style="30" customWidth="1"/>
    <col min="11782" max="11782" width="33.453125" style="30" customWidth="1"/>
    <col min="11783" max="11783" width="29.26953125" style="30" customWidth="1"/>
    <col min="11784" max="11784" width="14.1796875" style="30" customWidth="1"/>
    <col min="11785" max="11785" width="17.7265625" style="30" customWidth="1"/>
    <col min="11786" max="11786" width="16.7265625" style="30" customWidth="1"/>
    <col min="11787" max="11787" width="16.1796875" style="30" customWidth="1"/>
    <col min="11788" max="11788" width="17.453125" style="30" customWidth="1"/>
    <col min="11789" max="11789" width="15.7265625" style="30" customWidth="1"/>
    <col min="11790" max="11790" width="17.26953125" style="30" customWidth="1"/>
    <col min="11791" max="11791" width="18.7265625" style="30" customWidth="1"/>
    <col min="11792" max="11792" width="8.54296875" style="30" bestFit="1" customWidth="1"/>
    <col min="11793" max="11794" width="9.1796875" style="30"/>
    <col min="11795" max="11795" width="8.7265625" style="30" bestFit="1" customWidth="1"/>
    <col min="11796" max="11796" width="25.54296875" style="30" bestFit="1" customWidth="1"/>
    <col min="11797" max="11797" width="29.453125" style="30" bestFit="1" customWidth="1"/>
    <col min="11798" max="11798" width="18.453125" style="30" bestFit="1" customWidth="1"/>
    <col min="11799" max="11799" width="9.1796875" style="30"/>
    <col min="11800" max="11800" width="7.26953125" style="30" customWidth="1"/>
    <col min="11801" max="11801" width="32.26953125" style="30" customWidth="1"/>
    <col min="11802" max="11802" width="47" style="30" bestFit="1" customWidth="1"/>
    <col min="11803" max="11803" width="16.7265625" style="30" customWidth="1"/>
    <col min="11804" max="12033" width="9.1796875" style="30"/>
    <col min="12034" max="12034" width="8.81640625" style="30" customWidth="1"/>
    <col min="12035" max="12035" width="30" style="30" customWidth="1"/>
    <col min="12036" max="12036" width="28" style="30" customWidth="1"/>
    <col min="12037" max="12037" width="26.7265625" style="30" customWidth="1"/>
    <col min="12038" max="12038" width="33.453125" style="30" customWidth="1"/>
    <col min="12039" max="12039" width="29.26953125" style="30" customWidth="1"/>
    <col min="12040" max="12040" width="14.1796875" style="30" customWidth="1"/>
    <col min="12041" max="12041" width="17.7265625" style="30" customWidth="1"/>
    <col min="12042" max="12042" width="16.7265625" style="30" customWidth="1"/>
    <col min="12043" max="12043" width="16.1796875" style="30" customWidth="1"/>
    <col min="12044" max="12044" width="17.453125" style="30" customWidth="1"/>
    <col min="12045" max="12045" width="15.7265625" style="30" customWidth="1"/>
    <col min="12046" max="12046" width="17.26953125" style="30" customWidth="1"/>
    <col min="12047" max="12047" width="18.7265625" style="30" customWidth="1"/>
    <col min="12048" max="12048" width="8.54296875" style="30" bestFit="1" customWidth="1"/>
    <col min="12049" max="12050" width="9.1796875" style="30"/>
    <col min="12051" max="12051" width="8.7265625" style="30" bestFit="1" customWidth="1"/>
    <col min="12052" max="12052" width="25.54296875" style="30" bestFit="1" customWidth="1"/>
    <col min="12053" max="12053" width="29.453125" style="30" bestFit="1" customWidth="1"/>
    <col min="12054" max="12054" width="18.453125" style="30" bestFit="1" customWidth="1"/>
    <col min="12055" max="12055" width="9.1796875" style="30"/>
    <col min="12056" max="12056" width="7.26953125" style="30" customWidth="1"/>
    <col min="12057" max="12057" width="32.26953125" style="30" customWidth="1"/>
    <col min="12058" max="12058" width="47" style="30" bestFit="1" customWidth="1"/>
    <col min="12059" max="12059" width="16.7265625" style="30" customWidth="1"/>
    <col min="12060" max="12289" width="9.1796875" style="30"/>
    <col min="12290" max="12290" width="8.81640625" style="30" customWidth="1"/>
    <col min="12291" max="12291" width="30" style="30" customWidth="1"/>
    <col min="12292" max="12292" width="28" style="30" customWidth="1"/>
    <col min="12293" max="12293" width="26.7265625" style="30" customWidth="1"/>
    <col min="12294" max="12294" width="33.453125" style="30" customWidth="1"/>
    <col min="12295" max="12295" width="29.26953125" style="30" customWidth="1"/>
    <col min="12296" max="12296" width="14.1796875" style="30" customWidth="1"/>
    <col min="12297" max="12297" width="17.7265625" style="30" customWidth="1"/>
    <col min="12298" max="12298" width="16.7265625" style="30" customWidth="1"/>
    <col min="12299" max="12299" width="16.1796875" style="30" customWidth="1"/>
    <col min="12300" max="12300" width="17.453125" style="30" customWidth="1"/>
    <col min="12301" max="12301" width="15.7265625" style="30" customWidth="1"/>
    <col min="12302" max="12302" width="17.26953125" style="30" customWidth="1"/>
    <col min="12303" max="12303" width="18.7265625" style="30" customWidth="1"/>
    <col min="12304" max="12304" width="8.54296875" style="30" bestFit="1" customWidth="1"/>
    <col min="12305" max="12306" width="9.1796875" style="30"/>
    <col min="12307" max="12307" width="8.7265625" style="30" bestFit="1" customWidth="1"/>
    <col min="12308" max="12308" width="25.54296875" style="30" bestFit="1" customWidth="1"/>
    <col min="12309" max="12309" width="29.453125" style="30" bestFit="1" customWidth="1"/>
    <col min="12310" max="12310" width="18.453125" style="30" bestFit="1" customWidth="1"/>
    <col min="12311" max="12311" width="9.1796875" style="30"/>
    <col min="12312" max="12312" width="7.26953125" style="30" customWidth="1"/>
    <col min="12313" max="12313" width="32.26953125" style="30" customWidth="1"/>
    <col min="12314" max="12314" width="47" style="30" bestFit="1" customWidth="1"/>
    <col min="12315" max="12315" width="16.7265625" style="30" customWidth="1"/>
    <col min="12316" max="12545" width="9.1796875" style="30"/>
    <col min="12546" max="12546" width="8.81640625" style="30" customWidth="1"/>
    <col min="12547" max="12547" width="30" style="30" customWidth="1"/>
    <col min="12548" max="12548" width="28" style="30" customWidth="1"/>
    <col min="12549" max="12549" width="26.7265625" style="30" customWidth="1"/>
    <col min="12550" max="12550" width="33.453125" style="30" customWidth="1"/>
    <col min="12551" max="12551" width="29.26953125" style="30" customWidth="1"/>
    <col min="12552" max="12552" width="14.1796875" style="30" customWidth="1"/>
    <col min="12553" max="12553" width="17.7265625" style="30" customWidth="1"/>
    <col min="12554" max="12554" width="16.7265625" style="30" customWidth="1"/>
    <col min="12555" max="12555" width="16.1796875" style="30" customWidth="1"/>
    <col min="12556" max="12556" width="17.453125" style="30" customWidth="1"/>
    <col min="12557" max="12557" width="15.7265625" style="30" customWidth="1"/>
    <col min="12558" max="12558" width="17.26953125" style="30" customWidth="1"/>
    <col min="12559" max="12559" width="18.7265625" style="30" customWidth="1"/>
    <col min="12560" max="12560" width="8.54296875" style="30" bestFit="1" customWidth="1"/>
    <col min="12561" max="12562" width="9.1796875" style="30"/>
    <col min="12563" max="12563" width="8.7265625" style="30" bestFit="1" customWidth="1"/>
    <col min="12564" max="12564" width="25.54296875" style="30" bestFit="1" customWidth="1"/>
    <col min="12565" max="12565" width="29.453125" style="30" bestFit="1" customWidth="1"/>
    <col min="12566" max="12566" width="18.453125" style="30" bestFit="1" customWidth="1"/>
    <col min="12567" max="12567" width="9.1796875" style="30"/>
    <col min="12568" max="12568" width="7.26953125" style="30" customWidth="1"/>
    <col min="12569" max="12569" width="32.26953125" style="30" customWidth="1"/>
    <col min="12570" max="12570" width="47" style="30" bestFit="1" customWidth="1"/>
    <col min="12571" max="12571" width="16.7265625" style="30" customWidth="1"/>
    <col min="12572" max="12801" width="9.1796875" style="30"/>
    <col min="12802" max="12802" width="8.81640625" style="30" customWidth="1"/>
    <col min="12803" max="12803" width="30" style="30" customWidth="1"/>
    <col min="12804" max="12804" width="28" style="30" customWidth="1"/>
    <col min="12805" max="12805" width="26.7265625" style="30" customWidth="1"/>
    <col min="12806" max="12806" width="33.453125" style="30" customWidth="1"/>
    <col min="12807" max="12807" width="29.26953125" style="30" customWidth="1"/>
    <col min="12808" max="12808" width="14.1796875" style="30" customWidth="1"/>
    <col min="12809" max="12809" width="17.7265625" style="30" customWidth="1"/>
    <col min="12810" max="12810" width="16.7265625" style="30" customWidth="1"/>
    <col min="12811" max="12811" width="16.1796875" style="30" customWidth="1"/>
    <col min="12812" max="12812" width="17.453125" style="30" customWidth="1"/>
    <col min="12813" max="12813" width="15.7265625" style="30" customWidth="1"/>
    <col min="12814" max="12814" width="17.26953125" style="30" customWidth="1"/>
    <col min="12815" max="12815" width="18.7265625" style="30" customWidth="1"/>
    <col min="12816" max="12816" width="8.54296875" style="30" bestFit="1" customWidth="1"/>
    <col min="12817" max="12818" width="9.1796875" style="30"/>
    <col min="12819" max="12819" width="8.7265625" style="30" bestFit="1" customWidth="1"/>
    <col min="12820" max="12820" width="25.54296875" style="30" bestFit="1" customWidth="1"/>
    <col min="12821" max="12821" width="29.453125" style="30" bestFit="1" customWidth="1"/>
    <col min="12822" max="12822" width="18.453125" style="30" bestFit="1" customWidth="1"/>
    <col min="12823" max="12823" width="9.1796875" style="30"/>
    <col min="12824" max="12824" width="7.26953125" style="30" customWidth="1"/>
    <col min="12825" max="12825" width="32.26953125" style="30" customWidth="1"/>
    <col min="12826" max="12826" width="47" style="30" bestFit="1" customWidth="1"/>
    <col min="12827" max="12827" width="16.7265625" style="30" customWidth="1"/>
    <col min="12828" max="13057" width="9.1796875" style="30"/>
    <col min="13058" max="13058" width="8.81640625" style="30" customWidth="1"/>
    <col min="13059" max="13059" width="30" style="30" customWidth="1"/>
    <col min="13060" max="13060" width="28" style="30" customWidth="1"/>
    <col min="13061" max="13061" width="26.7265625" style="30" customWidth="1"/>
    <col min="13062" max="13062" width="33.453125" style="30" customWidth="1"/>
    <col min="13063" max="13063" width="29.26953125" style="30" customWidth="1"/>
    <col min="13064" max="13064" width="14.1796875" style="30" customWidth="1"/>
    <col min="13065" max="13065" width="17.7265625" style="30" customWidth="1"/>
    <col min="13066" max="13066" width="16.7265625" style="30" customWidth="1"/>
    <col min="13067" max="13067" width="16.1796875" style="30" customWidth="1"/>
    <col min="13068" max="13068" width="17.453125" style="30" customWidth="1"/>
    <col min="13069" max="13069" width="15.7265625" style="30" customWidth="1"/>
    <col min="13070" max="13070" width="17.26953125" style="30" customWidth="1"/>
    <col min="13071" max="13071" width="18.7265625" style="30" customWidth="1"/>
    <col min="13072" max="13072" width="8.54296875" style="30" bestFit="1" customWidth="1"/>
    <col min="13073" max="13074" width="9.1796875" style="30"/>
    <col min="13075" max="13075" width="8.7265625" style="30" bestFit="1" customWidth="1"/>
    <col min="13076" max="13076" width="25.54296875" style="30" bestFit="1" customWidth="1"/>
    <col min="13077" max="13077" width="29.453125" style="30" bestFit="1" customWidth="1"/>
    <col min="13078" max="13078" width="18.453125" style="30" bestFit="1" customWidth="1"/>
    <col min="13079" max="13079" width="9.1796875" style="30"/>
    <col min="13080" max="13080" width="7.26953125" style="30" customWidth="1"/>
    <col min="13081" max="13081" width="32.26953125" style="30" customWidth="1"/>
    <col min="13082" max="13082" width="47" style="30" bestFit="1" customWidth="1"/>
    <col min="13083" max="13083" width="16.7265625" style="30" customWidth="1"/>
    <col min="13084" max="13313" width="9.1796875" style="30"/>
    <col min="13314" max="13314" width="8.81640625" style="30" customWidth="1"/>
    <col min="13315" max="13315" width="30" style="30" customWidth="1"/>
    <col min="13316" max="13316" width="28" style="30" customWidth="1"/>
    <col min="13317" max="13317" width="26.7265625" style="30" customWidth="1"/>
    <col min="13318" max="13318" width="33.453125" style="30" customWidth="1"/>
    <col min="13319" max="13319" width="29.26953125" style="30" customWidth="1"/>
    <col min="13320" max="13320" width="14.1796875" style="30" customWidth="1"/>
    <col min="13321" max="13321" width="17.7265625" style="30" customWidth="1"/>
    <col min="13322" max="13322" width="16.7265625" style="30" customWidth="1"/>
    <col min="13323" max="13323" width="16.1796875" style="30" customWidth="1"/>
    <col min="13324" max="13324" width="17.453125" style="30" customWidth="1"/>
    <col min="13325" max="13325" width="15.7265625" style="30" customWidth="1"/>
    <col min="13326" max="13326" width="17.26953125" style="30" customWidth="1"/>
    <col min="13327" max="13327" width="18.7265625" style="30" customWidth="1"/>
    <col min="13328" max="13328" width="8.54296875" style="30" bestFit="1" customWidth="1"/>
    <col min="13329" max="13330" width="9.1796875" style="30"/>
    <col min="13331" max="13331" width="8.7265625" style="30" bestFit="1" customWidth="1"/>
    <col min="13332" max="13332" width="25.54296875" style="30" bestFit="1" customWidth="1"/>
    <col min="13333" max="13333" width="29.453125" style="30" bestFit="1" customWidth="1"/>
    <col min="13334" max="13334" width="18.453125" style="30" bestFit="1" customWidth="1"/>
    <col min="13335" max="13335" width="9.1796875" style="30"/>
    <col min="13336" max="13336" width="7.26953125" style="30" customWidth="1"/>
    <col min="13337" max="13337" width="32.26953125" style="30" customWidth="1"/>
    <col min="13338" max="13338" width="47" style="30" bestFit="1" customWidth="1"/>
    <col min="13339" max="13339" width="16.7265625" style="30" customWidth="1"/>
    <col min="13340" max="13569" width="9.1796875" style="30"/>
    <col min="13570" max="13570" width="8.81640625" style="30" customWidth="1"/>
    <col min="13571" max="13571" width="30" style="30" customWidth="1"/>
    <col min="13572" max="13572" width="28" style="30" customWidth="1"/>
    <col min="13573" max="13573" width="26.7265625" style="30" customWidth="1"/>
    <col min="13574" max="13574" width="33.453125" style="30" customWidth="1"/>
    <col min="13575" max="13575" width="29.26953125" style="30" customWidth="1"/>
    <col min="13576" max="13576" width="14.1796875" style="30" customWidth="1"/>
    <col min="13577" max="13577" width="17.7265625" style="30" customWidth="1"/>
    <col min="13578" max="13578" width="16.7265625" style="30" customWidth="1"/>
    <col min="13579" max="13579" width="16.1796875" style="30" customWidth="1"/>
    <col min="13580" max="13580" width="17.453125" style="30" customWidth="1"/>
    <col min="13581" max="13581" width="15.7265625" style="30" customWidth="1"/>
    <col min="13582" max="13582" width="17.26953125" style="30" customWidth="1"/>
    <col min="13583" max="13583" width="18.7265625" style="30" customWidth="1"/>
    <col min="13584" max="13584" width="8.54296875" style="30" bestFit="1" customWidth="1"/>
    <col min="13585" max="13586" width="9.1796875" style="30"/>
    <col min="13587" max="13587" width="8.7265625" style="30" bestFit="1" customWidth="1"/>
    <col min="13588" max="13588" width="25.54296875" style="30" bestFit="1" customWidth="1"/>
    <col min="13589" max="13589" width="29.453125" style="30" bestFit="1" customWidth="1"/>
    <col min="13590" max="13590" width="18.453125" style="30" bestFit="1" customWidth="1"/>
    <col min="13591" max="13591" width="9.1796875" style="30"/>
    <col min="13592" max="13592" width="7.26953125" style="30" customWidth="1"/>
    <col min="13593" max="13593" width="32.26953125" style="30" customWidth="1"/>
    <col min="13594" max="13594" width="47" style="30" bestFit="1" customWidth="1"/>
    <col min="13595" max="13595" width="16.7265625" style="30" customWidth="1"/>
    <col min="13596" max="13825" width="9.1796875" style="30"/>
    <col min="13826" max="13826" width="8.81640625" style="30" customWidth="1"/>
    <col min="13827" max="13827" width="30" style="30" customWidth="1"/>
    <col min="13828" max="13828" width="28" style="30" customWidth="1"/>
    <col min="13829" max="13829" width="26.7265625" style="30" customWidth="1"/>
    <col min="13830" max="13830" width="33.453125" style="30" customWidth="1"/>
    <col min="13831" max="13831" width="29.26953125" style="30" customWidth="1"/>
    <col min="13832" max="13832" width="14.1796875" style="30" customWidth="1"/>
    <col min="13833" max="13833" width="17.7265625" style="30" customWidth="1"/>
    <col min="13834" max="13834" width="16.7265625" style="30" customWidth="1"/>
    <col min="13835" max="13835" width="16.1796875" style="30" customWidth="1"/>
    <col min="13836" max="13836" width="17.453125" style="30" customWidth="1"/>
    <col min="13837" max="13837" width="15.7265625" style="30" customWidth="1"/>
    <col min="13838" max="13838" width="17.26953125" style="30" customWidth="1"/>
    <col min="13839" max="13839" width="18.7265625" style="30" customWidth="1"/>
    <col min="13840" max="13840" width="8.54296875" style="30" bestFit="1" customWidth="1"/>
    <col min="13841" max="13842" width="9.1796875" style="30"/>
    <col min="13843" max="13843" width="8.7265625" style="30" bestFit="1" customWidth="1"/>
    <col min="13844" max="13844" width="25.54296875" style="30" bestFit="1" customWidth="1"/>
    <col min="13845" max="13845" width="29.453125" style="30" bestFit="1" customWidth="1"/>
    <col min="13846" max="13846" width="18.453125" style="30" bestFit="1" customWidth="1"/>
    <col min="13847" max="13847" width="9.1796875" style="30"/>
    <col min="13848" max="13848" width="7.26953125" style="30" customWidth="1"/>
    <col min="13849" max="13849" width="32.26953125" style="30" customWidth="1"/>
    <col min="13850" max="13850" width="47" style="30" bestFit="1" customWidth="1"/>
    <col min="13851" max="13851" width="16.7265625" style="30" customWidth="1"/>
    <col min="13852" max="14081" width="9.1796875" style="30"/>
    <col min="14082" max="14082" width="8.81640625" style="30" customWidth="1"/>
    <col min="14083" max="14083" width="30" style="30" customWidth="1"/>
    <col min="14084" max="14084" width="28" style="30" customWidth="1"/>
    <col min="14085" max="14085" width="26.7265625" style="30" customWidth="1"/>
    <col min="14086" max="14086" width="33.453125" style="30" customWidth="1"/>
    <col min="14087" max="14087" width="29.26953125" style="30" customWidth="1"/>
    <col min="14088" max="14088" width="14.1796875" style="30" customWidth="1"/>
    <col min="14089" max="14089" width="17.7265625" style="30" customWidth="1"/>
    <col min="14090" max="14090" width="16.7265625" style="30" customWidth="1"/>
    <col min="14091" max="14091" width="16.1796875" style="30" customWidth="1"/>
    <col min="14092" max="14092" width="17.453125" style="30" customWidth="1"/>
    <col min="14093" max="14093" width="15.7265625" style="30" customWidth="1"/>
    <col min="14094" max="14094" width="17.26953125" style="30" customWidth="1"/>
    <col min="14095" max="14095" width="18.7265625" style="30" customWidth="1"/>
    <col min="14096" max="14096" width="8.54296875" style="30" bestFit="1" customWidth="1"/>
    <col min="14097" max="14098" width="9.1796875" style="30"/>
    <col min="14099" max="14099" width="8.7265625" style="30" bestFit="1" customWidth="1"/>
    <col min="14100" max="14100" width="25.54296875" style="30" bestFit="1" customWidth="1"/>
    <col min="14101" max="14101" width="29.453125" style="30" bestFit="1" customWidth="1"/>
    <col min="14102" max="14102" width="18.453125" style="30" bestFit="1" customWidth="1"/>
    <col min="14103" max="14103" width="9.1796875" style="30"/>
    <col min="14104" max="14104" width="7.26953125" style="30" customWidth="1"/>
    <col min="14105" max="14105" width="32.26953125" style="30" customWidth="1"/>
    <col min="14106" max="14106" width="47" style="30" bestFit="1" customWidth="1"/>
    <col min="14107" max="14107" width="16.7265625" style="30" customWidth="1"/>
    <col min="14108" max="14337" width="9.1796875" style="30"/>
    <col min="14338" max="14338" width="8.81640625" style="30" customWidth="1"/>
    <col min="14339" max="14339" width="30" style="30" customWidth="1"/>
    <col min="14340" max="14340" width="28" style="30" customWidth="1"/>
    <col min="14341" max="14341" width="26.7265625" style="30" customWidth="1"/>
    <col min="14342" max="14342" width="33.453125" style="30" customWidth="1"/>
    <col min="14343" max="14343" width="29.26953125" style="30" customWidth="1"/>
    <col min="14344" max="14344" width="14.1796875" style="30" customWidth="1"/>
    <col min="14345" max="14345" width="17.7265625" style="30" customWidth="1"/>
    <col min="14346" max="14346" width="16.7265625" style="30" customWidth="1"/>
    <col min="14347" max="14347" width="16.1796875" style="30" customWidth="1"/>
    <col min="14348" max="14348" width="17.453125" style="30" customWidth="1"/>
    <col min="14349" max="14349" width="15.7265625" style="30" customWidth="1"/>
    <col min="14350" max="14350" width="17.26953125" style="30" customWidth="1"/>
    <col min="14351" max="14351" width="18.7265625" style="30" customWidth="1"/>
    <col min="14352" max="14352" width="8.54296875" style="30" bestFit="1" customWidth="1"/>
    <col min="14353" max="14354" width="9.1796875" style="30"/>
    <col min="14355" max="14355" width="8.7265625" style="30" bestFit="1" customWidth="1"/>
    <col min="14356" max="14356" width="25.54296875" style="30" bestFit="1" customWidth="1"/>
    <col min="14357" max="14357" width="29.453125" style="30" bestFit="1" customWidth="1"/>
    <col min="14358" max="14358" width="18.453125" style="30" bestFit="1" customWidth="1"/>
    <col min="14359" max="14359" width="9.1796875" style="30"/>
    <col min="14360" max="14360" width="7.26953125" style="30" customWidth="1"/>
    <col min="14361" max="14361" width="32.26953125" style="30" customWidth="1"/>
    <col min="14362" max="14362" width="47" style="30" bestFit="1" customWidth="1"/>
    <col min="14363" max="14363" width="16.7265625" style="30" customWidth="1"/>
    <col min="14364" max="14593" width="9.1796875" style="30"/>
    <col min="14594" max="14594" width="8.81640625" style="30" customWidth="1"/>
    <col min="14595" max="14595" width="30" style="30" customWidth="1"/>
    <col min="14596" max="14596" width="28" style="30" customWidth="1"/>
    <col min="14597" max="14597" width="26.7265625" style="30" customWidth="1"/>
    <col min="14598" max="14598" width="33.453125" style="30" customWidth="1"/>
    <col min="14599" max="14599" width="29.26953125" style="30" customWidth="1"/>
    <col min="14600" max="14600" width="14.1796875" style="30" customWidth="1"/>
    <col min="14601" max="14601" width="17.7265625" style="30" customWidth="1"/>
    <col min="14602" max="14602" width="16.7265625" style="30" customWidth="1"/>
    <col min="14603" max="14603" width="16.1796875" style="30" customWidth="1"/>
    <col min="14604" max="14604" width="17.453125" style="30" customWidth="1"/>
    <col min="14605" max="14605" width="15.7265625" style="30" customWidth="1"/>
    <col min="14606" max="14606" width="17.26953125" style="30" customWidth="1"/>
    <col min="14607" max="14607" width="18.7265625" style="30" customWidth="1"/>
    <col min="14608" max="14608" width="8.54296875" style="30" bestFit="1" customWidth="1"/>
    <col min="14609" max="14610" width="9.1796875" style="30"/>
    <col min="14611" max="14611" width="8.7265625" style="30" bestFit="1" customWidth="1"/>
    <col min="14612" max="14612" width="25.54296875" style="30" bestFit="1" customWidth="1"/>
    <col min="14613" max="14613" width="29.453125" style="30" bestFit="1" customWidth="1"/>
    <col min="14614" max="14614" width="18.453125" style="30" bestFit="1" customWidth="1"/>
    <col min="14615" max="14615" width="9.1796875" style="30"/>
    <col min="14616" max="14616" width="7.26953125" style="30" customWidth="1"/>
    <col min="14617" max="14617" width="32.26953125" style="30" customWidth="1"/>
    <col min="14618" max="14618" width="47" style="30" bestFit="1" customWidth="1"/>
    <col min="14619" max="14619" width="16.7265625" style="30" customWidth="1"/>
    <col min="14620" max="14849" width="9.1796875" style="30"/>
    <col min="14850" max="14850" width="8.81640625" style="30" customWidth="1"/>
    <col min="14851" max="14851" width="30" style="30" customWidth="1"/>
    <col min="14852" max="14852" width="28" style="30" customWidth="1"/>
    <col min="14853" max="14853" width="26.7265625" style="30" customWidth="1"/>
    <col min="14854" max="14854" width="33.453125" style="30" customWidth="1"/>
    <col min="14855" max="14855" width="29.26953125" style="30" customWidth="1"/>
    <col min="14856" max="14856" width="14.1796875" style="30" customWidth="1"/>
    <col min="14857" max="14857" width="17.7265625" style="30" customWidth="1"/>
    <col min="14858" max="14858" width="16.7265625" style="30" customWidth="1"/>
    <col min="14859" max="14859" width="16.1796875" style="30" customWidth="1"/>
    <col min="14860" max="14860" width="17.453125" style="30" customWidth="1"/>
    <col min="14861" max="14861" width="15.7265625" style="30" customWidth="1"/>
    <col min="14862" max="14862" width="17.26953125" style="30" customWidth="1"/>
    <col min="14863" max="14863" width="18.7265625" style="30" customWidth="1"/>
    <col min="14864" max="14864" width="8.54296875" style="30" bestFit="1" customWidth="1"/>
    <col min="14865" max="14866" width="9.1796875" style="30"/>
    <col min="14867" max="14867" width="8.7265625" style="30" bestFit="1" customWidth="1"/>
    <col min="14868" max="14868" width="25.54296875" style="30" bestFit="1" customWidth="1"/>
    <col min="14869" max="14869" width="29.453125" style="30" bestFit="1" customWidth="1"/>
    <col min="14870" max="14870" width="18.453125" style="30" bestFit="1" customWidth="1"/>
    <col min="14871" max="14871" width="9.1796875" style="30"/>
    <col min="14872" max="14872" width="7.26953125" style="30" customWidth="1"/>
    <col min="14873" max="14873" width="32.26953125" style="30" customWidth="1"/>
    <col min="14874" max="14874" width="47" style="30" bestFit="1" customWidth="1"/>
    <col min="14875" max="14875" width="16.7265625" style="30" customWidth="1"/>
    <col min="14876" max="15105" width="9.1796875" style="30"/>
    <col min="15106" max="15106" width="8.81640625" style="30" customWidth="1"/>
    <col min="15107" max="15107" width="30" style="30" customWidth="1"/>
    <col min="15108" max="15108" width="28" style="30" customWidth="1"/>
    <col min="15109" max="15109" width="26.7265625" style="30" customWidth="1"/>
    <col min="15110" max="15110" width="33.453125" style="30" customWidth="1"/>
    <col min="15111" max="15111" width="29.26953125" style="30" customWidth="1"/>
    <col min="15112" max="15112" width="14.1796875" style="30" customWidth="1"/>
    <col min="15113" max="15113" width="17.7265625" style="30" customWidth="1"/>
    <col min="15114" max="15114" width="16.7265625" style="30" customWidth="1"/>
    <col min="15115" max="15115" width="16.1796875" style="30" customWidth="1"/>
    <col min="15116" max="15116" width="17.453125" style="30" customWidth="1"/>
    <col min="15117" max="15117" width="15.7265625" style="30" customWidth="1"/>
    <col min="15118" max="15118" width="17.26953125" style="30" customWidth="1"/>
    <col min="15119" max="15119" width="18.7265625" style="30" customWidth="1"/>
    <col min="15120" max="15120" width="8.54296875" style="30" bestFit="1" customWidth="1"/>
    <col min="15121" max="15122" width="9.1796875" style="30"/>
    <col min="15123" max="15123" width="8.7265625" style="30" bestFit="1" customWidth="1"/>
    <col min="15124" max="15124" width="25.54296875" style="30" bestFit="1" customWidth="1"/>
    <col min="15125" max="15125" width="29.453125" style="30" bestFit="1" customWidth="1"/>
    <col min="15126" max="15126" width="18.453125" style="30" bestFit="1" customWidth="1"/>
    <col min="15127" max="15127" width="9.1796875" style="30"/>
    <col min="15128" max="15128" width="7.26953125" style="30" customWidth="1"/>
    <col min="15129" max="15129" width="32.26953125" style="30" customWidth="1"/>
    <col min="15130" max="15130" width="47" style="30" bestFit="1" customWidth="1"/>
    <col min="15131" max="15131" width="16.7265625" style="30" customWidth="1"/>
    <col min="15132" max="15361" width="9.1796875" style="30"/>
    <col min="15362" max="15362" width="8.81640625" style="30" customWidth="1"/>
    <col min="15363" max="15363" width="30" style="30" customWidth="1"/>
    <col min="15364" max="15364" width="28" style="30" customWidth="1"/>
    <col min="15365" max="15365" width="26.7265625" style="30" customWidth="1"/>
    <col min="15366" max="15366" width="33.453125" style="30" customWidth="1"/>
    <col min="15367" max="15367" width="29.26953125" style="30" customWidth="1"/>
    <col min="15368" max="15368" width="14.1796875" style="30" customWidth="1"/>
    <col min="15369" max="15369" width="17.7265625" style="30" customWidth="1"/>
    <col min="15370" max="15370" width="16.7265625" style="30" customWidth="1"/>
    <col min="15371" max="15371" width="16.1796875" style="30" customWidth="1"/>
    <col min="15372" max="15372" width="17.453125" style="30" customWidth="1"/>
    <col min="15373" max="15373" width="15.7265625" style="30" customWidth="1"/>
    <col min="15374" max="15374" width="17.26953125" style="30" customWidth="1"/>
    <col min="15375" max="15375" width="18.7265625" style="30" customWidth="1"/>
    <col min="15376" max="15376" width="8.54296875" style="30" bestFit="1" customWidth="1"/>
    <col min="15377" max="15378" width="9.1796875" style="30"/>
    <col min="15379" max="15379" width="8.7265625" style="30" bestFit="1" customWidth="1"/>
    <col min="15380" max="15380" width="25.54296875" style="30" bestFit="1" customWidth="1"/>
    <col min="15381" max="15381" width="29.453125" style="30" bestFit="1" customWidth="1"/>
    <col min="15382" max="15382" width="18.453125" style="30" bestFit="1" customWidth="1"/>
    <col min="15383" max="15383" width="9.1796875" style="30"/>
    <col min="15384" max="15384" width="7.26953125" style="30" customWidth="1"/>
    <col min="15385" max="15385" width="32.26953125" style="30" customWidth="1"/>
    <col min="15386" max="15386" width="47" style="30" bestFit="1" customWidth="1"/>
    <col min="15387" max="15387" width="16.7265625" style="30" customWidth="1"/>
    <col min="15388" max="15617" width="9.1796875" style="30"/>
    <col min="15618" max="15618" width="8.81640625" style="30" customWidth="1"/>
    <col min="15619" max="15619" width="30" style="30" customWidth="1"/>
    <col min="15620" max="15620" width="28" style="30" customWidth="1"/>
    <col min="15621" max="15621" width="26.7265625" style="30" customWidth="1"/>
    <col min="15622" max="15622" width="33.453125" style="30" customWidth="1"/>
    <col min="15623" max="15623" width="29.26953125" style="30" customWidth="1"/>
    <col min="15624" max="15624" width="14.1796875" style="30" customWidth="1"/>
    <col min="15625" max="15625" width="17.7265625" style="30" customWidth="1"/>
    <col min="15626" max="15626" width="16.7265625" style="30" customWidth="1"/>
    <col min="15627" max="15627" width="16.1796875" style="30" customWidth="1"/>
    <col min="15628" max="15628" width="17.453125" style="30" customWidth="1"/>
    <col min="15629" max="15629" width="15.7265625" style="30" customWidth="1"/>
    <col min="15630" max="15630" width="17.26953125" style="30" customWidth="1"/>
    <col min="15631" max="15631" width="18.7265625" style="30" customWidth="1"/>
    <col min="15632" max="15632" width="8.54296875" style="30" bestFit="1" customWidth="1"/>
    <col min="15633" max="15634" width="9.1796875" style="30"/>
    <col min="15635" max="15635" width="8.7265625" style="30" bestFit="1" customWidth="1"/>
    <col min="15636" max="15636" width="25.54296875" style="30" bestFit="1" customWidth="1"/>
    <col min="15637" max="15637" width="29.453125" style="30" bestFit="1" customWidth="1"/>
    <col min="15638" max="15638" width="18.453125" style="30" bestFit="1" customWidth="1"/>
    <col min="15639" max="15639" width="9.1796875" style="30"/>
    <col min="15640" max="15640" width="7.26953125" style="30" customWidth="1"/>
    <col min="15641" max="15641" width="32.26953125" style="30" customWidth="1"/>
    <col min="15642" max="15642" width="47" style="30" bestFit="1" customWidth="1"/>
    <col min="15643" max="15643" width="16.7265625" style="30" customWidth="1"/>
    <col min="15644" max="15873" width="9.1796875" style="30"/>
    <col min="15874" max="15874" width="8.81640625" style="30" customWidth="1"/>
    <col min="15875" max="15875" width="30" style="30" customWidth="1"/>
    <col min="15876" max="15876" width="28" style="30" customWidth="1"/>
    <col min="15877" max="15877" width="26.7265625" style="30" customWidth="1"/>
    <col min="15878" max="15878" width="33.453125" style="30" customWidth="1"/>
    <col min="15879" max="15879" width="29.26953125" style="30" customWidth="1"/>
    <col min="15880" max="15880" width="14.1796875" style="30" customWidth="1"/>
    <col min="15881" max="15881" width="17.7265625" style="30" customWidth="1"/>
    <col min="15882" max="15882" width="16.7265625" style="30" customWidth="1"/>
    <col min="15883" max="15883" width="16.1796875" style="30" customWidth="1"/>
    <col min="15884" max="15884" width="17.453125" style="30" customWidth="1"/>
    <col min="15885" max="15885" width="15.7265625" style="30" customWidth="1"/>
    <col min="15886" max="15886" width="17.26953125" style="30" customWidth="1"/>
    <col min="15887" max="15887" width="18.7265625" style="30" customWidth="1"/>
    <col min="15888" max="15888" width="8.54296875" style="30" bestFit="1" customWidth="1"/>
    <col min="15889" max="15890" width="9.1796875" style="30"/>
    <col min="15891" max="15891" width="8.7265625" style="30" bestFit="1" customWidth="1"/>
    <col min="15892" max="15892" width="25.54296875" style="30" bestFit="1" customWidth="1"/>
    <col min="15893" max="15893" width="29.453125" style="30" bestFit="1" customWidth="1"/>
    <col min="15894" max="15894" width="18.453125" style="30" bestFit="1" customWidth="1"/>
    <col min="15895" max="15895" width="9.1796875" style="30"/>
    <col min="15896" max="15896" width="7.26953125" style="30" customWidth="1"/>
    <col min="15897" max="15897" width="32.26953125" style="30" customWidth="1"/>
    <col min="15898" max="15898" width="47" style="30" bestFit="1" customWidth="1"/>
    <col min="15899" max="15899" width="16.7265625" style="30" customWidth="1"/>
    <col min="15900" max="16129" width="9.1796875" style="30"/>
    <col min="16130" max="16130" width="8.81640625" style="30" customWidth="1"/>
    <col min="16131" max="16131" width="30" style="30" customWidth="1"/>
    <col min="16132" max="16132" width="28" style="30" customWidth="1"/>
    <col min="16133" max="16133" width="26.7265625" style="30" customWidth="1"/>
    <col min="16134" max="16134" width="33.453125" style="30" customWidth="1"/>
    <col min="16135" max="16135" width="29.26953125" style="30" customWidth="1"/>
    <col min="16136" max="16136" width="14.1796875" style="30" customWidth="1"/>
    <col min="16137" max="16137" width="17.7265625" style="30" customWidth="1"/>
    <col min="16138" max="16138" width="16.7265625" style="30" customWidth="1"/>
    <col min="16139" max="16139" width="16.1796875" style="30" customWidth="1"/>
    <col min="16140" max="16140" width="17.453125" style="30" customWidth="1"/>
    <col min="16141" max="16141" width="15.7265625" style="30" customWidth="1"/>
    <col min="16142" max="16142" width="17.26953125" style="30" customWidth="1"/>
    <col min="16143" max="16143" width="18.7265625" style="30" customWidth="1"/>
    <col min="16144" max="16144" width="8.54296875" style="30" bestFit="1" customWidth="1"/>
    <col min="16145" max="16146" width="9.1796875" style="30"/>
    <col min="16147" max="16147" width="8.7265625" style="30" bestFit="1" customWidth="1"/>
    <col min="16148" max="16148" width="25.54296875" style="30" bestFit="1" customWidth="1"/>
    <col min="16149" max="16149" width="29.453125" style="30" bestFit="1" customWidth="1"/>
    <col min="16150" max="16150" width="18.453125" style="30" bestFit="1" customWidth="1"/>
    <col min="16151" max="16151" width="9.1796875" style="30"/>
    <col min="16152" max="16152" width="7.26953125" style="30" customWidth="1"/>
    <col min="16153" max="16153" width="32.26953125" style="30" customWidth="1"/>
    <col min="16154" max="16154" width="47" style="30" bestFit="1" customWidth="1"/>
    <col min="16155" max="16155" width="16.7265625" style="30" customWidth="1"/>
    <col min="16156" max="16384" width="9.1796875" style="30"/>
  </cols>
  <sheetData>
    <row r="1" spans="1:27" ht="52.5" customHeight="1">
      <c r="A1" s="197" t="s">
        <v>195</v>
      </c>
      <c r="B1" s="198"/>
      <c r="C1" s="198"/>
      <c r="D1" s="198"/>
      <c r="E1" s="198"/>
      <c r="F1" s="198"/>
      <c r="G1" s="199"/>
      <c r="H1" s="191"/>
      <c r="I1" s="192"/>
      <c r="J1" s="192"/>
      <c r="K1" s="192"/>
      <c r="L1" s="192"/>
      <c r="M1" s="192"/>
      <c r="N1" s="192"/>
      <c r="O1" s="193"/>
    </row>
    <row r="2" spans="1:27" ht="52.5" customHeight="1">
      <c r="A2" s="200"/>
      <c r="B2" s="201"/>
      <c r="C2" s="201"/>
      <c r="D2" s="201"/>
      <c r="E2" s="201"/>
      <c r="F2" s="201"/>
      <c r="G2" s="202"/>
      <c r="H2" s="203" t="s">
        <v>196</v>
      </c>
      <c r="I2" s="204"/>
      <c r="J2" s="129"/>
      <c r="K2" s="130"/>
      <c r="L2" s="194"/>
      <c r="M2" s="195"/>
      <c r="N2" s="195"/>
      <c r="O2" s="196"/>
    </row>
    <row r="3" spans="1:27" ht="36" customHeight="1">
      <c r="A3" s="32"/>
      <c r="B3" s="33"/>
      <c r="C3" s="33"/>
      <c r="D3" s="33"/>
      <c r="E3" s="33"/>
      <c r="F3" s="33"/>
      <c r="G3" s="33"/>
      <c r="H3" s="147" t="s">
        <v>197</v>
      </c>
      <c r="I3" s="147"/>
      <c r="J3" s="147"/>
      <c r="K3" s="147" t="s">
        <v>198</v>
      </c>
      <c r="L3" s="147"/>
      <c r="M3" s="148" t="s">
        <v>199</v>
      </c>
      <c r="N3" s="149"/>
      <c r="O3" s="190"/>
    </row>
    <row r="4" spans="1:27" s="31" customFormat="1" ht="68.25" customHeight="1">
      <c r="A4" s="135" t="s">
        <v>200</v>
      </c>
      <c r="B4" s="136"/>
      <c r="C4" s="28" t="s">
        <v>201</v>
      </c>
      <c r="D4" s="28" t="s">
        <v>202</v>
      </c>
      <c r="E4" s="28" t="s">
        <v>203</v>
      </c>
      <c r="F4" s="28" t="s">
        <v>204</v>
      </c>
      <c r="G4" s="28" t="s">
        <v>205</v>
      </c>
      <c r="H4" s="148" t="s">
        <v>206</v>
      </c>
      <c r="I4" s="149"/>
      <c r="J4" s="149"/>
      <c r="K4" s="147" t="s">
        <v>207</v>
      </c>
      <c r="L4" s="147"/>
      <c r="M4" s="148" t="s">
        <v>208</v>
      </c>
      <c r="N4" s="190"/>
      <c r="O4" s="34" t="s">
        <v>209</v>
      </c>
      <c r="Q4" s="31" t="s">
        <v>184</v>
      </c>
    </row>
    <row r="5" spans="1:27" s="31" customFormat="1" ht="111.75" customHeight="1" thickBot="1">
      <c r="A5" s="176"/>
      <c r="B5" s="177"/>
      <c r="C5" s="35"/>
      <c r="D5" s="36"/>
      <c r="E5" s="37"/>
      <c r="F5" s="38"/>
      <c r="G5" s="39"/>
      <c r="H5" s="205"/>
      <c r="I5" s="205"/>
      <c r="J5" s="205"/>
      <c r="K5" s="207"/>
      <c r="L5" s="208"/>
      <c r="M5" s="207"/>
      <c r="N5" s="208"/>
      <c r="O5" s="206"/>
      <c r="Q5" s="31" t="s">
        <v>185</v>
      </c>
    </row>
    <row r="6" spans="1:27" ht="40.5" customHeight="1">
      <c r="A6" s="178" t="s">
        <v>210</v>
      </c>
      <c r="B6" s="179"/>
      <c r="C6" s="179"/>
      <c r="D6" s="179"/>
      <c r="E6" s="179"/>
      <c r="F6" s="179"/>
      <c r="G6" s="179"/>
      <c r="H6" s="179"/>
      <c r="I6" s="179"/>
      <c r="J6" s="179"/>
      <c r="K6" s="179"/>
      <c r="L6" s="179"/>
      <c r="M6" s="180"/>
      <c r="N6" s="180"/>
      <c r="O6" s="181"/>
      <c r="Q6" s="30" t="s">
        <v>186</v>
      </c>
      <c r="S6" s="75" t="s">
        <v>232</v>
      </c>
      <c r="T6" s="75" t="s">
        <v>229</v>
      </c>
      <c r="U6" s="75" t="s">
        <v>230</v>
      </c>
      <c r="V6" s="75" t="s">
        <v>231</v>
      </c>
      <c r="W6" s="40"/>
      <c r="X6" s="106" t="s">
        <v>313</v>
      </c>
      <c r="Y6" s="107" t="s">
        <v>314</v>
      </c>
      <c r="Z6" s="107" t="s">
        <v>315</v>
      </c>
      <c r="AA6" s="108" t="s">
        <v>316</v>
      </c>
    </row>
    <row r="7" spans="1:27" ht="19.5" customHeight="1">
      <c r="A7" s="182" t="s">
        <v>0</v>
      </c>
      <c r="B7" s="184" t="s">
        <v>211</v>
      </c>
      <c r="C7" s="186" t="s">
        <v>212</v>
      </c>
      <c r="D7" s="187"/>
      <c r="E7" s="152" t="s">
        <v>213</v>
      </c>
      <c r="F7" s="152" t="s">
        <v>214</v>
      </c>
      <c r="G7" s="152" t="s">
        <v>215</v>
      </c>
      <c r="H7" s="135" t="s">
        <v>216</v>
      </c>
      <c r="I7" s="136"/>
      <c r="J7" s="135" t="s">
        <v>217</v>
      </c>
      <c r="K7" s="136"/>
      <c r="L7" s="137" t="s">
        <v>218</v>
      </c>
      <c r="M7" s="139" t="s">
        <v>219</v>
      </c>
      <c r="N7" s="140"/>
      <c r="O7" s="152" t="s">
        <v>220</v>
      </c>
      <c r="S7" s="76">
        <v>1110</v>
      </c>
      <c r="T7" s="118" t="s">
        <v>233</v>
      </c>
      <c r="U7" s="76" t="s">
        <v>234</v>
      </c>
      <c r="V7" s="76" t="s">
        <v>1</v>
      </c>
      <c r="W7" s="40"/>
      <c r="X7" s="109" t="s">
        <v>2</v>
      </c>
      <c r="Y7" s="110" t="s">
        <v>3</v>
      </c>
      <c r="Z7" s="110" t="s">
        <v>4</v>
      </c>
      <c r="AA7" s="111" t="s">
        <v>5</v>
      </c>
    </row>
    <row r="8" spans="1:27" ht="32.25" customHeight="1">
      <c r="A8" s="183"/>
      <c r="B8" s="185"/>
      <c r="C8" s="188"/>
      <c r="D8" s="189"/>
      <c r="E8" s="153"/>
      <c r="F8" s="153"/>
      <c r="G8" s="153"/>
      <c r="H8" s="28" t="s">
        <v>221</v>
      </c>
      <c r="I8" s="41" t="s">
        <v>222</v>
      </c>
      <c r="J8" s="42" t="s">
        <v>223</v>
      </c>
      <c r="K8" s="42" t="s">
        <v>224</v>
      </c>
      <c r="L8" s="138"/>
      <c r="M8" s="141"/>
      <c r="N8" s="142"/>
      <c r="O8" s="153"/>
      <c r="P8" s="43"/>
      <c r="S8" s="77">
        <v>1120</v>
      </c>
      <c r="T8" s="121" t="str">
        <f>T7</f>
        <v>Z01 Administration
（管理部）</v>
      </c>
      <c r="U8" s="77" t="s">
        <v>235</v>
      </c>
      <c r="V8" s="77" t="s">
        <v>6</v>
      </c>
      <c r="W8" s="40"/>
      <c r="X8" s="109" t="s">
        <v>7</v>
      </c>
      <c r="Y8" s="110" t="s">
        <v>8</v>
      </c>
      <c r="Z8" s="110" t="s">
        <v>9</v>
      </c>
      <c r="AA8" s="111" t="s">
        <v>10</v>
      </c>
    </row>
    <row r="9" spans="1:27" ht="34.5" customHeight="1">
      <c r="A9" s="21">
        <v>1</v>
      </c>
      <c r="B9" s="123"/>
      <c r="C9" s="150"/>
      <c r="D9" s="151"/>
      <c r="E9" s="124"/>
      <c r="F9" s="1"/>
      <c r="G9" s="2"/>
      <c r="H9" s="3"/>
      <c r="I9" s="4"/>
      <c r="J9" s="5"/>
      <c r="K9" s="6"/>
      <c r="L9" s="7">
        <f>H9*J9</f>
        <v>0</v>
      </c>
      <c r="M9" s="131"/>
      <c r="N9" s="132"/>
      <c r="O9" s="22"/>
      <c r="S9" s="77">
        <v>1130</v>
      </c>
      <c r="T9" s="121" t="str">
        <f t="shared" ref="T9:T14" si="0">T8</f>
        <v>Z01 Administration
（管理部）</v>
      </c>
      <c r="U9" s="77" t="s">
        <v>236</v>
      </c>
      <c r="V9" s="77" t="s">
        <v>11</v>
      </c>
      <c r="W9" s="40"/>
      <c r="X9" s="109" t="s">
        <v>12</v>
      </c>
      <c r="Y9" s="110" t="s">
        <v>13</v>
      </c>
      <c r="Z9" s="110" t="s">
        <v>14</v>
      </c>
      <c r="AA9" s="111" t="s">
        <v>15</v>
      </c>
    </row>
    <row r="10" spans="1:27" ht="34.5" customHeight="1">
      <c r="A10" s="23">
        <v>2</v>
      </c>
      <c r="B10" s="123"/>
      <c r="C10" s="144"/>
      <c r="D10" s="145"/>
      <c r="E10" s="125"/>
      <c r="F10" s="8"/>
      <c r="G10" s="2"/>
      <c r="H10" s="9"/>
      <c r="I10" s="10"/>
      <c r="J10" s="5"/>
      <c r="K10" s="6"/>
      <c r="L10" s="11">
        <f>H10*J10</f>
        <v>0</v>
      </c>
      <c r="M10" s="133"/>
      <c r="N10" s="134"/>
      <c r="O10" s="24"/>
      <c r="S10" s="77">
        <v>1210</v>
      </c>
      <c r="T10" s="121" t="str">
        <f t="shared" si="0"/>
        <v>Z01 Administration
（管理部）</v>
      </c>
      <c r="U10" s="77" t="s">
        <v>237</v>
      </c>
      <c r="V10" s="77" t="s">
        <v>16</v>
      </c>
      <c r="W10" s="40"/>
      <c r="X10" s="109" t="s">
        <v>17</v>
      </c>
      <c r="Y10" s="110" t="s">
        <v>18</v>
      </c>
      <c r="Z10" s="110" t="s">
        <v>19</v>
      </c>
      <c r="AA10" s="111" t="s">
        <v>20</v>
      </c>
    </row>
    <row r="11" spans="1:27" ht="34.5" customHeight="1">
      <c r="A11" s="23">
        <v>3</v>
      </c>
      <c r="B11" s="126"/>
      <c r="C11" s="144"/>
      <c r="D11" s="145"/>
      <c r="E11" s="125"/>
      <c r="F11" s="8"/>
      <c r="G11" s="2"/>
      <c r="H11" s="9"/>
      <c r="I11" s="10"/>
      <c r="J11" s="12"/>
      <c r="K11" s="13"/>
      <c r="L11" s="11">
        <f t="shared" ref="L11:L19" si="1">H11*J11</f>
        <v>0</v>
      </c>
      <c r="M11" s="133"/>
      <c r="N11" s="134"/>
      <c r="O11" s="25"/>
      <c r="S11" s="77">
        <v>1211</v>
      </c>
      <c r="T11" s="121" t="str">
        <f t="shared" si="0"/>
        <v>Z01 Administration
（管理部）</v>
      </c>
      <c r="U11" s="77" t="s">
        <v>238</v>
      </c>
      <c r="V11" s="77" t="s">
        <v>21</v>
      </c>
      <c r="W11" s="40"/>
      <c r="X11" s="109" t="s">
        <v>22</v>
      </c>
      <c r="Y11" s="110" t="s">
        <v>317</v>
      </c>
      <c r="Z11" s="110" t="s">
        <v>318</v>
      </c>
      <c r="AA11" s="111">
        <v>2430070</v>
      </c>
    </row>
    <row r="12" spans="1:27" ht="34.5" customHeight="1">
      <c r="A12" s="23">
        <v>4</v>
      </c>
      <c r="B12" s="126"/>
      <c r="C12" s="144"/>
      <c r="D12" s="145"/>
      <c r="E12" s="125"/>
      <c r="F12" s="8"/>
      <c r="G12" s="2"/>
      <c r="H12" s="9"/>
      <c r="I12" s="10"/>
      <c r="J12" s="12"/>
      <c r="K12" s="13"/>
      <c r="L12" s="11">
        <f t="shared" si="1"/>
        <v>0</v>
      </c>
      <c r="M12" s="133"/>
      <c r="N12" s="134"/>
      <c r="O12" s="25"/>
      <c r="S12" s="77">
        <v>1310</v>
      </c>
      <c r="T12" s="121" t="str">
        <f t="shared" si="0"/>
        <v>Z01 Administration
（管理部）</v>
      </c>
      <c r="U12" s="77" t="s">
        <v>239</v>
      </c>
      <c r="V12" s="77" t="s">
        <v>24</v>
      </c>
      <c r="W12" s="40"/>
      <c r="X12" s="109" t="s">
        <v>25</v>
      </c>
      <c r="Y12" s="110" t="s">
        <v>319</v>
      </c>
      <c r="Z12" s="110" t="s">
        <v>320</v>
      </c>
      <c r="AA12" s="111">
        <v>2430050</v>
      </c>
    </row>
    <row r="13" spans="1:27" ht="34.5" customHeight="1">
      <c r="A13" s="23">
        <v>5</v>
      </c>
      <c r="B13" s="126"/>
      <c r="C13" s="144"/>
      <c r="D13" s="145"/>
      <c r="E13" s="125"/>
      <c r="F13" s="8"/>
      <c r="G13" s="2"/>
      <c r="H13" s="9"/>
      <c r="I13" s="10"/>
      <c r="J13" s="12"/>
      <c r="K13" s="13"/>
      <c r="L13" s="11">
        <f t="shared" si="1"/>
        <v>0</v>
      </c>
      <c r="M13" s="133"/>
      <c r="N13" s="134"/>
      <c r="O13" s="25"/>
      <c r="S13" s="77">
        <v>1910</v>
      </c>
      <c r="T13" s="121" t="str">
        <f t="shared" si="0"/>
        <v>Z01 Administration
（管理部）</v>
      </c>
      <c r="U13" s="77" t="s">
        <v>240</v>
      </c>
      <c r="V13" s="77" t="s">
        <v>27</v>
      </c>
      <c r="W13" s="40"/>
      <c r="X13" s="109" t="s">
        <v>28</v>
      </c>
      <c r="Y13" s="110" t="s">
        <v>321</v>
      </c>
      <c r="Z13" s="110" t="s">
        <v>322</v>
      </c>
      <c r="AA13" s="111">
        <v>2430000</v>
      </c>
    </row>
    <row r="14" spans="1:27" ht="34.5" customHeight="1">
      <c r="A14" s="23">
        <v>6</v>
      </c>
      <c r="B14" s="126"/>
      <c r="C14" s="144"/>
      <c r="D14" s="145"/>
      <c r="E14" s="125"/>
      <c r="F14" s="8"/>
      <c r="G14" s="2"/>
      <c r="H14" s="9"/>
      <c r="I14" s="10"/>
      <c r="J14" s="12"/>
      <c r="K14" s="13"/>
      <c r="L14" s="11">
        <f t="shared" si="1"/>
        <v>0</v>
      </c>
      <c r="M14" s="133"/>
      <c r="N14" s="134"/>
      <c r="O14" s="25"/>
      <c r="S14" s="78">
        <v>3510</v>
      </c>
      <c r="T14" s="121" t="str">
        <f t="shared" si="0"/>
        <v>Z01 Administration
（管理部）</v>
      </c>
      <c r="U14" s="78" t="s">
        <v>241</v>
      </c>
      <c r="V14" s="78" t="s">
        <v>30</v>
      </c>
      <c r="W14" s="40"/>
      <c r="X14" s="109" t="s">
        <v>31</v>
      </c>
      <c r="Y14" s="110" t="s">
        <v>323</v>
      </c>
      <c r="Z14" s="110" t="s">
        <v>324</v>
      </c>
      <c r="AA14" s="111">
        <v>2430020</v>
      </c>
    </row>
    <row r="15" spans="1:27" ht="34.5" customHeight="1">
      <c r="A15" s="23">
        <v>7</v>
      </c>
      <c r="B15" s="126"/>
      <c r="C15" s="144"/>
      <c r="D15" s="145"/>
      <c r="E15" s="125"/>
      <c r="F15" s="8"/>
      <c r="G15" s="2"/>
      <c r="H15" s="9"/>
      <c r="I15" s="10"/>
      <c r="J15" s="12"/>
      <c r="K15" s="13"/>
      <c r="L15" s="11">
        <f t="shared" si="1"/>
        <v>0</v>
      </c>
      <c r="M15" s="133"/>
      <c r="N15" s="134"/>
      <c r="O15" s="25"/>
      <c r="S15" s="79" t="s">
        <v>242</v>
      </c>
      <c r="T15" s="119" t="s">
        <v>35</v>
      </c>
      <c r="U15" s="76" t="s">
        <v>33</v>
      </c>
      <c r="V15" s="76" t="s">
        <v>34</v>
      </c>
      <c r="W15" s="40"/>
      <c r="X15" s="109" t="s">
        <v>36</v>
      </c>
      <c r="Y15" s="110" t="s">
        <v>325</v>
      </c>
      <c r="Z15" s="112" t="s">
        <v>326</v>
      </c>
      <c r="AA15" s="111" t="s">
        <v>327</v>
      </c>
    </row>
    <row r="16" spans="1:27" ht="34.5" customHeight="1">
      <c r="A16" s="23">
        <v>8</v>
      </c>
      <c r="B16" s="126"/>
      <c r="C16" s="144"/>
      <c r="D16" s="145"/>
      <c r="E16" s="125"/>
      <c r="F16" s="8"/>
      <c r="G16" s="2"/>
      <c r="H16" s="9"/>
      <c r="I16" s="10"/>
      <c r="J16" s="12"/>
      <c r="K16" s="13"/>
      <c r="L16" s="11">
        <f t="shared" si="1"/>
        <v>0</v>
      </c>
      <c r="M16" s="133"/>
      <c r="N16" s="134"/>
      <c r="O16" s="25"/>
      <c r="S16" s="80" t="s">
        <v>244</v>
      </c>
      <c r="T16" s="121" t="str">
        <f t="shared" ref="T16:T28" si="2">T15</f>
        <v>Z02 Production1
（第1製造部）</v>
      </c>
      <c r="U16" s="77" t="s">
        <v>243</v>
      </c>
      <c r="V16" s="77" t="s">
        <v>38</v>
      </c>
      <c r="W16" s="40"/>
      <c r="X16" s="109" t="s">
        <v>39</v>
      </c>
      <c r="Y16" s="110" t="s">
        <v>328</v>
      </c>
      <c r="Z16" s="110" t="s">
        <v>329</v>
      </c>
      <c r="AA16" s="111" t="s">
        <v>330</v>
      </c>
    </row>
    <row r="17" spans="1:27" ht="34.5" customHeight="1">
      <c r="A17" s="23">
        <v>9</v>
      </c>
      <c r="B17" s="126"/>
      <c r="C17" s="144"/>
      <c r="D17" s="145"/>
      <c r="E17" s="125"/>
      <c r="F17" s="8"/>
      <c r="G17" s="2"/>
      <c r="H17" s="9"/>
      <c r="I17" s="10"/>
      <c r="J17" s="12"/>
      <c r="K17" s="14"/>
      <c r="L17" s="11">
        <f t="shared" si="1"/>
        <v>0</v>
      </c>
      <c r="M17" s="133"/>
      <c r="N17" s="134"/>
      <c r="O17" s="25"/>
      <c r="S17" s="77" t="s">
        <v>246</v>
      </c>
      <c r="T17" s="121" t="str">
        <f t="shared" si="2"/>
        <v>Z02 Production1
（第1製造部）</v>
      </c>
      <c r="U17" s="77" t="s">
        <v>245</v>
      </c>
      <c r="V17" s="77" t="s">
        <v>41</v>
      </c>
      <c r="W17" s="44"/>
      <c r="X17" s="109" t="s">
        <v>42</v>
      </c>
      <c r="Y17" s="110" t="s">
        <v>331</v>
      </c>
      <c r="Z17" s="110" t="s">
        <v>332</v>
      </c>
      <c r="AA17" s="111" t="s">
        <v>333</v>
      </c>
    </row>
    <row r="18" spans="1:27" ht="34.5" customHeight="1">
      <c r="A18" s="23">
        <v>10</v>
      </c>
      <c r="B18" s="126"/>
      <c r="C18" s="144"/>
      <c r="D18" s="145"/>
      <c r="E18" s="125"/>
      <c r="F18" s="8"/>
      <c r="G18" s="2"/>
      <c r="H18" s="9"/>
      <c r="I18" s="10"/>
      <c r="J18" s="12"/>
      <c r="K18" s="13"/>
      <c r="L18" s="11">
        <f>H18*J18</f>
        <v>0</v>
      </c>
      <c r="M18" s="133"/>
      <c r="N18" s="134"/>
      <c r="O18" s="25"/>
      <c r="S18" s="77" t="s">
        <v>44</v>
      </c>
      <c r="T18" s="121" t="str">
        <f t="shared" si="2"/>
        <v>Z02 Production1
（第1製造部）</v>
      </c>
      <c r="U18" s="77" t="s">
        <v>247</v>
      </c>
      <c r="V18" s="77" t="s">
        <v>45</v>
      </c>
      <c r="W18" s="45"/>
      <c r="X18" s="109" t="s">
        <v>46</v>
      </c>
      <c r="Y18" s="110" t="s">
        <v>334</v>
      </c>
      <c r="Z18" s="110" t="s">
        <v>23</v>
      </c>
      <c r="AA18" s="111" t="s">
        <v>335</v>
      </c>
    </row>
    <row r="19" spans="1:27" ht="34.5" customHeight="1">
      <c r="A19" s="23">
        <v>11</v>
      </c>
      <c r="B19" s="126"/>
      <c r="C19" s="144"/>
      <c r="D19" s="145"/>
      <c r="E19" s="125"/>
      <c r="F19" s="8"/>
      <c r="G19" s="2"/>
      <c r="H19" s="9"/>
      <c r="I19" s="10"/>
      <c r="J19" s="12"/>
      <c r="K19" s="13"/>
      <c r="L19" s="11">
        <f t="shared" si="1"/>
        <v>0</v>
      </c>
      <c r="M19" s="133"/>
      <c r="N19" s="134"/>
      <c r="O19" s="25"/>
      <c r="S19" s="77" t="s">
        <v>250</v>
      </c>
      <c r="T19" s="121" t="str">
        <f t="shared" si="2"/>
        <v>Z02 Production1
（第1製造部）</v>
      </c>
      <c r="U19" s="77" t="s">
        <v>248</v>
      </c>
      <c r="V19" s="77" t="s">
        <v>249</v>
      </c>
      <c r="W19" s="46"/>
      <c r="X19" s="109" t="s">
        <v>49</v>
      </c>
      <c r="Y19" s="110" t="s">
        <v>336</v>
      </c>
      <c r="Z19" s="110" t="s">
        <v>26</v>
      </c>
      <c r="AA19" s="111" t="s">
        <v>337</v>
      </c>
    </row>
    <row r="20" spans="1:27" ht="34.5" customHeight="1">
      <c r="A20" s="26">
        <v>12</v>
      </c>
      <c r="B20" s="127"/>
      <c r="C20" s="157"/>
      <c r="D20" s="158"/>
      <c r="E20" s="128"/>
      <c r="F20" s="15"/>
      <c r="G20" s="2"/>
      <c r="H20" s="16"/>
      <c r="I20" s="17"/>
      <c r="J20" s="18"/>
      <c r="K20" s="19"/>
      <c r="L20" s="20">
        <f>H20*J20</f>
        <v>0</v>
      </c>
      <c r="M20" s="159"/>
      <c r="N20" s="160"/>
      <c r="O20" s="27"/>
      <c r="S20" s="80" t="s">
        <v>252</v>
      </c>
      <c r="T20" s="121" t="str">
        <f t="shared" si="2"/>
        <v>Z02 Production1
（第1製造部）</v>
      </c>
      <c r="U20" s="77" t="s">
        <v>251</v>
      </c>
      <c r="V20" s="77" t="s">
        <v>48</v>
      </c>
      <c r="W20" s="40"/>
      <c r="X20" s="109" t="s">
        <v>55</v>
      </c>
      <c r="Y20" s="110" t="s">
        <v>338</v>
      </c>
      <c r="Z20" s="110" t="s">
        <v>29</v>
      </c>
      <c r="AA20" s="111" t="s">
        <v>339</v>
      </c>
    </row>
    <row r="21" spans="1:27" ht="26.25" customHeight="1">
      <c r="A21" s="161" t="s">
        <v>225</v>
      </c>
      <c r="B21" s="162"/>
      <c r="C21" s="162"/>
      <c r="D21" s="162"/>
      <c r="E21" s="162"/>
      <c r="F21" s="162"/>
      <c r="G21" s="162"/>
      <c r="H21" s="162"/>
      <c r="I21" s="162"/>
      <c r="J21" s="162"/>
      <c r="K21" s="162"/>
      <c r="L21" s="47">
        <f>SUM(L9:L20)</f>
        <v>0</v>
      </c>
      <c r="M21" s="48"/>
      <c r="N21" s="48"/>
      <c r="O21" s="49"/>
      <c r="S21" s="77" t="s">
        <v>52</v>
      </c>
      <c r="T21" s="121" t="str">
        <f t="shared" si="2"/>
        <v>Z02 Production1
（第1製造部）</v>
      </c>
      <c r="U21" s="77" t="s">
        <v>53</v>
      </c>
      <c r="V21" s="77" t="s">
        <v>54</v>
      </c>
      <c r="W21" s="46"/>
      <c r="X21" s="109" t="s">
        <v>59</v>
      </c>
      <c r="Y21" s="110" t="s">
        <v>340</v>
      </c>
      <c r="Z21" s="110" t="s">
        <v>32</v>
      </c>
      <c r="AA21" s="111" t="s">
        <v>341</v>
      </c>
    </row>
    <row r="22" spans="1:27" ht="31.5" customHeight="1">
      <c r="A22" s="135" t="s">
        <v>190</v>
      </c>
      <c r="B22" s="163"/>
      <c r="C22" s="163"/>
      <c r="D22" s="163"/>
      <c r="E22" s="136"/>
      <c r="F22" s="50"/>
      <c r="G22" s="51"/>
      <c r="H22" s="51"/>
      <c r="I22" s="51"/>
      <c r="J22" s="51"/>
      <c r="K22" s="51"/>
      <c r="L22" s="51"/>
      <c r="M22" s="51"/>
      <c r="N22" s="51"/>
      <c r="O22" s="52"/>
      <c r="S22" s="77" t="s">
        <v>255</v>
      </c>
      <c r="T22" s="121" t="str">
        <f t="shared" si="2"/>
        <v>Z02 Production1
（第1製造部）</v>
      </c>
      <c r="U22" s="77" t="s">
        <v>253</v>
      </c>
      <c r="V22" s="77" t="s">
        <v>254</v>
      </c>
      <c r="W22" s="46"/>
      <c r="X22" s="109" t="s">
        <v>64</v>
      </c>
      <c r="Y22" s="110" t="s">
        <v>342</v>
      </c>
      <c r="Z22" s="110" t="s">
        <v>37</v>
      </c>
      <c r="AA22" s="111" t="s">
        <v>343</v>
      </c>
    </row>
    <row r="23" spans="1:27" ht="48.75" customHeight="1">
      <c r="A23" s="135" t="s">
        <v>189</v>
      </c>
      <c r="B23" s="136"/>
      <c r="C23" s="28" t="s">
        <v>188</v>
      </c>
      <c r="D23" s="29" t="s">
        <v>191</v>
      </c>
      <c r="E23" s="28" t="s">
        <v>192</v>
      </c>
      <c r="F23" s="53"/>
      <c r="G23" s="54"/>
      <c r="H23" s="50"/>
      <c r="I23" s="53"/>
      <c r="J23" s="53"/>
      <c r="K23" s="53"/>
      <c r="L23" s="53"/>
      <c r="M23" s="53"/>
      <c r="N23" s="43"/>
      <c r="O23" s="55"/>
      <c r="S23" s="77" t="s">
        <v>257</v>
      </c>
      <c r="T23" s="121" t="str">
        <f t="shared" si="2"/>
        <v>Z02 Production1
（第1製造部）</v>
      </c>
      <c r="U23" s="77" t="s">
        <v>256</v>
      </c>
      <c r="V23" s="77" t="s">
        <v>58</v>
      </c>
      <c r="W23" s="46"/>
      <c r="X23" s="109" t="s">
        <v>68</v>
      </c>
      <c r="Y23" s="110" t="s">
        <v>344</v>
      </c>
      <c r="Z23" s="110" t="s">
        <v>40</v>
      </c>
      <c r="AA23" s="111" t="s">
        <v>345</v>
      </c>
    </row>
    <row r="24" spans="1:27" ht="31.5" customHeight="1">
      <c r="A24" s="164"/>
      <c r="B24" s="165"/>
      <c r="C24" s="170"/>
      <c r="D24" s="173"/>
      <c r="E24" s="173"/>
      <c r="F24" s="50"/>
      <c r="G24" s="53"/>
      <c r="H24" s="50"/>
      <c r="I24" s="54"/>
      <c r="J24" s="54"/>
      <c r="K24" s="54"/>
      <c r="L24" s="54"/>
      <c r="M24" s="54"/>
      <c r="N24" s="56"/>
      <c r="O24" s="143"/>
      <c r="S24" s="81" t="s">
        <v>258</v>
      </c>
      <c r="T24" s="121" t="str">
        <f t="shared" si="2"/>
        <v>Z02 Production1
（第1製造部）</v>
      </c>
      <c r="U24" s="77" t="s">
        <v>62</v>
      </c>
      <c r="V24" s="77" t="s">
        <v>63</v>
      </c>
      <c r="W24" s="46"/>
      <c r="X24" s="109" t="s">
        <v>72</v>
      </c>
      <c r="Y24" s="113" t="s">
        <v>346</v>
      </c>
      <c r="Z24" s="110" t="s">
        <v>43</v>
      </c>
      <c r="AA24" s="111" t="s">
        <v>347</v>
      </c>
    </row>
    <row r="25" spans="1:27" ht="20.25" customHeight="1">
      <c r="A25" s="166"/>
      <c r="B25" s="167"/>
      <c r="C25" s="171"/>
      <c r="D25" s="174"/>
      <c r="E25" s="174"/>
      <c r="F25" s="50"/>
      <c r="G25" s="53"/>
      <c r="H25" s="50"/>
      <c r="I25" s="54"/>
      <c r="J25" s="54"/>
      <c r="K25" s="54"/>
      <c r="L25" s="54"/>
      <c r="M25" s="54"/>
      <c r="N25" s="56"/>
      <c r="O25" s="143"/>
      <c r="S25" s="80" t="s">
        <v>260</v>
      </c>
      <c r="T25" s="121" t="str">
        <f t="shared" si="2"/>
        <v>Z02 Production1
（第1製造部）</v>
      </c>
      <c r="U25" s="80" t="s">
        <v>259</v>
      </c>
      <c r="V25" s="77" t="s">
        <v>67</v>
      </c>
      <c r="W25" s="46"/>
      <c r="X25" s="109" t="s">
        <v>76</v>
      </c>
      <c r="Y25" s="110" t="s">
        <v>348</v>
      </c>
      <c r="Z25" s="110" t="s">
        <v>349</v>
      </c>
      <c r="AA25" s="111" t="s">
        <v>350</v>
      </c>
    </row>
    <row r="26" spans="1:27" ht="21.75" customHeight="1">
      <c r="A26" s="166"/>
      <c r="B26" s="167"/>
      <c r="C26" s="171"/>
      <c r="D26" s="174"/>
      <c r="E26" s="174"/>
      <c r="F26" s="50"/>
      <c r="G26" s="53"/>
      <c r="H26" s="50"/>
      <c r="I26" s="54"/>
      <c r="J26" s="54"/>
      <c r="K26" s="54"/>
      <c r="L26" s="54"/>
      <c r="M26" s="54"/>
      <c r="N26" s="56"/>
      <c r="O26" s="143"/>
      <c r="S26" s="80" t="s">
        <v>262</v>
      </c>
      <c r="T26" s="121" t="str">
        <f t="shared" si="2"/>
        <v>Z02 Production1
（第1製造部）</v>
      </c>
      <c r="U26" s="80" t="s">
        <v>261</v>
      </c>
      <c r="V26" s="77" t="s">
        <v>71</v>
      </c>
      <c r="W26" s="40"/>
      <c r="X26" s="109" t="s">
        <v>80</v>
      </c>
      <c r="Y26" s="110" t="s">
        <v>351</v>
      </c>
      <c r="Z26" s="110" t="s">
        <v>47</v>
      </c>
      <c r="AA26" s="111" t="s">
        <v>352</v>
      </c>
    </row>
    <row r="27" spans="1:27" ht="21.75" customHeight="1">
      <c r="A27" s="168"/>
      <c r="B27" s="169"/>
      <c r="C27" s="172"/>
      <c r="D27" s="175"/>
      <c r="E27" s="175"/>
      <c r="F27" s="50"/>
      <c r="G27" s="53"/>
      <c r="H27" s="50"/>
      <c r="I27" s="54"/>
      <c r="J27" s="54"/>
      <c r="K27" s="54"/>
      <c r="L27" s="54"/>
      <c r="M27" s="54"/>
      <c r="N27" s="56"/>
      <c r="O27" s="143"/>
      <c r="S27" s="80" t="s">
        <v>264</v>
      </c>
      <c r="T27" s="121" t="str">
        <f t="shared" si="2"/>
        <v>Z02 Production1
（第1製造部）</v>
      </c>
      <c r="U27" s="80" t="s">
        <v>263</v>
      </c>
      <c r="V27" s="77" t="s">
        <v>75</v>
      </c>
      <c r="W27" s="40"/>
      <c r="X27" s="109" t="s">
        <v>353</v>
      </c>
      <c r="Y27" s="110" t="s">
        <v>354</v>
      </c>
      <c r="Z27" s="110" t="s">
        <v>50</v>
      </c>
      <c r="AA27" s="111" t="s">
        <v>51</v>
      </c>
    </row>
    <row r="28" spans="1:27" ht="31.5" customHeight="1">
      <c r="A28" s="135" t="s">
        <v>193</v>
      </c>
      <c r="B28" s="136"/>
      <c r="C28" s="28" t="s">
        <v>193</v>
      </c>
      <c r="D28" s="29" t="s">
        <v>194</v>
      </c>
      <c r="E28" s="28" t="s">
        <v>194</v>
      </c>
      <c r="F28" s="50"/>
      <c r="G28" s="53"/>
      <c r="H28" s="50"/>
      <c r="I28" s="53"/>
      <c r="J28" s="53"/>
      <c r="K28" s="53"/>
      <c r="L28" s="53"/>
      <c r="M28" s="53"/>
      <c r="N28" s="57"/>
      <c r="O28" s="58"/>
      <c r="S28" s="82" t="s">
        <v>266</v>
      </c>
      <c r="T28" s="121" t="str">
        <f t="shared" si="2"/>
        <v>Z02 Production1
（第1製造部）</v>
      </c>
      <c r="U28" s="82" t="s">
        <v>265</v>
      </c>
      <c r="V28" s="78" t="s">
        <v>79</v>
      </c>
      <c r="W28" s="46"/>
      <c r="X28" s="109" t="s">
        <v>355</v>
      </c>
      <c r="Y28" s="110" t="s">
        <v>356</v>
      </c>
      <c r="Z28" s="110" t="s">
        <v>56</v>
      </c>
      <c r="AA28" s="111" t="s">
        <v>57</v>
      </c>
    </row>
    <row r="29" spans="1:27" ht="21" customHeight="1">
      <c r="A29" s="59"/>
      <c r="B29" s="60"/>
      <c r="C29" s="60"/>
      <c r="D29" s="60"/>
      <c r="E29" s="60"/>
      <c r="F29" s="61"/>
      <c r="G29" s="62"/>
      <c r="H29" s="62"/>
      <c r="I29" s="62"/>
      <c r="J29" s="62"/>
      <c r="K29" s="62"/>
      <c r="L29" s="62"/>
      <c r="M29" s="62"/>
      <c r="N29" s="62"/>
      <c r="O29" s="63"/>
      <c r="S29" s="79" t="s">
        <v>268</v>
      </c>
      <c r="T29" s="120" t="s">
        <v>84</v>
      </c>
      <c r="U29" s="79" t="s">
        <v>267</v>
      </c>
      <c r="V29" s="76" t="s">
        <v>83</v>
      </c>
      <c r="W29" s="46"/>
      <c r="X29" s="109" t="s">
        <v>357</v>
      </c>
      <c r="Y29" s="110" t="s">
        <v>358</v>
      </c>
      <c r="Z29" s="110" t="s">
        <v>60</v>
      </c>
      <c r="AA29" s="111" t="s">
        <v>61</v>
      </c>
    </row>
    <row r="30" spans="1:27" ht="30.75" customHeight="1">
      <c r="A30" s="154" t="s">
        <v>226</v>
      </c>
      <c r="B30" s="155"/>
      <c r="C30" s="64"/>
      <c r="D30" s="64"/>
      <c r="E30" s="64"/>
      <c r="F30" s="64"/>
      <c r="G30" s="64"/>
      <c r="H30" s="64"/>
      <c r="I30" s="64"/>
      <c r="J30" s="64"/>
      <c r="K30" s="64"/>
      <c r="L30" s="64"/>
      <c r="M30" s="64"/>
      <c r="N30" s="64"/>
      <c r="O30" s="65"/>
      <c r="S30" s="80" t="s">
        <v>270</v>
      </c>
      <c r="T30" s="121" t="str">
        <f t="shared" ref="T30:T37" si="3">T29</f>
        <v>Z07 Production2
（第2製造部）</v>
      </c>
      <c r="U30" s="80" t="s">
        <v>269</v>
      </c>
      <c r="V30" s="77" t="s">
        <v>85</v>
      </c>
      <c r="W30" s="46"/>
      <c r="X30" s="109" t="s">
        <v>359</v>
      </c>
      <c r="Y30" s="110" t="s">
        <v>360</v>
      </c>
      <c r="Z30" s="110" t="s">
        <v>65</v>
      </c>
      <c r="AA30" s="111" t="s">
        <v>66</v>
      </c>
    </row>
    <row r="31" spans="1:27" ht="39" customHeight="1">
      <c r="A31" s="66"/>
      <c r="B31" s="146" t="s">
        <v>227</v>
      </c>
      <c r="C31" s="146"/>
      <c r="D31" s="156"/>
      <c r="E31" s="156"/>
      <c r="F31" s="156"/>
      <c r="G31" s="156"/>
      <c r="H31" s="156"/>
      <c r="I31" s="57"/>
      <c r="J31" s="57"/>
      <c r="K31" s="57"/>
      <c r="L31" s="57"/>
      <c r="M31" s="57"/>
      <c r="N31" s="57"/>
      <c r="O31" s="67"/>
      <c r="S31" s="77" t="s">
        <v>86</v>
      </c>
      <c r="T31" s="121" t="str">
        <f t="shared" si="3"/>
        <v>Z07 Production2
（第2製造部）</v>
      </c>
      <c r="U31" s="77" t="s">
        <v>271</v>
      </c>
      <c r="V31" s="77" t="s">
        <v>87</v>
      </c>
      <c r="W31" s="46"/>
      <c r="X31" s="109" t="s">
        <v>361</v>
      </c>
      <c r="Y31" s="110" t="s">
        <v>362</v>
      </c>
      <c r="Z31" s="110" t="s">
        <v>69</v>
      </c>
      <c r="AA31" s="111" t="s">
        <v>70</v>
      </c>
    </row>
    <row r="32" spans="1:27" ht="38.25" customHeight="1">
      <c r="A32" s="66"/>
      <c r="B32" s="146" t="s">
        <v>228</v>
      </c>
      <c r="C32" s="146"/>
      <c r="D32" s="146"/>
      <c r="E32" s="146"/>
      <c r="F32" s="146"/>
      <c r="G32" s="146"/>
      <c r="H32" s="57"/>
      <c r="I32" s="57"/>
      <c r="J32" s="57"/>
      <c r="K32" s="57"/>
      <c r="L32" s="57"/>
      <c r="M32" s="57"/>
      <c r="N32" s="57"/>
      <c r="O32" s="67"/>
      <c r="S32" s="77" t="s">
        <v>88</v>
      </c>
      <c r="T32" s="121" t="str">
        <f t="shared" si="3"/>
        <v>Z07 Production2
（第2製造部）</v>
      </c>
      <c r="U32" s="77" t="s">
        <v>272</v>
      </c>
      <c r="V32" s="77" t="s">
        <v>89</v>
      </c>
      <c r="W32" s="46"/>
      <c r="X32" s="109" t="s">
        <v>363</v>
      </c>
      <c r="Y32" s="114" t="s">
        <v>364</v>
      </c>
      <c r="Z32" s="114" t="s">
        <v>365</v>
      </c>
      <c r="AA32" s="115">
        <v>2420070</v>
      </c>
    </row>
    <row r="33" spans="1:27" ht="27.75" customHeight="1" thickBot="1">
      <c r="A33" s="68"/>
      <c r="B33" s="69"/>
      <c r="C33" s="69"/>
      <c r="D33" s="69"/>
      <c r="E33" s="69"/>
      <c r="F33" s="69"/>
      <c r="G33" s="69"/>
      <c r="H33" s="69"/>
      <c r="I33" s="69"/>
      <c r="J33" s="69"/>
      <c r="K33" s="69"/>
      <c r="L33" s="69"/>
      <c r="M33" s="69"/>
      <c r="N33" s="69"/>
      <c r="O33" s="70" t="s">
        <v>187</v>
      </c>
      <c r="S33" s="77" t="s">
        <v>275</v>
      </c>
      <c r="T33" s="121" t="str">
        <f t="shared" si="3"/>
        <v>Z07 Production2
（第2製造部）</v>
      </c>
      <c r="U33" s="77" t="s">
        <v>273</v>
      </c>
      <c r="V33" s="83" t="s">
        <v>274</v>
      </c>
      <c r="W33" s="46"/>
      <c r="X33" s="109" t="s">
        <v>366</v>
      </c>
      <c r="Y33" s="110" t="s">
        <v>73</v>
      </c>
      <c r="Z33" s="110" t="s">
        <v>74</v>
      </c>
      <c r="AA33" s="116">
        <v>1430000</v>
      </c>
    </row>
    <row r="34" spans="1:27" ht="27.75" customHeight="1">
      <c r="O34" s="71"/>
      <c r="S34" s="77" t="s">
        <v>278</v>
      </c>
      <c r="T34" s="121" t="str">
        <f t="shared" si="3"/>
        <v>Z07 Production2
（第2製造部）</v>
      </c>
      <c r="U34" s="77" t="s">
        <v>276</v>
      </c>
      <c r="V34" s="83" t="s">
        <v>277</v>
      </c>
      <c r="W34" s="46"/>
      <c r="X34" s="109" t="s">
        <v>367</v>
      </c>
      <c r="Y34" s="110" t="s">
        <v>77</v>
      </c>
      <c r="Z34" s="110" t="s">
        <v>78</v>
      </c>
      <c r="AA34" s="116">
        <v>1431000</v>
      </c>
    </row>
    <row r="35" spans="1:27" ht="28">
      <c r="B35" s="30" t="s">
        <v>96</v>
      </c>
      <c r="I35" s="30" t="s">
        <v>97</v>
      </c>
      <c r="S35" s="80" t="s">
        <v>280</v>
      </c>
      <c r="T35" s="121" t="str">
        <f t="shared" si="3"/>
        <v>Z07 Production2
（第2製造部）</v>
      </c>
      <c r="U35" s="80" t="s">
        <v>279</v>
      </c>
      <c r="V35" s="77" t="s">
        <v>90</v>
      </c>
      <c r="W35" s="46"/>
      <c r="X35" s="109" t="s">
        <v>368</v>
      </c>
      <c r="Y35" s="110" t="s">
        <v>81</v>
      </c>
      <c r="Z35" s="110" t="s">
        <v>82</v>
      </c>
      <c r="AA35" s="116">
        <v>1432000</v>
      </c>
    </row>
    <row r="36" spans="1:27" ht="28">
      <c r="B36" s="30" t="s">
        <v>101</v>
      </c>
      <c r="I36" s="30" t="s">
        <v>102</v>
      </c>
      <c r="S36" s="77" t="s">
        <v>282</v>
      </c>
      <c r="T36" s="121" t="str">
        <f t="shared" si="3"/>
        <v>Z07 Production2
（第2製造部）</v>
      </c>
      <c r="U36" s="77" t="s">
        <v>281</v>
      </c>
      <c r="V36" s="77" t="s">
        <v>91</v>
      </c>
      <c r="W36" s="46"/>
      <c r="X36" s="109" t="s">
        <v>369</v>
      </c>
      <c r="Y36" s="110" t="s">
        <v>370</v>
      </c>
      <c r="Z36" s="110" t="s">
        <v>371</v>
      </c>
      <c r="AA36" s="111" t="s">
        <v>372</v>
      </c>
    </row>
    <row r="37" spans="1:27" ht="28">
      <c r="B37" s="30" t="s">
        <v>106</v>
      </c>
      <c r="I37" s="30" t="s">
        <v>107</v>
      </c>
      <c r="S37" s="78" t="s">
        <v>92</v>
      </c>
      <c r="T37" s="121" t="str">
        <f t="shared" si="3"/>
        <v>Z07 Production2
（第2製造部）</v>
      </c>
      <c r="U37" s="78" t="s">
        <v>283</v>
      </c>
      <c r="V37" s="78" t="s">
        <v>93</v>
      </c>
      <c r="W37" s="46"/>
      <c r="X37" s="109" t="s">
        <v>373</v>
      </c>
      <c r="Y37" s="110" t="s">
        <v>374</v>
      </c>
      <c r="Z37" s="110" t="s">
        <v>375</v>
      </c>
      <c r="AA37" s="111" t="s">
        <v>376</v>
      </c>
    </row>
    <row r="38" spans="1:27" ht="15.75" customHeight="1">
      <c r="S38" s="76" t="s">
        <v>285</v>
      </c>
      <c r="T38" s="120" t="s">
        <v>95</v>
      </c>
      <c r="U38" s="76" t="s">
        <v>284</v>
      </c>
      <c r="V38" s="76" t="s">
        <v>94</v>
      </c>
      <c r="W38" s="46"/>
      <c r="X38" s="109" t="s">
        <v>377</v>
      </c>
      <c r="Y38" s="110" t="s">
        <v>378</v>
      </c>
      <c r="Z38" s="110" t="s">
        <v>379</v>
      </c>
      <c r="AA38" s="111" t="s">
        <v>380</v>
      </c>
    </row>
    <row r="39" spans="1:27" ht="15.75" customHeight="1">
      <c r="B39" s="73" t="s">
        <v>114</v>
      </c>
      <c r="C39" s="73"/>
      <c r="I39" s="30" t="s">
        <v>115</v>
      </c>
      <c r="S39" s="77" t="s">
        <v>98</v>
      </c>
      <c r="T39" s="121" t="str">
        <f t="shared" ref="T39:T46" si="4">T38</f>
        <v>Z06 Parts production
（部品製造部）</v>
      </c>
      <c r="U39" s="77" t="s">
        <v>99</v>
      </c>
      <c r="V39" s="77" t="s">
        <v>100</v>
      </c>
      <c r="W39" s="46"/>
      <c r="X39" s="109" t="s">
        <v>381</v>
      </c>
      <c r="Y39" s="110" t="s">
        <v>382</v>
      </c>
      <c r="Z39" s="110" t="s">
        <v>383</v>
      </c>
      <c r="AA39" s="111" t="s">
        <v>384</v>
      </c>
    </row>
    <row r="40" spans="1:27" ht="28">
      <c r="B40" s="74" t="s">
        <v>117</v>
      </c>
      <c r="C40" s="74"/>
      <c r="I40" s="30" t="s">
        <v>118</v>
      </c>
      <c r="S40" s="77" t="s">
        <v>103</v>
      </c>
      <c r="T40" s="121" t="str">
        <f t="shared" si="4"/>
        <v>Z06 Parts production
（部品製造部）</v>
      </c>
      <c r="U40" s="77" t="s">
        <v>104</v>
      </c>
      <c r="V40" s="77" t="s">
        <v>105</v>
      </c>
      <c r="W40" s="46"/>
      <c r="X40" s="109" t="s">
        <v>385</v>
      </c>
      <c r="Y40" s="110" t="s">
        <v>386</v>
      </c>
      <c r="Z40" s="110" t="s">
        <v>387</v>
      </c>
      <c r="AA40" s="111" t="s">
        <v>388</v>
      </c>
    </row>
    <row r="41" spans="1:27" ht="28">
      <c r="B41" s="30" t="s">
        <v>123</v>
      </c>
      <c r="I41" s="30" t="s">
        <v>124</v>
      </c>
      <c r="S41" s="77" t="s">
        <v>108</v>
      </c>
      <c r="T41" s="121" t="str">
        <f t="shared" si="4"/>
        <v>Z06 Parts production
（部品製造部）</v>
      </c>
      <c r="U41" s="77" t="s">
        <v>109</v>
      </c>
      <c r="V41" s="77" t="s">
        <v>110</v>
      </c>
      <c r="W41" s="46"/>
      <c r="X41" s="109" t="s">
        <v>389</v>
      </c>
      <c r="Y41" s="110" t="s">
        <v>390</v>
      </c>
      <c r="Z41" s="110" t="s">
        <v>391</v>
      </c>
      <c r="AA41" s="111" t="s">
        <v>392</v>
      </c>
    </row>
    <row r="42" spans="1:27" ht="28">
      <c r="S42" s="77" t="s">
        <v>111</v>
      </c>
      <c r="T42" s="121" t="str">
        <f t="shared" si="4"/>
        <v>Z06 Parts production
（部品製造部）</v>
      </c>
      <c r="U42" s="77" t="s">
        <v>112</v>
      </c>
      <c r="V42" s="77" t="s">
        <v>113</v>
      </c>
      <c r="W42" s="46"/>
      <c r="X42" s="109" t="s">
        <v>393</v>
      </c>
      <c r="Y42" s="110" t="s">
        <v>394</v>
      </c>
      <c r="Z42" s="110" t="s">
        <v>395</v>
      </c>
      <c r="AA42" s="111" t="s">
        <v>396</v>
      </c>
    </row>
    <row r="43" spans="1:27" ht="15.75" customHeight="1">
      <c r="S43" s="85" t="s">
        <v>116</v>
      </c>
      <c r="T43" s="121" t="str">
        <f t="shared" si="4"/>
        <v>Z06 Parts production
（部品製造部）</v>
      </c>
      <c r="U43" s="84" t="s">
        <v>286</v>
      </c>
      <c r="V43" s="84" t="s">
        <v>287</v>
      </c>
      <c r="W43" s="46"/>
      <c r="X43" s="109" t="s">
        <v>397</v>
      </c>
      <c r="Y43" s="110" t="s">
        <v>398</v>
      </c>
      <c r="Z43" s="110" t="s">
        <v>399</v>
      </c>
      <c r="AA43" s="111" t="s">
        <v>400</v>
      </c>
    </row>
    <row r="44" spans="1:27" ht="28">
      <c r="S44" s="85" t="s">
        <v>290</v>
      </c>
      <c r="T44" s="121" t="str">
        <f t="shared" si="4"/>
        <v>Z06 Parts production
（部品製造部）</v>
      </c>
      <c r="U44" s="84" t="s">
        <v>288</v>
      </c>
      <c r="V44" s="84" t="s">
        <v>289</v>
      </c>
      <c r="W44" s="46"/>
      <c r="X44" s="109" t="s">
        <v>401</v>
      </c>
      <c r="Y44" s="110" t="s">
        <v>402</v>
      </c>
      <c r="Z44" s="110" t="s">
        <v>403</v>
      </c>
      <c r="AA44" s="111" t="s">
        <v>404</v>
      </c>
    </row>
    <row r="45" spans="1:27" ht="28">
      <c r="S45" s="85" t="s">
        <v>293</v>
      </c>
      <c r="T45" s="121" t="str">
        <f t="shared" si="4"/>
        <v>Z06 Parts production
（部品製造部）</v>
      </c>
      <c r="U45" s="84" t="s">
        <v>291</v>
      </c>
      <c r="V45" s="84" t="s">
        <v>292</v>
      </c>
      <c r="W45" s="46"/>
      <c r="X45" s="109" t="s">
        <v>405</v>
      </c>
      <c r="Y45" s="110" t="s">
        <v>406</v>
      </c>
      <c r="Z45" s="117" t="s">
        <v>407</v>
      </c>
      <c r="AA45" s="111" t="s">
        <v>408</v>
      </c>
    </row>
    <row r="46" spans="1:27" ht="28">
      <c r="S46" s="81">
        <v>5111</v>
      </c>
      <c r="T46" s="121" t="str">
        <f t="shared" si="4"/>
        <v>Z06 Parts production
（部品製造部）</v>
      </c>
      <c r="U46" s="77" t="s">
        <v>294</v>
      </c>
      <c r="V46" s="77" t="s">
        <v>295</v>
      </c>
      <c r="W46" s="46"/>
      <c r="X46" s="109" t="s">
        <v>409</v>
      </c>
      <c r="Y46" s="110" t="s">
        <v>410</v>
      </c>
      <c r="Z46" s="110" t="s">
        <v>411</v>
      </c>
      <c r="AA46" s="111" t="s">
        <v>412</v>
      </c>
    </row>
    <row r="47" spans="1:27" ht="15.75" customHeight="1">
      <c r="S47" s="76" t="s">
        <v>119</v>
      </c>
      <c r="T47" s="120" t="s">
        <v>122</v>
      </c>
      <c r="U47" s="76" t="s">
        <v>120</v>
      </c>
      <c r="V47" s="86" t="s">
        <v>121</v>
      </c>
      <c r="W47" s="46"/>
      <c r="X47" s="109" t="s">
        <v>413</v>
      </c>
      <c r="Y47" s="110" t="s">
        <v>414</v>
      </c>
      <c r="Z47" s="110" t="s">
        <v>415</v>
      </c>
      <c r="AA47" s="111" t="s">
        <v>416</v>
      </c>
    </row>
    <row r="48" spans="1:27" ht="28">
      <c r="S48" s="81" t="s">
        <v>125</v>
      </c>
      <c r="T48" s="121" t="str">
        <f t="shared" ref="T48:T50" si="5">T47</f>
        <v>Z08 Ｒ＆Ｄ
（開発技術部）</v>
      </c>
      <c r="U48" s="87" t="s">
        <v>126</v>
      </c>
      <c r="V48" s="88" t="s">
        <v>127</v>
      </c>
      <c r="W48" s="46"/>
      <c r="X48" s="109" t="s">
        <v>417</v>
      </c>
      <c r="Y48" s="110" t="s">
        <v>418</v>
      </c>
      <c r="Z48" s="110" t="s">
        <v>419</v>
      </c>
      <c r="AA48" s="111" t="s">
        <v>420</v>
      </c>
    </row>
    <row r="49" spans="19:27" ht="15.75" customHeight="1">
      <c r="S49" s="81" t="s">
        <v>128</v>
      </c>
      <c r="T49" s="121" t="str">
        <f t="shared" si="5"/>
        <v>Z08 Ｒ＆Ｄ
（開発技術部）</v>
      </c>
      <c r="U49" s="87" t="s">
        <v>129</v>
      </c>
      <c r="V49" s="88" t="s">
        <v>130</v>
      </c>
      <c r="W49" s="46"/>
      <c r="X49" s="109" t="s">
        <v>421</v>
      </c>
      <c r="Y49" s="110" t="s">
        <v>422</v>
      </c>
      <c r="Z49" s="110" t="s">
        <v>423</v>
      </c>
      <c r="AA49" s="111" t="s">
        <v>424</v>
      </c>
    </row>
    <row r="50" spans="19:27" ht="28">
      <c r="S50" s="91" t="s">
        <v>131</v>
      </c>
      <c r="T50" s="121" t="str">
        <f t="shared" si="5"/>
        <v>Z08 Ｒ＆Ｄ
（開発技術部）</v>
      </c>
      <c r="U50" s="89" t="s">
        <v>132</v>
      </c>
      <c r="V50" s="90" t="s">
        <v>133</v>
      </c>
      <c r="W50" s="46"/>
    </row>
    <row r="51" spans="19:27" ht="15.75" customHeight="1">
      <c r="S51" s="76" t="s">
        <v>134</v>
      </c>
      <c r="T51" s="119" t="s">
        <v>137</v>
      </c>
      <c r="U51" s="76" t="s">
        <v>135</v>
      </c>
      <c r="V51" s="76" t="s">
        <v>136</v>
      </c>
      <c r="W51" s="46"/>
    </row>
    <row r="52" spans="19:27" ht="42">
      <c r="S52" s="77" t="s">
        <v>138</v>
      </c>
      <c r="T52" s="121" t="str">
        <f t="shared" ref="T52:T54" si="6">T51</f>
        <v>Z03 Purchasing and Production Control
（購買・生産管理部）</v>
      </c>
      <c r="U52" s="77" t="s">
        <v>139</v>
      </c>
      <c r="V52" s="77" t="s">
        <v>140</v>
      </c>
      <c r="W52" s="46"/>
    </row>
    <row r="53" spans="19:27" ht="15.75" customHeight="1">
      <c r="S53" s="77" t="s">
        <v>141</v>
      </c>
      <c r="T53" s="121" t="str">
        <f t="shared" si="6"/>
        <v>Z03 Purchasing and Production Control
（購買・生産管理部）</v>
      </c>
      <c r="U53" s="77" t="s">
        <v>142</v>
      </c>
      <c r="V53" s="77" t="s">
        <v>143</v>
      </c>
      <c r="W53" s="46"/>
    </row>
    <row r="54" spans="19:27" ht="42">
      <c r="S54" s="78" t="s">
        <v>144</v>
      </c>
      <c r="T54" s="121" t="str">
        <f t="shared" si="6"/>
        <v>Z03 Purchasing and Production Control
（購買・生産管理部）</v>
      </c>
      <c r="U54" s="78" t="s">
        <v>145</v>
      </c>
      <c r="V54" s="78" t="s">
        <v>146</v>
      </c>
      <c r="W54" s="46"/>
    </row>
    <row r="55" spans="19:27" ht="15.75" customHeight="1">
      <c r="S55" s="76" t="s">
        <v>147</v>
      </c>
      <c r="T55" s="92" t="s">
        <v>296</v>
      </c>
      <c r="U55" s="76" t="s">
        <v>148</v>
      </c>
      <c r="V55" s="76" t="s">
        <v>149</v>
      </c>
      <c r="W55" s="46"/>
    </row>
    <row r="56" spans="19:27" ht="15.75" customHeight="1">
      <c r="S56" s="76" t="s">
        <v>150</v>
      </c>
      <c r="T56" s="120" t="s">
        <v>153</v>
      </c>
      <c r="U56" s="76" t="s">
        <v>151</v>
      </c>
      <c r="V56" s="93" t="s">
        <v>152</v>
      </c>
      <c r="W56" s="46"/>
    </row>
    <row r="57" spans="19:27" ht="42">
      <c r="S57" s="77" t="s">
        <v>154</v>
      </c>
      <c r="T57" s="121" t="str">
        <f t="shared" ref="T57:T58" si="7">T56</f>
        <v>Z05 Source Quality Management Dept
（部材保証部）</v>
      </c>
      <c r="U57" s="77" t="s">
        <v>155</v>
      </c>
      <c r="V57" s="87" t="s">
        <v>156</v>
      </c>
      <c r="W57" s="46"/>
    </row>
    <row r="58" spans="19:27" ht="42">
      <c r="S58" s="78" t="s">
        <v>157</v>
      </c>
      <c r="T58" s="121" t="str">
        <f t="shared" si="7"/>
        <v>Z05 Source Quality Management Dept
（部材保証部）</v>
      </c>
      <c r="U58" s="78" t="s">
        <v>158</v>
      </c>
      <c r="V58" s="89" t="s">
        <v>159</v>
      </c>
      <c r="W58" s="46"/>
    </row>
    <row r="59" spans="19:27">
      <c r="S59" s="95" t="s">
        <v>160</v>
      </c>
      <c r="T59" s="94" t="s">
        <v>163</v>
      </c>
      <c r="U59" s="95" t="s">
        <v>161</v>
      </c>
      <c r="V59" s="95" t="s">
        <v>162</v>
      </c>
      <c r="W59" s="46"/>
    </row>
    <row r="60" spans="19:27">
      <c r="S60" s="77">
        <v>1410</v>
      </c>
      <c r="T60" s="94" t="s">
        <v>166</v>
      </c>
      <c r="U60" s="95" t="s">
        <v>164</v>
      </c>
      <c r="V60" s="95" t="s">
        <v>165</v>
      </c>
      <c r="W60" s="46"/>
    </row>
    <row r="61" spans="19:27" ht="30" customHeight="1">
      <c r="S61" s="76" t="s">
        <v>167</v>
      </c>
      <c r="T61" s="120" t="s">
        <v>170</v>
      </c>
      <c r="U61" s="76" t="s">
        <v>168</v>
      </c>
      <c r="V61" s="76" t="s">
        <v>169</v>
      </c>
      <c r="W61" s="46"/>
    </row>
    <row r="62" spans="19:27" ht="28">
      <c r="S62" s="96" t="s">
        <v>171</v>
      </c>
      <c r="T62" s="121" t="str">
        <f t="shared" ref="T62:T64" si="8">T61</f>
        <v>Z00 Management
（経営費用計上部門）</v>
      </c>
      <c r="U62" s="96" t="s">
        <v>172</v>
      </c>
      <c r="V62" s="97" t="s">
        <v>173</v>
      </c>
      <c r="W62" s="46"/>
    </row>
    <row r="63" spans="19:27" ht="28">
      <c r="S63" s="84" t="s">
        <v>299</v>
      </c>
      <c r="T63" s="121" t="str">
        <f t="shared" si="8"/>
        <v>Z00 Management
（経営費用計上部門）</v>
      </c>
      <c r="U63" s="84" t="s">
        <v>297</v>
      </c>
      <c r="V63" s="98" t="s">
        <v>298</v>
      </c>
      <c r="W63" s="46"/>
    </row>
    <row r="64" spans="19:27" ht="28">
      <c r="S64" s="78" t="s">
        <v>302</v>
      </c>
      <c r="T64" s="121" t="str">
        <f t="shared" si="8"/>
        <v>Z00 Management
（経営費用計上部門）</v>
      </c>
      <c r="U64" s="78" t="s">
        <v>300</v>
      </c>
      <c r="V64" s="99" t="s">
        <v>301</v>
      </c>
      <c r="W64" s="46"/>
    </row>
    <row r="65" spans="19:23" ht="42">
      <c r="S65" s="101" t="s">
        <v>305</v>
      </c>
      <c r="T65" s="100" t="s">
        <v>174</v>
      </c>
      <c r="U65" s="101" t="s">
        <v>303</v>
      </c>
      <c r="V65" s="78" t="s">
        <v>304</v>
      </c>
      <c r="W65" s="46"/>
    </row>
    <row r="66" spans="19:23">
      <c r="S66" s="76" t="s">
        <v>175</v>
      </c>
      <c r="T66" s="120" t="s">
        <v>306</v>
      </c>
      <c r="U66" s="76" t="s">
        <v>176</v>
      </c>
      <c r="V66" s="93" t="s">
        <v>177</v>
      </c>
      <c r="W66" s="46"/>
    </row>
    <row r="67" spans="19:23">
      <c r="S67" s="77" t="s">
        <v>178</v>
      </c>
      <c r="T67" s="121" t="str">
        <f t="shared" ref="T67:T70" si="9">T66</f>
        <v>その他</v>
      </c>
      <c r="U67" s="77" t="s">
        <v>179</v>
      </c>
      <c r="V67" s="87" t="s">
        <v>180</v>
      </c>
    </row>
    <row r="68" spans="19:23">
      <c r="S68" s="102" t="s">
        <v>181</v>
      </c>
      <c r="T68" s="121" t="str">
        <f t="shared" si="9"/>
        <v>その他</v>
      </c>
      <c r="U68" s="102" t="s">
        <v>182</v>
      </c>
      <c r="V68" s="103" t="s">
        <v>183</v>
      </c>
    </row>
    <row r="69" spans="19:23">
      <c r="S69" s="84" t="s">
        <v>309</v>
      </c>
      <c r="T69" s="121" t="str">
        <f t="shared" si="9"/>
        <v>その他</v>
      </c>
      <c r="U69" s="84" t="s">
        <v>307</v>
      </c>
      <c r="V69" s="104" t="s">
        <v>308</v>
      </c>
    </row>
    <row r="70" spans="19:23">
      <c r="S70" s="78" t="s">
        <v>312</v>
      </c>
      <c r="T70" s="122" t="str">
        <f t="shared" si="9"/>
        <v>その他</v>
      </c>
      <c r="U70" s="78" t="s">
        <v>310</v>
      </c>
      <c r="V70" s="105" t="s">
        <v>311</v>
      </c>
    </row>
  </sheetData>
  <autoFilter ref="A6:WWK23" xr:uid="{00000000-0009-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63">
    <mergeCell ref="A4:B4"/>
    <mergeCell ref="M4:N4"/>
    <mergeCell ref="H1:O1"/>
    <mergeCell ref="L2:O2"/>
    <mergeCell ref="M3:O3"/>
    <mergeCell ref="A1:G2"/>
    <mergeCell ref="H2:I2"/>
    <mergeCell ref="O7:O8"/>
    <mergeCell ref="A5:B5"/>
    <mergeCell ref="A6:O6"/>
    <mergeCell ref="A7:A8"/>
    <mergeCell ref="B7:B8"/>
    <mergeCell ref="C7:D8"/>
    <mergeCell ref="E7:E8"/>
    <mergeCell ref="F7:F8"/>
    <mergeCell ref="M5:N5"/>
    <mergeCell ref="A30:B30"/>
    <mergeCell ref="B31:H31"/>
    <mergeCell ref="C18:D18"/>
    <mergeCell ref="M18:N18"/>
    <mergeCell ref="C19:D19"/>
    <mergeCell ref="M19:N19"/>
    <mergeCell ref="C20:D20"/>
    <mergeCell ref="M20:N20"/>
    <mergeCell ref="A21:K21"/>
    <mergeCell ref="A22:E22"/>
    <mergeCell ref="A23:B23"/>
    <mergeCell ref="A24:B27"/>
    <mergeCell ref="C24:C27"/>
    <mergeCell ref="E24:E27"/>
    <mergeCell ref="D24:D27"/>
    <mergeCell ref="B32:G32"/>
    <mergeCell ref="H3:J3"/>
    <mergeCell ref="K3:L3"/>
    <mergeCell ref="H4:J4"/>
    <mergeCell ref="K4:L4"/>
    <mergeCell ref="C17:D17"/>
    <mergeCell ref="C12:D12"/>
    <mergeCell ref="C13:D13"/>
    <mergeCell ref="C14:D14"/>
    <mergeCell ref="C9:D9"/>
    <mergeCell ref="C10:D10"/>
    <mergeCell ref="C11:D11"/>
    <mergeCell ref="G7:G8"/>
    <mergeCell ref="H7:I7"/>
    <mergeCell ref="H5:J5"/>
    <mergeCell ref="K5:L5"/>
    <mergeCell ref="O24:O27"/>
    <mergeCell ref="A28:B28"/>
    <mergeCell ref="M16:N16"/>
    <mergeCell ref="M17:N17"/>
    <mergeCell ref="M12:N12"/>
    <mergeCell ref="M13:N13"/>
    <mergeCell ref="M14:N14"/>
    <mergeCell ref="C15:D15"/>
    <mergeCell ref="M15:N15"/>
    <mergeCell ref="C16:D16"/>
    <mergeCell ref="M9:N9"/>
    <mergeCell ref="M10:N10"/>
    <mergeCell ref="M11:N11"/>
    <mergeCell ref="J7:K7"/>
    <mergeCell ref="L7:L8"/>
    <mergeCell ref="M7:N8"/>
  </mergeCells>
  <dataValidations count="4">
    <dataValidation type="list" allowBlank="1" showInputMessage="1" showErrorMessage="1" sqref="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1 IZ65541 SV65541 ACR65541 AMN65541 AWJ65541 BGF65541 BQB65541 BZX65541 CJT65541 CTP65541 DDL65541 DNH65541 DXD65541 EGZ65541 EQV65541 FAR65541 FKN65541 FUJ65541 GEF65541 GOB65541 GXX65541 HHT65541 HRP65541 IBL65541 ILH65541 IVD65541 JEZ65541 JOV65541 JYR65541 KIN65541 KSJ65541 LCF65541 LMB65541 LVX65541 MFT65541 MPP65541 MZL65541 NJH65541 NTD65541 OCZ65541 OMV65541 OWR65541 PGN65541 PQJ65541 QAF65541 QKB65541 QTX65541 RDT65541 RNP65541 RXL65541 SHH65541 SRD65541 TAZ65541 TKV65541 TUR65541 UEN65541 UOJ65541 UYF65541 VIB65541 VRX65541 WBT65541 WLP65541 WVL65541 D131077 IZ131077 SV131077 ACR131077 AMN131077 AWJ131077 BGF131077 BQB131077 BZX131077 CJT131077 CTP131077 DDL131077 DNH131077 DXD131077 EGZ131077 EQV131077 FAR131077 FKN131077 FUJ131077 GEF131077 GOB131077 GXX131077 HHT131077 HRP131077 IBL131077 ILH131077 IVD131077 JEZ131077 JOV131077 JYR131077 KIN131077 KSJ131077 LCF131077 LMB131077 LVX131077 MFT131077 MPP131077 MZL131077 NJH131077 NTD131077 OCZ131077 OMV131077 OWR131077 PGN131077 PQJ131077 QAF131077 QKB131077 QTX131077 RDT131077 RNP131077 RXL131077 SHH131077 SRD131077 TAZ131077 TKV131077 TUR131077 UEN131077 UOJ131077 UYF131077 VIB131077 VRX131077 WBT131077 WLP131077 WVL131077 D196613 IZ196613 SV196613 ACR196613 AMN196613 AWJ196613 BGF196613 BQB196613 BZX196613 CJT196613 CTP196613 DDL196613 DNH196613 DXD196613 EGZ196613 EQV196613 FAR196613 FKN196613 FUJ196613 GEF196613 GOB196613 GXX196613 HHT196613 HRP196613 IBL196613 ILH196613 IVD196613 JEZ196613 JOV196613 JYR196613 KIN196613 KSJ196613 LCF196613 LMB196613 LVX196613 MFT196613 MPP196613 MZL196613 NJH196613 NTD196613 OCZ196613 OMV196613 OWR196613 PGN196613 PQJ196613 QAF196613 QKB196613 QTX196613 RDT196613 RNP196613 RXL196613 SHH196613 SRD196613 TAZ196613 TKV196613 TUR196613 UEN196613 UOJ196613 UYF196613 VIB196613 VRX196613 WBT196613 WLP196613 WVL196613 D262149 IZ262149 SV262149 ACR262149 AMN262149 AWJ262149 BGF262149 BQB262149 BZX262149 CJT262149 CTP262149 DDL262149 DNH262149 DXD262149 EGZ262149 EQV262149 FAR262149 FKN262149 FUJ262149 GEF262149 GOB262149 GXX262149 HHT262149 HRP262149 IBL262149 ILH262149 IVD262149 JEZ262149 JOV262149 JYR262149 KIN262149 KSJ262149 LCF262149 LMB262149 LVX262149 MFT262149 MPP262149 MZL262149 NJH262149 NTD262149 OCZ262149 OMV262149 OWR262149 PGN262149 PQJ262149 QAF262149 QKB262149 QTX262149 RDT262149 RNP262149 RXL262149 SHH262149 SRD262149 TAZ262149 TKV262149 TUR262149 UEN262149 UOJ262149 UYF262149 VIB262149 VRX262149 WBT262149 WLP262149 WVL262149 D327685 IZ327685 SV327685 ACR327685 AMN327685 AWJ327685 BGF327685 BQB327685 BZX327685 CJT327685 CTP327685 DDL327685 DNH327685 DXD327685 EGZ327685 EQV327685 FAR327685 FKN327685 FUJ327685 GEF327685 GOB327685 GXX327685 HHT327685 HRP327685 IBL327685 ILH327685 IVD327685 JEZ327685 JOV327685 JYR327685 KIN327685 KSJ327685 LCF327685 LMB327685 LVX327685 MFT327685 MPP327685 MZL327685 NJH327685 NTD327685 OCZ327685 OMV327685 OWR327685 PGN327685 PQJ327685 QAF327685 QKB327685 QTX327685 RDT327685 RNP327685 RXL327685 SHH327685 SRD327685 TAZ327685 TKV327685 TUR327685 UEN327685 UOJ327685 UYF327685 VIB327685 VRX327685 WBT327685 WLP327685 WVL327685 D393221 IZ393221 SV393221 ACR393221 AMN393221 AWJ393221 BGF393221 BQB393221 BZX393221 CJT393221 CTP393221 DDL393221 DNH393221 DXD393221 EGZ393221 EQV393221 FAR393221 FKN393221 FUJ393221 GEF393221 GOB393221 GXX393221 HHT393221 HRP393221 IBL393221 ILH393221 IVD393221 JEZ393221 JOV393221 JYR393221 KIN393221 KSJ393221 LCF393221 LMB393221 LVX393221 MFT393221 MPP393221 MZL393221 NJH393221 NTD393221 OCZ393221 OMV393221 OWR393221 PGN393221 PQJ393221 QAF393221 QKB393221 QTX393221 RDT393221 RNP393221 RXL393221 SHH393221 SRD393221 TAZ393221 TKV393221 TUR393221 UEN393221 UOJ393221 UYF393221 VIB393221 VRX393221 WBT393221 WLP393221 WVL393221 D458757 IZ458757 SV458757 ACR458757 AMN458757 AWJ458757 BGF458757 BQB458757 BZX458757 CJT458757 CTP458757 DDL458757 DNH458757 DXD458757 EGZ458757 EQV458757 FAR458757 FKN458757 FUJ458757 GEF458757 GOB458757 GXX458757 HHT458757 HRP458757 IBL458757 ILH458757 IVD458757 JEZ458757 JOV458757 JYR458757 KIN458757 KSJ458757 LCF458757 LMB458757 LVX458757 MFT458757 MPP458757 MZL458757 NJH458757 NTD458757 OCZ458757 OMV458757 OWR458757 PGN458757 PQJ458757 QAF458757 QKB458757 QTX458757 RDT458757 RNP458757 RXL458757 SHH458757 SRD458757 TAZ458757 TKV458757 TUR458757 UEN458757 UOJ458757 UYF458757 VIB458757 VRX458757 WBT458757 WLP458757 WVL458757 D524293 IZ524293 SV524293 ACR524293 AMN524293 AWJ524293 BGF524293 BQB524293 BZX524293 CJT524293 CTP524293 DDL524293 DNH524293 DXD524293 EGZ524293 EQV524293 FAR524293 FKN524293 FUJ524293 GEF524293 GOB524293 GXX524293 HHT524293 HRP524293 IBL524293 ILH524293 IVD524293 JEZ524293 JOV524293 JYR524293 KIN524293 KSJ524293 LCF524293 LMB524293 LVX524293 MFT524293 MPP524293 MZL524293 NJH524293 NTD524293 OCZ524293 OMV524293 OWR524293 PGN524293 PQJ524293 QAF524293 QKB524293 QTX524293 RDT524293 RNP524293 RXL524293 SHH524293 SRD524293 TAZ524293 TKV524293 TUR524293 UEN524293 UOJ524293 UYF524293 VIB524293 VRX524293 WBT524293 WLP524293 WVL524293 D589829 IZ589829 SV589829 ACR589829 AMN589829 AWJ589829 BGF589829 BQB589829 BZX589829 CJT589829 CTP589829 DDL589829 DNH589829 DXD589829 EGZ589829 EQV589829 FAR589829 FKN589829 FUJ589829 GEF589829 GOB589829 GXX589829 HHT589829 HRP589829 IBL589829 ILH589829 IVD589829 JEZ589829 JOV589829 JYR589829 KIN589829 KSJ589829 LCF589829 LMB589829 LVX589829 MFT589829 MPP589829 MZL589829 NJH589829 NTD589829 OCZ589829 OMV589829 OWR589829 PGN589829 PQJ589829 QAF589829 QKB589829 QTX589829 RDT589829 RNP589829 RXL589829 SHH589829 SRD589829 TAZ589829 TKV589829 TUR589829 UEN589829 UOJ589829 UYF589829 VIB589829 VRX589829 WBT589829 WLP589829 WVL589829 D655365 IZ655365 SV655365 ACR655365 AMN655365 AWJ655365 BGF655365 BQB655365 BZX655365 CJT655365 CTP655365 DDL655365 DNH655365 DXD655365 EGZ655365 EQV655365 FAR655365 FKN655365 FUJ655365 GEF655365 GOB655365 GXX655365 HHT655365 HRP655365 IBL655365 ILH655365 IVD655365 JEZ655365 JOV655365 JYR655365 KIN655365 KSJ655365 LCF655365 LMB655365 LVX655365 MFT655365 MPP655365 MZL655365 NJH655365 NTD655365 OCZ655365 OMV655365 OWR655365 PGN655365 PQJ655365 QAF655365 QKB655365 QTX655365 RDT655365 RNP655365 RXL655365 SHH655365 SRD655365 TAZ655365 TKV655365 TUR655365 UEN655365 UOJ655365 UYF655365 VIB655365 VRX655365 WBT655365 WLP655365 WVL655365 D720901 IZ720901 SV720901 ACR720901 AMN720901 AWJ720901 BGF720901 BQB720901 BZX720901 CJT720901 CTP720901 DDL720901 DNH720901 DXD720901 EGZ720901 EQV720901 FAR720901 FKN720901 FUJ720901 GEF720901 GOB720901 GXX720901 HHT720901 HRP720901 IBL720901 ILH720901 IVD720901 JEZ720901 JOV720901 JYR720901 KIN720901 KSJ720901 LCF720901 LMB720901 LVX720901 MFT720901 MPP720901 MZL720901 NJH720901 NTD720901 OCZ720901 OMV720901 OWR720901 PGN720901 PQJ720901 QAF720901 QKB720901 QTX720901 RDT720901 RNP720901 RXL720901 SHH720901 SRD720901 TAZ720901 TKV720901 TUR720901 UEN720901 UOJ720901 UYF720901 VIB720901 VRX720901 WBT720901 WLP720901 WVL720901 D786437 IZ786437 SV786437 ACR786437 AMN786437 AWJ786437 BGF786437 BQB786437 BZX786437 CJT786437 CTP786437 DDL786437 DNH786437 DXD786437 EGZ786437 EQV786437 FAR786437 FKN786437 FUJ786437 GEF786437 GOB786437 GXX786437 HHT786437 HRP786437 IBL786437 ILH786437 IVD786437 JEZ786437 JOV786437 JYR786437 KIN786437 KSJ786437 LCF786437 LMB786437 LVX786437 MFT786437 MPP786437 MZL786437 NJH786437 NTD786437 OCZ786437 OMV786437 OWR786437 PGN786437 PQJ786437 QAF786437 QKB786437 QTX786437 RDT786437 RNP786437 RXL786437 SHH786437 SRD786437 TAZ786437 TKV786437 TUR786437 UEN786437 UOJ786437 UYF786437 VIB786437 VRX786437 WBT786437 WLP786437 WVL786437 D851973 IZ851973 SV851973 ACR851973 AMN851973 AWJ851973 BGF851973 BQB851973 BZX851973 CJT851973 CTP851973 DDL851973 DNH851973 DXD851973 EGZ851973 EQV851973 FAR851973 FKN851973 FUJ851973 GEF851973 GOB851973 GXX851973 HHT851973 HRP851973 IBL851973 ILH851973 IVD851973 JEZ851973 JOV851973 JYR851973 KIN851973 KSJ851973 LCF851973 LMB851973 LVX851973 MFT851973 MPP851973 MZL851973 NJH851973 NTD851973 OCZ851973 OMV851973 OWR851973 PGN851973 PQJ851973 QAF851973 QKB851973 QTX851973 RDT851973 RNP851973 RXL851973 SHH851973 SRD851973 TAZ851973 TKV851973 TUR851973 UEN851973 UOJ851973 UYF851973 VIB851973 VRX851973 WBT851973 WLP851973 WVL851973 D917509 IZ917509 SV917509 ACR917509 AMN917509 AWJ917509 BGF917509 BQB917509 BZX917509 CJT917509 CTP917509 DDL917509 DNH917509 DXD917509 EGZ917509 EQV917509 FAR917509 FKN917509 FUJ917509 GEF917509 GOB917509 GXX917509 HHT917509 HRP917509 IBL917509 ILH917509 IVD917509 JEZ917509 JOV917509 JYR917509 KIN917509 KSJ917509 LCF917509 LMB917509 LVX917509 MFT917509 MPP917509 MZL917509 NJH917509 NTD917509 OCZ917509 OMV917509 OWR917509 PGN917509 PQJ917509 QAF917509 QKB917509 QTX917509 RDT917509 RNP917509 RXL917509 SHH917509 SRD917509 TAZ917509 TKV917509 TUR917509 UEN917509 UOJ917509 UYF917509 VIB917509 VRX917509 WBT917509 WLP917509 WVL917509 D983045 IZ983045 SV983045 ACR983045 AMN983045 AWJ983045 BGF983045 BQB983045 BZX983045 CJT983045 CTP983045 DDL983045 DNH983045 DXD983045 EGZ983045 EQV983045 FAR983045 FKN983045 FUJ983045 GEF983045 GOB983045 GXX983045 HHT983045 HRP983045 IBL983045 ILH983045 IVD983045 JEZ983045 JOV983045 JYR983045 KIN983045 KSJ983045 LCF983045 LMB983045 LVX983045 MFT983045 MPP983045 MZL983045 NJH983045 NTD983045 OCZ983045 OMV983045 OWR983045 PGN983045 PQJ983045 QAF983045 QKB983045 QTX983045 RDT983045 RNP983045 RXL983045 SHH983045 SRD983045 TAZ983045 TKV983045 TUR983045 UEN983045 UOJ983045 UYF983045 VIB983045 VRX983045 WBT983045 WLP983045 WVL983045" xr:uid="{00000000-0002-0000-0000-000000000000}">
      <formula1>$T$7:$T$61</formula1>
    </dataValidation>
    <dataValidation type="list" allowBlank="1" showInputMessage="1" showErrorMessage="1" sqref="WVO983049:WVO983060 JC9:JC20 WLS983049:WLS983060 WBW983049:WBW983060 VSA983049:VSA983060 VIE983049:VIE983060 UYI983049:UYI983060 UOM983049:UOM983060 UEQ983049:UEQ983060 TUU983049:TUU983060 TKY983049:TKY983060 TBC983049:TBC983060 SRG983049:SRG983060 SHK983049:SHK983060 RXO983049:RXO983060 RNS983049:RNS983060 RDW983049:RDW983060 QUA983049:QUA983060 QKE983049:QKE983060 QAI983049:QAI983060 PQM983049:PQM983060 PGQ983049:PGQ983060 OWU983049:OWU983060 OMY983049:OMY983060 ODC983049:ODC983060 NTG983049:NTG983060 NJK983049:NJK983060 MZO983049:MZO983060 MPS983049:MPS983060 MFW983049:MFW983060 LWA983049:LWA983060 LME983049:LME983060 LCI983049:LCI983060 KSM983049:KSM983060 KIQ983049:KIQ983060 JYU983049:JYU983060 JOY983049:JOY983060 JFC983049:JFC983060 IVG983049:IVG983060 ILK983049:ILK983060 IBO983049:IBO983060 HRS983049:HRS983060 HHW983049:HHW983060 GYA983049:GYA983060 GOE983049:GOE983060 GEI983049:GEI983060 FUM983049:FUM983060 FKQ983049:FKQ983060 FAU983049:FAU983060 EQY983049:EQY983060 EHC983049:EHC983060 DXG983049:DXG983060 DNK983049:DNK983060 DDO983049:DDO983060 CTS983049:CTS983060 CJW983049:CJW983060 CAA983049:CAA983060 BQE983049:BQE983060 BGI983049:BGI983060 AWM983049:AWM983060 AMQ983049:AMQ983060 ACU983049:ACU983060 SY983049:SY983060 JC983049:JC983060 G983049:G983060 WVO917513:WVO917524 WLS917513:WLS917524 WBW917513:WBW917524 VSA917513:VSA917524 VIE917513:VIE917524 UYI917513:UYI917524 UOM917513:UOM917524 UEQ917513:UEQ917524 TUU917513:TUU917524 TKY917513:TKY917524 TBC917513:TBC917524 SRG917513:SRG917524 SHK917513:SHK917524 RXO917513:RXO917524 RNS917513:RNS917524 RDW917513:RDW917524 QUA917513:QUA917524 QKE917513:QKE917524 QAI917513:QAI917524 PQM917513:PQM917524 PGQ917513:PGQ917524 OWU917513:OWU917524 OMY917513:OMY917524 ODC917513:ODC917524 NTG917513:NTG917524 NJK917513:NJK917524 MZO917513:MZO917524 MPS917513:MPS917524 MFW917513:MFW917524 LWA917513:LWA917524 LME917513:LME917524 LCI917513:LCI917524 KSM917513:KSM917524 KIQ917513:KIQ917524 JYU917513:JYU917524 JOY917513:JOY917524 JFC917513:JFC917524 IVG917513:IVG917524 ILK917513:ILK917524 IBO917513:IBO917524 HRS917513:HRS917524 HHW917513:HHW917524 GYA917513:GYA917524 GOE917513:GOE917524 GEI917513:GEI917524 FUM917513:FUM917524 FKQ917513:FKQ917524 FAU917513:FAU917524 EQY917513:EQY917524 EHC917513:EHC917524 DXG917513:DXG917524 DNK917513:DNK917524 DDO917513:DDO917524 CTS917513:CTS917524 CJW917513:CJW917524 CAA917513:CAA917524 BQE917513:BQE917524 BGI917513:BGI917524 AWM917513:AWM917524 AMQ917513:AMQ917524 ACU917513:ACU917524 SY917513:SY917524 JC917513:JC917524 G917513:G917524 WVO851977:WVO851988 WLS851977:WLS851988 WBW851977:WBW851988 VSA851977:VSA851988 VIE851977:VIE851988 UYI851977:UYI851988 UOM851977:UOM851988 UEQ851977:UEQ851988 TUU851977:TUU851988 TKY851977:TKY851988 TBC851977:TBC851988 SRG851977:SRG851988 SHK851977:SHK851988 RXO851977:RXO851988 RNS851977:RNS851988 RDW851977:RDW851988 QUA851977:QUA851988 QKE851977:QKE851988 QAI851977:QAI851988 PQM851977:PQM851988 PGQ851977:PGQ851988 OWU851977:OWU851988 OMY851977:OMY851988 ODC851977:ODC851988 NTG851977:NTG851988 NJK851977:NJK851988 MZO851977:MZO851988 MPS851977:MPS851988 MFW851977:MFW851988 LWA851977:LWA851988 LME851977:LME851988 LCI851977:LCI851988 KSM851977:KSM851988 KIQ851977:KIQ851988 JYU851977:JYU851988 JOY851977:JOY851988 JFC851977:JFC851988 IVG851977:IVG851988 ILK851977:ILK851988 IBO851977:IBO851988 HRS851977:HRS851988 HHW851977:HHW851988 GYA851977:GYA851988 GOE851977:GOE851988 GEI851977:GEI851988 FUM851977:FUM851988 FKQ851977:FKQ851988 FAU851977:FAU851988 EQY851977:EQY851988 EHC851977:EHC851988 DXG851977:DXG851988 DNK851977:DNK851988 DDO851977:DDO851988 CTS851977:CTS851988 CJW851977:CJW851988 CAA851977:CAA851988 BQE851977:BQE851988 BGI851977:BGI851988 AWM851977:AWM851988 AMQ851977:AMQ851988 ACU851977:ACU851988 SY851977:SY851988 JC851977:JC851988 G851977:G851988 WVO786441:WVO786452 WLS786441:WLS786452 WBW786441:WBW786452 VSA786441:VSA786452 VIE786441:VIE786452 UYI786441:UYI786452 UOM786441:UOM786452 UEQ786441:UEQ786452 TUU786441:TUU786452 TKY786441:TKY786452 TBC786441:TBC786452 SRG786441:SRG786452 SHK786441:SHK786452 RXO786441:RXO786452 RNS786441:RNS786452 RDW786441:RDW786452 QUA786441:QUA786452 QKE786441:QKE786452 QAI786441:QAI786452 PQM786441:PQM786452 PGQ786441:PGQ786452 OWU786441:OWU786452 OMY786441:OMY786452 ODC786441:ODC786452 NTG786441:NTG786452 NJK786441:NJK786452 MZO786441:MZO786452 MPS786441:MPS786452 MFW786441:MFW786452 LWA786441:LWA786452 LME786441:LME786452 LCI786441:LCI786452 KSM786441:KSM786452 KIQ786441:KIQ786452 JYU786441:JYU786452 JOY786441:JOY786452 JFC786441:JFC786452 IVG786441:IVG786452 ILK786441:ILK786452 IBO786441:IBO786452 HRS786441:HRS786452 HHW786441:HHW786452 GYA786441:GYA786452 GOE786441:GOE786452 GEI786441:GEI786452 FUM786441:FUM786452 FKQ786441:FKQ786452 FAU786441:FAU786452 EQY786441:EQY786452 EHC786441:EHC786452 DXG786441:DXG786452 DNK786441:DNK786452 DDO786441:DDO786452 CTS786441:CTS786452 CJW786441:CJW786452 CAA786441:CAA786452 BQE786441:BQE786452 BGI786441:BGI786452 AWM786441:AWM786452 AMQ786441:AMQ786452 ACU786441:ACU786452 SY786441:SY786452 JC786441:JC786452 G786441:G786452 WVO720905:WVO720916 WLS720905:WLS720916 WBW720905:WBW720916 VSA720905:VSA720916 VIE720905:VIE720916 UYI720905:UYI720916 UOM720905:UOM720916 UEQ720905:UEQ720916 TUU720905:TUU720916 TKY720905:TKY720916 TBC720905:TBC720916 SRG720905:SRG720916 SHK720905:SHK720916 RXO720905:RXO720916 RNS720905:RNS720916 RDW720905:RDW720916 QUA720905:QUA720916 QKE720905:QKE720916 QAI720905:QAI720916 PQM720905:PQM720916 PGQ720905:PGQ720916 OWU720905:OWU720916 OMY720905:OMY720916 ODC720905:ODC720916 NTG720905:NTG720916 NJK720905:NJK720916 MZO720905:MZO720916 MPS720905:MPS720916 MFW720905:MFW720916 LWA720905:LWA720916 LME720905:LME720916 LCI720905:LCI720916 KSM720905:KSM720916 KIQ720905:KIQ720916 JYU720905:JYU720916 JOY720905:JOY720916 JFC720905:JFC720916 IVG720905:IVG720916 ILK720905:ILK720916 IBO720905:IBO720916 HRS720905:HRS720916 HHW720905:HHW720916 GYA720905:GYA720916 GOE720905:GOE720916 GEI720905:GEI720916 FUM720905:FUM720916 FKQ720905:FKQ720916 FAU720905:FAU720916 EQY720905:EQY720916 EHC720905:EHC720916 DXG720905:DXG720916 DNK720905:DNK720916 DDO720905:DDO720916 CTS720905:CTS720916 CJW720905:CJW720916 CAA720905:CAA720916 BQE720905:BQE720916 BGI720905:BGI720916 AWM720905:AWM720916 AMQ720905:AMQ720916 ACU720905:ACU720916 SY720905:SY720916 JC720905:JC720916 G720905:G720916 WVO655369:WVO655380 WLS655369:WLS655380 WBW655369:WBW655380 VSA655369:VSA655380 VIE655369:VIE655380 UYI655369:UYI655380 UOM655369:UOM655380 UEQ655369:UEQ655380 TUU655369:TUU655380 TKY655369:TKY655380 TBC655369:TBC655380 SRG655369:SRG655380 SHK655369:SHK655380 RXO655369:RXO655380 RNS655369:RNS655380 RDW655369:RDW655380 QUA655369:QUA655380 QKE655369:QKE655380 QAI655369:QAI655380 PQM655369:PQM655380 PGQ655369:PGQ655380 OWU655369:OWU655380 OMY655369:OMY655380 ODC655369:ODC655380 NTG655369:NTG655380 NJK655369:NJK655380 MZO655369:MZO655380 MPS655369:MPS655380 MFW655369:MFW655380 LWA655369:LWA655380 LME655369:LME655380 LCI655369:LCI655380 KSM655369:KSM655380 KIQ655369:KIQ655380 JYU655369:JYU655380 JOY655369:JOY655380 JFC655369:JFC655380 IVG655369:IVG655380 ILK655369:ILK655380 IBO655369:IBO655380 HRS655369:HRS655380 HHW655369:HHW655380 GYA655369:GYA655380 GOE655369:GOE655380 GEI655369:GEI655380 FUM655369:FUM655380 FKQ655369:FKQ655380 FAU655369:FAU655380 EQY655369:EQY655380 EHC655369:EHC655380 DXG655369:DXG655380 DNK655369:DNK655380 DDO655369:DDO655380 CTS655369:CTS655380 CJW655369:CJW655380 CAA655369:CAA655380 BQE655369:BQE655380 BGI655369:BGI655380 AWM655369:AWM655380 AMQ655369:AMQ655380 ACU655369:ACU655380 SY655369:SY655380 JC655369:JC655380 G655369:G655380 WVO589833:WVO589844 WLS589833:WLS589844 WBW589833:WBW589844 VSA589833:VSA589844 VIE589833:VIE589844 UYI589833:UYI589844 UOM589833:UOM589844 UEQ589833:UEQ589844 TUU589833:TUU589844 TKY589833:TKY589844 TBC589833:TBC589844 SRG589833:SRG589844 SHK589833:SHK589844 RXO589833:RXO589844 RNS589833:RNS589844 RDW589833:RDW589844 QUA589833:QUA589844 QKE589833:QKE589844 QAI589833:QAI589844 PQM589833:PQM589844 PGQ589833:PGQ589844 OWU589833:OWU589844 OMY589833:OMY589844 ODC589833:ODC589844 NTG589833:NTG589844 NJK589833:NJK589844 MZO589833:MZO589844 MPS589833:MPS589844 MFW589833:MFW589844 LWA589833:LWA589844 LME589833:LME589844 LCI589833:LCI589844 KSM589833:KSM589844 KIQ589833:KIQ589844 JYU589833:JYU589844 JOY589833:JOY589844 JFC589833:JFC589844 IVG589833:IVG589844 ILK589833:ILK589844 IBO589833:IBO589844 HRS589833:HRS589844 HHW589833:HHW589844 GYA589833:GYA589844 GOE589833:GOE589844 GEI589833:GEI589844 FUM589833:FUM589844 FKQ589833:FKQ589844 FAU589833:FAU589844 EQY589833:EQY589844 EHC589833:EHC589844 DXG589833:DXG589844 DNK589833:DNK589844 DDO589833:DDO589844 CTS589833:CTS589844 CJW589833:CJW589844 CAA589833:CAA589844 BQE589833:BQE589844 BGI589833:BGI589844 AWM589833:AWM589844 AMQ589833:AMQ589844 ACU589833:ACU589844 SY589833:SY589844 JC589833:JC589844 G589833:G589844 WVO524297:WVO524308 WLS524297:WLS524308 WBW524297:WBW524308 VSA524297:VSA524308 VIE524297:VIE524308 UYI524297:UYI524308 UOM524297:UOM524308 UEQ524297:UEQ524308 TUU524297:TUU524308 TKY524297:TKY524308 TBC524297:TBC524308 SRG524297:SRG524308 SHK524297:SHK524308 RXO524297:RXO524308 RNS524297:RNS524308 RDW524297:RDW524308 QUA524297:QUA524308 QKE524297:QKE524308 QAI524297:QAI524308 PQM524297:PQM524308 PGQ524297:PGQ524308 OWU524297:OWU524308 OMY524297:OMY524308 ODC524297:ODC524308 NTG524297:NTG524308 NJK524297:NJK524308 MZO524297:MZO524308 MPS524297:MPS524308 MFW524297:MFW524308 LWA524297:LWA524308 LME524297:LME524308 LCI524297:LCI524308 KSM524297:KSM524308 KIQ524297:KIQ524308 JYU524297:JYU524308 JOY524297:JOY524308 JFC524297:JFC524308 IVG524297:IVG524308 ILK524297:ILK524308 IBO524297:IBO524308 HRS524297:HRS524308 HHW524297:HHW524308 GYA524297:GYA524308 GOE524297:GOE524308 GEI524297:GEI524308 FUM524297:FUM524308 FKQ524297:FKQ524308 FAU524297:FAU524308 EQY524297:EQY524308 EHC524297:EHC524308 DXG524297:DXG524308 DNK524297:DNK524308 DDO524297:DDO524308 CTS524297:CTS524308 CJW524297:CJW524308 CAA524297:CAA524308 BQE524297:BQE524308 BGI524297:BGI524308 AWM524297:AWM524308 AMQ524297:AMQ524308 ACU524297:ACU524308 SY524297:SY524308 JC524297:JC524308 G524297:G524308 WVO458761:WVO458772 WLS458761:WLS458772 WBW458761:WBW458772 VSA458761:VSA458772 VIE458761:VIE458772 UYI458761:UYI458772 UOM458761:UOM458772 UEQ458761:UEQ458772 TUU458761:TUU458772 TKY458761:TKY458772 TBC458761:TBC458772 SRG458761:SRG458772 SHK458761:SHK458772 RXO458761:RXO458772 RNS458761:RNS458772 RDW458761:RDW458772 QUA458761:QUA458772 QKE458761:QKE458772 QAI458761:QAI458772 PQM458761:PQM458772 PGQ458761:PGQ458772 OWU458761:OWU458772 OMY458761:OMY458772 ODC458761:ODC458772 NTG458761:NTG458772 NJK458761:NJK458772 MZO458761:MZO458772 MPS458761:MPS458772 MFW458761:MFW458772 LWA458761:LWA458772 LME458761:LME458772 LCI458761:LCI458772 KSM458761:KSM458772 KIQ458761:KIQ458772 JYU458761:JYU458772 JOY458761:JOY458772 JFC458761:JFC458772 IVG458761:IVG458772 ILK458761:ILK458772 IBO458761:IBO458772 HRS458761:HRS458772 HHW458761:HHW458772 GYA458761:GYA458772 GOE458761:GOE458772 GEI458761:GEI458772 FUM458761:FUM458772 FKQ458761:FKQ458772 FAU458761:FAU458772 EQY458761:EQY458772 EHC458761:EHC458772 DXG458761:DXG458772 DNK458761:DNK458772 DDO458761:DDO458772 CTS458761:CTS458772 CJW458761:CJW458772 CAA458761:CAA458772 BQE458761:BQE458772 BGI458761:BGI458772 AWM458761:AWM458772 AMQ458761:AMQ458772 ACU458761:ACU458772 SY458761:SY458772 JC458761:JC458772 G458761:G458772 WVO393225:WVO393236 WLS393225:WLS393236 WBW393225:WBW393236 VSA393225:VSA393236 VIE393225:VIE393236 UYI393225:UYI393236 UOM393225:UOM393236 UEQ393225:UEQ393236 TUU393225:TUU393236 TKY393225:TKY393236 TBC393225:TBC393236 SRG393225:SRG393236 SHK393225:SHK393236 RXO393225:RXO393236 RNS393225:RNS393236 RDW393225:RDW393236 QUA393225:QUA393236 QKE393225:QKE393236 QAI393225:QAI393236 PQM393225:PQM393236 PGQ393225:PGQ393236 OWU393225:OWU393236 OMY393225:OMY393236 ODC393225:ODC393236 NTG393225:NTG393236 NJK393225:NJK393236 MZO393225:MZO393236 MPS393225:MPS393236 MFW393225:MFW393236 LWA393225:LWA393236 LME393225:LME393236 LCI393225:LCI393236 KSM393225:KSM393236 KIQ393225:KIQ393236 JYU393225:JYU393236 JOY393225:JOY393236 JFC393225:JFC393236 IVG393225:IVG393236 ILK393225:ILK393236 IBO393225:IBO393236 HRS393225:HRS393236 HHW393225:HHW393236 GYA393225:GYA393236 GOE393225:GOE393236 GEI393225:GEI393236 FUM393225:FUM393236 FKQ393225:FKQ393236 FAU393225:FAU393236 EQY393225:EQY393236 EHC393225:EHC393236 DXG393225:DXG393236 DNK393225:DNK393236 DDO393225:DDO393236 CTS393225:CTS393236 CJW393225:CJW393236 CAA393225:CAA393236 BQE393225:BQE393236 BGI393225:BGI393236 AWM393225:AWM393236 AMQ393225:AMQ393236 ACU393225:ACU393236 SY393225:SY393236 JC393225:JC393236 G393225:G393236 WVO327689:WVO327700 WLS327689:WLS327700 WBW327689:WBW327700 VSA327689:VSA327700 VIE327689:VIE327700 UYI327689:UYI327700 UOM327689:UOM327700 UEQ327689:UEQ327700 TUU327689:TUU327700 TKY327689:TKY327700 TBC327689:TBC327700 SRG327689:SRG327700 SHK327689:SHK327700 RXO327689:RXO327700 RNS327689:RNS327700 RDW327689:RDW327700 QUA327689:QUA327700 QKE327689:QKE327700 QAI327689:QAI327700 PQM327689:PQM327700 PGQ327689:PGQ327700 OWU327689:OWU327700 OMY327689:OMY327700 ODC327689:ODC327700 NTG327689:NTG327700 NJK327689:NJK327700 MZO327689:MZO327700 MPS327689:MPS327700 MFW327689:MFW327700 LWA327689:LWA327700 LME327689:LME327700 LCI327689:LCI327700 KSM327689:KSM327700 KIQ327689:KIQ327700 JYU327689:JYU327700 JOY327689:JOY327700 JFC327689:JFC327700 IVG327689:IVG327700 ILK327689:ILK327700 IBO327689:IBO327700 HRS327689:HRS327700 HHW327689:HHW327700 GYA327689:GYA327700 GOE327689:GOE327700 GEI327689:GEI327700 FUM327689:FUM327700 FKQ327689:FKQ327700 FAU327689:FAU327700 EQY327689:EQY327700 EHC327689:EHC327700 DXG327689:DXG327700 DNK327689:DNK327700 DDO327689:DDO327700 CTS327689:CTS327700 CJW327689:CJW327700 CAA327689:CAA327700 BQE327689:BQE327700 BGI327689:BGI327700 AWM327689:AWM327700 AMQ327689:AMQ327700 ACU327689:ACU327700 SY327689:SY327700 JC327689:JC327700 G327689:G327700 WVO262153:WVO262164 WLS262153:WLS262164 WBW262153:WBW262164 VSA262153:VSA262164 VIE262153:VIE262164 UYI262153:UYI262164 UOM262153:UOM262164 UEQ262153:UEQ262164 TUU262153:TUU262164 TKY262153:TKY262164 TBC262153:TBC262164 SRG262153:SRG262164 SHK262153:SHK262164 RXO262153:RXO262164 RNS262153:RNS262164 RDW262153:RDW262164 QUA262153:QUA262164 QKE262153:QKE262164 QAI262153:QAI262164 PQM262153:PQM262164 PGQ262153:PGQ262164 OWU262153:OWU262164 OMY262153:OMY262164 ODC262153:ODC262164 NTG262153:NTG262164 NJK262153:NJK262164 MZO262153:MZO262164 MPS262153:MPS262164 MFW262153:MFW262164 LWA262153:LWA262164 LME262153:LME262164 LCI262153:LCI262164 KSM262153:KSM262164 KIQ262153:KIQ262164 JYU262153:JYU262164 JOY262153:JOY262164 JFC262153:JFC262164 IVG262153:IVG262164 ILK262153:ILK262164 IBO262153:IBO262164 HRS262153:HRS262164 HHW262153:HHW262164 GYA262153:GYA262164 GOE262153:GOE262164 GEI262153:GEI262164 FUM262153:FUM262164 FKQ262153:FKQ262164 FAU262153:FAU262164 EQY262153:EQY262164 EHC262153:EHC262164 DXG262153:DXG262164 DNK262153:DNK262164 DDO262153:DDO262164 CTS262153:CTS262164 CJW262153:CJW262164 CAA262153:CAA262164 BQE262153:BQE262164 BGI262153:BGI262164 AWM262153:AWM262164 AMQ262153:AMQ262164 ACU262153:ACU262164 SY262153:SY262164 JC262153:JC262164 G262153:G262164 WVO196617:WVO196628 WLS196617:WLS196628 WBW196617:WBW196628 VSA196617:VSA196628 VIE196617:VIE196628 UYI196617:UYI196628 UOM196617:UOM196628 UEQ196617:UEQ196628 TUU196617:TUU196628 TKY196617:TKY196628 TBC196617:TBC196628 SRG196617:SRG196628 SHK196617:SHK196628 RXO196617:RXO196628 RNS196617:RNS196628 RDW196617:RDW196628 QUA196617:QUA196628 QKE196617:QKE196628 QAI196617:QAI196628 PQM196617:PQM196628 PGQ196617:PGQ196628 OWU196617:OWU196628 OMY196617:OMY196628 ODC196617:ODC196628 NTG196617:NTG196628 NJK196617:NJK196628 MZO196617:MZO196628 MPS196617:MPS196628 MFW196617:MFW196628 LWA196617:LWA196628 LME196617:LME196628 LCI196617:LCI196628 KSM196617:KSM196628 KIQ196617:KIQ196628 JYU196617:JYU196628 JOY196617:JOY196628 JFC196617:JFC196628 IVG196617:IVG196628 ILK196617:ILK196628 IBO196617:IBO196628 HRS196617:HRS196628 HHW196617:HHW196628 GYA196617:GYA196628 GOE196617:GOE196628 GEI196617:GEI196628 FUM196617:FUM196628 FKQ196617:FKQ196628 FAU196617:FAU196628 EQY196617:EQY196628 EHC196617:EHC196628 DXG196617:DXG196628 DNK196617:DNK196628 DDO196617:DDO196628 CTS196617:CTS196628 CJW196617:CJW196628 CAA196617:CAA196628 BQE196617:BQE196628 BGI196617:BGI196628 AWM196617:AWM196628 AMQ196617:AMQ196628 ACU196617:ACU196628 SY196617:SY196628 JC196617:JC196628 G196617:G196628 WVO131081:WVO131092 WLS131081:WLS131092 WBW131081:WBW131092 VSA131081:VSA131092 VIE131081:VIE131092 UYI131081:UYI131092 UOM131081:UOM131092 UEQ131081:UEQ131092 TUU131081:TUU131092 TKY131081:TKY131092 TBC131081:TBC131092 SRG131081:SRG131092 SHK131081:SHK131092 RXO131081:RXO131092 RNS131081:RNS131092 RDW131081:RDW131092 QUA131081:QUA131092 QKE131081:QKE131092 QAI131081:QAI131092 PQM131081:PQM131092 PGQ131081:PGQ131092 OWU131081:OWU131092 OMY131081:OMY131092 ODC131081:ODC131092 NTG131081:NTG131092 NJK131081:NJK131092 MZO131081:MZO131092 MPS131081:MPS131092 MFW131081:MFW131092 LWA131081:LWA131092 LME131081:LME131092 LCI131081:LCI131092 KSM131081:KSM131092 KIQ131081:KIQ131092 JYU131081:JYU131092 JOY131081:JOY131092 JFC131081:JFC131092 IVG131081:IVG131092 ILK131081:ILK131092 IBO131081:IBO131092 HRS131081:HRS131092 HHW131081:HHW131092 GYA131081:GYA131092 GOE131081:GOE131092 GEI131081:GEI131092 FUM131081:FUM131092 FKQ131081:FKQ131092 FAU131081:FAU131092 EQY131081:EQY131092 EHC131081:EHC131092 DXG131081:DXG131092 DNK131081:DNK131092 DDO131081:DDO131092 CTS131081:CTS131092 CJW131081:CJW131092 CAA131081:CAA131092 BQE131081:BQE131092 BGI131081:BGI131092 AWM131081:AWM131092 AMQ131081:AMQ131092 ACU131081:ACU131092 SY131081:SY131092 JC131081:JC131092 G131081:G131092 WVO65545:WVO65556 WLS65545:WLS65556 WBW65545:WBW65556 VSA65545:VSA65556 VIE65545:VIE65556 UYI65545:UYI65556 UOM65545:UOM65556 UEQ65545:UEQ65556 TUU65545:TUU65556 TKY65545:TKY65556 TBC65545:TBC65556 SRG65545:SRG65556 SHK65545:SHK65556 RXO65545:RXO65556 RNS65545:RNS65556 RDW65545:RDW65556 QUA65545:QUA65556 QKE65545:QKE65556 QAI65545:QAI65556 PQM65545:PQM65556 PGQ65545:PGQ65556 OWU65545:OWU65556 OMY65545:OMY65556 ODC65545:ODC65556 NTG65545:NTG65556 NJK65545:NJK65556 MZO65545:MZO65556 MPS65545:MPS65556 MFW65545:MFW65556 LWA65545:LWA65556 LME65545:LME65556 LCI65545:LCI65556 KSM65545:KSM65556 KIQ65545:KIQ65556 JYU65545:JYU65556 JOY65545:JOY65556 JFC65545:JFC65556 IVG65545:IVG65556 ILK65545:ILK65556 IBO65545:IBO65556 HRS65545:HRS65556 HHW65545:HHW65556 GYA65545:GYA65556 GOE65545:GOE65556 GEI65545:GEI65556 FUM65545:FUM65556 FKQ65545:FKQ65556 FAU65545:FAU65556 EQY65545:EQY65556 EHC65545:EHC65556 DXG65545:DXG65556 DNK65545:DNK65556 DDO65545:DDO65556 CTS65545:CTS65556 CJW65545:CJW65556 CAA65545:CAA65556 BQE65545:BQE65556 BGI65545:BGI65556 AWM65545:AWM65556 AMQ65545:AMQ65556 ACU65545:ACU65556 SY65545:SY65556 JC65545:JC65556 G65545:G65556 WVO9:WVO20 WLS9:WLS20 WBW9:WBW20 VSA9:VSA20 VIE9:VIE20 UYI9:UYI20 UOM9:UOM20 UEQ9:UEQ20 TUU9:TUU20 TKY9:TKY20 TBC9:TBC20 SRG9:SRG20 SHK9:SHK20 RXO9:RXO20 RNS9:RNS20 RDW9:RDW20 QUA9:QUA20 QKE9:QKE20 QAI9:QAI20 PQM9:PQM20 PGQ9:PGQ20 OWU9:OWU20 OMY9:OMY20 ODC9:ODC20 NTG9:NTG20 NJK9:NJK20 MZO9:MZO20 MPS9:MPS20 MFW9:MFW20 LWA9:LWA20 LME9:LME20 LCI9:LCI20 KSM9:KSM20 KIQ9:KIQ20 JYU9:JYU20 JOY9:JOY20 JFC9:JFC20 IVG9:IVG20 ILK9:ILK20 IBO9:IBO20 HRS9:HRS20 HHW9:HHW20 GYA9:GYA20 GOE9:GOE20 GEI9:GEI20 FUM9:FUM20 FKQ9:FKQ20 FAU9:FAU20 EQY9:EQY20 EHC9:EHC20 DXG9:DXG20 DNK9:DNK20 DDO9:DDO20 CTS9:CTS20 CJW9:CJW20 CAA9:CAA20 BQE9:BQE20 BGI9:BGI20 AWM9:AWM20 AMQ9:AMQ20 ACU9:ACU20 SY9:SY20" xr:uid="{00000000-0002-0000-0000-000001000000}">
      <formula1>$Y$7:$Y$26</formula1>
    </dataValidation>
    <dataValidation type="list" allowBlank="1" showInputMessage="1" showErrorMessage="1" sqref="WVQ983049:WVQ983060 WLU983049:WLU983060 WBY983049:WBY983060 VSC983049:VSC983060 VIG983049:VIG983060 UYK983049:UYK983060 UOO983049:UOO983060 UES983049:UES983060 TUW983049:TUW983060 TLA983049:TLA983060 TBE983049:TBE983060 SRI983049:SRI983060 SHM983049:SHM983060 RXQ983049:RXQ983060 RNU983049:RNU983060 RDY983049:RDY983060 QUC983049:QUC983060 QKG983049:QKG983060 QAK983049:QAK983060 PQO983049:PQO983060 PGS983049:PGS983060 OWW983049:OWW983060 ONA983049:ONA983060 ODE983049:ODE983060 NTI983049:NTI983060 NJM983049:NJM983060 MZQ983049:MZQ983060 MPU983049:MPU983060 MFY983049:MFY983060 LWC983049:LWC983060 LMG983049:LMG983060 LCK983049:LCK983060 KSO983049:KSO983060 KIS983049:KIS983060 JYW983049:JYW983060 JPA983049:JPA983060 JFE983049:JFE983060 IVI983049:IVI983060 ILM983049:ILM983060 IBQ983049:IBQ983060 HRU983049:HRU983060 HHY983049:HHY983060 GYC983049:GYC983060 GOG983049:GOG983060 GEK983049:GEK983060 FUO983049:FUO983060 FKS983049:FKS983060 FAW983049:FAW983060 ERA983049:ERA983060 EHE983049:EHE983060 DXI983049:DXI983060 DNM983049:DNM983060 DDQ983049:DDQ983060 CTU983049:CTU983060 CJY983049:CJY983060 CAC983049:CAC983060 BQG983049:BQG983060 BGK983049:BGK983060 AWO983049:AWO983060 AMS983049:AMS983060 ACW983049:ACW983060 TA983049:TA983060 JE983049:JE983060 WVQ917513:WVQ917524 WLU917513:WLU917524 WBY917513:WBY917524 VSC917513:VSC917524 VIG917513:VIG917524 UYK917513:UYK917524 UOO917513:UOO917524 UES917513:UES917524 TUW917513:TUW917524 TLA917513:TLA917524 TBE917513:TBE917524 SRI917513:SRI917524 SHM917513:SHM917524 RXQ917513:RXQ917524 RNU917513:RNU917524 RDY917513:RDY917524 QUC917513:QUC917524 QKG917513:QKG917524 QAK917513:QAK917524 PQO917513:PQO917524 PGS917513:PGS917524 OWW917513:OWW917524 ONA917513:ONA917524 ODE917513:ODE917524 NTI917513:NTI917524 NJM917513:NJM917524 MZQ917513:MZQ917524 MPU917513:MPU917524 MFY917513:MFY917524 LWC917513:LWC917524 LMG917513:LMG917524 LCK917513:LCK917524 KSO917513:KSO917524 KIS917513:KIS917524 JYW917513:JYW917524 JPA917513:JPA917524 JFE917513:JFE917524 IVI917513:IVI917524 ILM917513:ILM917524 IBQ917513:IBQ917524 HRU917513:HRU917524 HHY917513:HHY917524 GYC917513:GYC917524 GOG917513:GOG917524 GEK917513:GEK917524 FUO917513:FUO917524 FKS917513:FKS917524 FAW917513:FAW917524 ERA917513:ERA917524 EHE917513:EHE917524 DXI917513:DXI917524 DNM917513:DNM917524 DDQ917513:DDQ917524 CTU917513:CTU917524 CJY917513:CJY917524 CAC917513:CAC917524 BQG917513:BQG917524 BGK917513:BGK917524 AWO917513:AWO917524 AMS917513:AMS917524 ACW917513:ACW917524 TA917513:TA917524 JE917513:JE917524 WVQ851977:WVQ851988 WLU851977:WLU851988 WBY851977:WBY851988 VSC851977:VSC851988 VIG851977:VIG851988 UYK851977:UYK851988 UOO851977:UOO851988 UES851977:UES851988 TUW851977:TUW851988 TLA851977:TLA851988 TBE851977:TBE851988 SRI851977:SRI851988 SHM851977:SHM851988 RXQ851977:RXQ851988 RNU851977:RNU851988 RDY851977:RDY851988 QUC851977:QUC851988 QKG851977:QKG851988 QAK851977:QAK851988 PQO851977:PQO851988 PGS851977:PGS851988 OWW851977:OWW851988 ONA851977:ONA851988 ODE851977:ODE851988 NTI851977:NTI851988 NJM851977:NJM851988 MZQ851977:MZQ851988 MPU851977:MPU851988 MFY851977:MFY851988 LWC851977:LWC851988 LMG851977:LMG851988 LCK851977:LCK851988 KSO851977:KSO851988 KIS851977:KIS851988 JYW851977:JYW851988 JPA851977:JPA851988 JFE851977:JFE851988 IVI851977:IVI851988 ILM851977:ILM851988 IBQ851977:IBQ851988 HRU851977:HRU851988 HHY851977:HHY851988 GYC851977:GYC851988 GOG851977:GOG851988 GEK851977:GEK851988 FUO851977:FUO851988 FKS851977:FKS851988 FAW851977:FAW851988 ERA851977:ERA851988 EHE851977:EHE851988 DXI851977:DXI851988 DNM851977:DNM851988 DDQ851977:DDQ851988 CTU851977:CTU851988 CJY851977:CJY851988 CAC851977:CAC851988 BQG851977:BQG851988 BGK851977:BGK851988 AWO851977:AWO851988 AMS851977:AMS851988 ACW851977:ACW851988 TA851977:TA851988 JE851977:JE851988 WVQ786441:WVQ786452 WLU786441:WLU786452 WBY786441:WBY786452 VSC786441:VSC786452 VIG786441:VIG786452 UYK786441:UYK786452 UOO786441:UOO786452 UES786441:UES786452 TUW786441:TUW786452 TLA786441:TLA786452 TBE786441:TBE786452 SRI786441:SRI786452 SHM786441:SHM786452 RXQ786441:RXQ786452 RNU786441:RNU786452 RDY786441:RDY786452 QUC786441:QUC786452 QKG786441:QKG786452 QAK786441:QAK786452 PQO786441:PQO786452 PGS786441:PGS786452 OWW786441:OWW786452 ONA786441:ONA786452 ODE786441:ODE786452 NTI786441:NTI786452 NJM786441:NJM786452 MZQ786441:MZQ786452 MPU786441:MPU786452 MFY786441:MFY786452 LWC786441:LWC786452 LMG786441:LMG786452 LCK786441:LCK786452 KSO786441:KSO786452 KIS786441:KIS786452 JYW786441:JYW786452 JPA786441:JPA786452 JFE786441:JFE786452 IVI786441:IVI786452 ILM786441:ILM786452 IBQ786441:IBQ786452 HRU786441:HRU786452 HHY786441:HHY786452 GYC786441:GYC786452 GOG786441:GOG786452 GEK786441:GEK786452 FUO786441:FUO786452 FKS786441:FKS786452 FAW786441:FAW786452 ERA786441:ERA786452 EHE786441:EHE786452 DXI786441:DXI786452 DNM786441:DNM786452 DDQ786441:DDQ786452 CTU786441:CTU786452 CJY786441:CJY786452 CAC786441:CAC786452 BQG786441:BQG786452 BGK786441:BGK786452 AWO786441:AWO786452 AMS786441:AMS786452 ACW786441:ACW786452 TA786441:TA786452 JE786441:JE786452 WVQ720905:WVQ720916 WLU720905:WLU720916 WBY720905:WBY720916 VSC720905:VSC720916 VIG720905:VIG720916 UYK720905:UYK720916 UOO720905:UOO720916 UES720905:UES720916 TUW720905:TUW720916 TLA720905:TLA720916 TBE720905:TBE720916 SRI720905:SRI720916 SHM720905:SHM720916 RXQ720905:RXQ720916 RNU720905:RNU720916 RDY720905:RDY720916 QUC720905:QUC720916 QKG720905:QKG720916 QAK720905:QAK720916 PQO720905:PQO720916 PGS720905:PGS720916 OWW720905:OWW720916 ONA720905:ONA720916 ODE720905:ODE720916 NTI720905:NTI720916 NJM720905:NJM720916 MZQ720905:MZQ720916 MPU720905:MPU720916 MFY720905:MFY720916 LWC720905:LWC720916 LMG720905:LMG720916 LCK720905:LCK720916 KSO720905:KSO720916 KIS720905:KIS720916 JYW720905:JYW720916 JPA720905:JPA720916 JFE720905:JFE720916 IVI720905:IVI720916 ILM720905:ILM720916 IBQ720905:IBQ720916 HRU720905:HRU720916 HHY720905:HHY720916 GYC720905:GYC720916 GOG720905:GOG720916 GEK720905:GEK720916 FUO720905:FUO720916 FKS720905:FKS720916 FAW720905:FAW720916 ERA720905:ERA720916 EHE720905:EHE720916 DXI720905:DXI720916 DNM720905:DNM720916 DDQ720905:DDQ720916 CTU720905:CTU720916 CJY720905:CJY720916 CAC720905:CAC720916 BQG720905:BQG720916 BGK720905:BGK720916 AWO720905:AWO720916 AMS720905:AMS720916 ACW720905:ACW720916 TA720905:TA720916 JE720905:JE720916 WVQ655369:WVQ655380 WLU655369:WLU655380 WBY655369:WBY655380 VSC655369:VSC655380 VIG655369:VIG655380 UYK655369:UYK655380 UOO655369:UOO655380 UES655369:UES655380 TUW655369:TUW655380 TLA655369:TLA655380 TBE655369:TBE655380 SRI655369:SRI655380 SHM655369:SHM655380 RXQ655369:RXQ655380 RNU655369:RNU655380 RDY655369:RDY655380 QUC655369:QUC655380 QKG655369:QKG655380 QAK655369:QAK655380 PQO655369:PQO655380 PGS655369:PGS655380 OWW655369:OWW655380 ONA655369:ONA655380 ODE655369:ODE655380 NTI655369:NTI655380 NJM655369:NJM655380 MZQ655369:MZQ655380 MPU655369:MPU655380 MFY655369:MFY655380 LWC655369:LWC655380 LMG655369:LMG655380 LCK655369:LCK655380 KSO655369:KSO655380 KIS655369:KIS655380 JYW655369:JYW655380 JPA655369:JPA655380 JFE655369:JFE655380 IVI655369:IVI655380 ILM655369:ILM655380 IBQ655369:IBQ655380 HRU655369:HRU655380 HHY655369:HHY655380 GYC655369:GYC655380 GOG655369:GOG655380 GEK655369:GEK655380 FUO655369:FUO655380 FKS655369:FKS655380 FAW655369:FAW655380 ERA655369:ERA655380 EHE655369:EHE655380 DXI655369:DXI655380 DNM655369:DNM655380 DDQ655369:DDQ655380 CTU655369:CTU655380 CJY655369:CJY655380 CAC655369:CAC655380 BQG655369:BQG655380 BGK655369:BGK655380 AWO655369:AWO655380 AMS655369:AMS655380 ACW655369:ACW655380 TA655369:TA655380 JE655369:JE655380 WVQ589833:WVQ589844 WLU589833:WLU589844 WBY589833:WBY589844 VSC589833:VSC589844 VIG589833:VIG589844 UYK589833:UYK589844 UOO589833:UOO589844 UES589833:UES589844 TUW589833:TUW589844 TLA589833:TLA589844 TBE589833:TBE589844 SRI589833:SRI589844 SHM589833:SHM589844 RXQ589833:RXQ589844 RNU589833:RNU589844 RDY589833:RDY589844 QUC589833:QUC589844 QKG589833:QKG589844 QAK589833:QAK589844 PQO589833:PQO589844 PGS589833:PGS589844 OWW589833:OWW589844 ONA589833:ONA589844 ODE589833:ODE589844 NTI589833:NTI589844 NJM589833:NJM589844 MZQ589833:MZQ589844 MPU589833:MPU589844 MFY589833:MFY589844 LWC589833:LWC589844 LMG589833:LMG589844 LCK589833:LCK589844 KSO589833:KSO589844 KIS589833:KIS589844 JYW589833:JYW589844 JPA589833:JPA589844 JFE589833:JFE589844 IVI589833:IVI589844 ILM589833:ILM589844 IBQ589833:IBQ589844 HRU589833:HRU589844 HHY589833:HHY589844 GYC589833:GYC589844 GOG589833:GOG589844 GEK589833:GEK589844 FUO589833:FUO589844 FKS589833:FKS589844 FAW589833:FAW589844 ERA589833:ERA589844 EHE589833:EHE589844 DXI589833:DXI589844 DNM589833:DNM589844 DDQ589833:DDQ589844 CTU589833:CTU589844 CJY589833:CJY589844 CAC589833:CAC589844 BQG589833:BQG589844 BGK589833:BGK589844 AWO589833:AWO589844 AMS589833:AMS589844 ACW589833:ACW589844 TA589833:TA589844 JE589833:JE589844 WVQ524297:WVQ524308 WLU524297:WLU524308 WBY524297:WBY524308 VSC524297:VSC524308 VIG524297:VIG524308 UYK524297:UYK524308 UOO524297:UOO524308 UES524297:UES524308 TUW524297:TUW524308 TLA524297:TLA524308 TBE524297:TBE524308 SRI524297:SRI524308 SHM524297:SHM524308 RXQ524297:RXQ524308 RNU524297:RNU524308 RDY524297:RDY524308 QUC524297:QUC524308 QKG524297:QKG524308 QAK524297:QAK524308 PQO524297:PQO524308 PGS524297:PGS524308 OWW524297:OWW524308 ONA524297:ONA524308 ODE524297:ODE524308 NTI524297:NTI524308 NJM524297:NJM524308 MZQ524297:MZQ524308 MPU524297:MPU524308 MFY524297:MFY524308 LWC524297:LWC524308 LMG524297:LMG524308 LCK524297:LCK524308 KSO524297:KSO524308 KIS524297:KIS524308 JYW524297:JYW524308 JPA524297:JPA524308 JFE524297:JFE524308 IVI524297:IVI524308 ILM524297:ILM524308 IBQ524297:IBQ524308 HRU524297:HRU524308 HHY524297:HHY524308 GYC524297:GYC524308 GOG524297:GOG524308 GEK524297:GEK524308 FUO524297:FUO524308 FKS524297:FKS524308 FAW524297:FAW524308 ERA524297:ERA524308 EHE524297:EHE524308 DXI524297:DXI524308 DNM524297:DNM524308 DDQ524297:DDQ524308 CTU524297:CTU524308 CJY524297:CJY524308 CAC524297:CAC524308 BQG524297:BQG524308 BGK524297:BGK524308 AWO524297:AWO524308 AMS524297:AMS524308 ACW524297:ACW524308 TA524297:TA524308 JE524297:JE524308 WVQ458761:WVQ458772 WLU458761:WLU458772 WBY458761:WBY458772 VSC458761:VSC458772 VIG458761:VIG458772 UYK458761:UYK458772 UOO458761:UOO458772 UES458761:UES458772 TUW458761:TUW458772 TLA458761:TLA458772 TBE458761:TBE458772 SRI458761:SRI458772 SHM458761:SHM458772 RXQ458761:RXQ458772 RNU458761:RNU458772 RDY458761:RDY458772 QUC458761:QUC458772 QKG458761:QKG458772 QAK458761:QAK458772 PQO458761:PQO458772 PGS458761:PGS458772 OWW458761:OWW458772 ONA458761:ONA458772 ODE458761:ODE458772 NTI458761:NTI458772 NJM458761:NJM458772 MZQ458761:MZQ458772 MPU458761:MPU458772 MFY458761:MFY458772 LWC458761:LWC458772 LMG458761:LMG458772 LCK458761:LCK458772 KSO458761:KSO458772 KIS458761:KIS458772 JYW458761:JYW458772 JPA458761:JPA458772 JFE458761:JFE458772 IVI458761:IVI458772 ILM458761:ILM458772 IBQ458761:IBQ458772 HRU458761:HRU458772 HHY458761:HHY458772 GYC458761:GYC458772 GOG458761:GOG458772 GEK458761:GEK458772 FUO458761:FUO458772 FKS458761:FKS458772 FAW458761:FAW458772 ERA458761:ERA458772 EHE458761:EHE458772 DXI458761:DXI458772 DNM458761:DNM458772 DDQ458761:DDQ458772 CTU458761:CTU458772 CJY458761:CJY458772 CAC458761:CAC458772 BQG458761:BQG458772 BGK458761:BGK458772 AWO458761:AWO458772 AMS458761:AMS458772 ACW458761:ACW458772 TA458761:TA458772 JE458761:JE458772 WVQ393225:WVQ393236 WLU393225:WLU393236 WBY393225:WBY393236 VSC393225:VSC393236 VIG393225:VIG393236 UYK393225:UYK393236 UOO393225:UOO393236 UES393225:UES393236 TUW393225:TUW393236 TLA393225:TLA393236 TBE393225:TBE393236 SRI393225:SRI393236 SHM393225:SHM393236 RXQ393225:RXQ393236 RNU393225:RNU393236 RDY393225:RDY393236 QUC393225:QUC393236 QKG393225:QKG393236 QAK393225:QAK393236 PQO393225:PQO393236 PGS393225:PGS393236 OWW393225:OWW393236 ONA393225:ONA393236 ODE393225:ODE393236 NTI393225:NTI393236 NJM393225:NJM393236 MZQ393225:MZQ393236 MPU393225:MPU393236 MFY393225:MFY393236 LWC393225:LWC393236 LMG393225:LMG393236 LCK393225:LCK393236 KSO393225:KSO393236 KIS393225:KIS393236 JYW393225:JYW393236 JPA393225:JPA393236 JFE393225:JFE393236 IVI393225:IVI393236 ILM393225:ILM393236 IBQ393225:IBQ393236 HRU393225:HRU393236 HHY393225:HHY393236 GYC393225:GYC393236 GOG393225:GOG393236 GEK393225:GEK393236 FUO393225:FUO393236 FKS393225:FKS393236 FAW393225:FAW393236 ERA393225:ERA393236 EHE393225:EHE393236 DXI393225:DXI393236 DNM393225:DNM393236 DDQ393225:DDQ393236 CTU393225:CTU393236 CJY393225:CJY393236 CAC393225:CAC393236 BQG393225:BQG393236 BGK393225:BGK393236 AWO393225:AWO393236 AMS393225:AMS393236 ACW393225:ACW393236 TA393225:TA393236 JE393225:JE393236 WVQ327689:WVQ327700 WLU327689:WLU327700 WBY327689:WBY327700 VSC327689:VSC327700 VIG327689:VIG327700 UYK327689:UYK327700 UOO327689:UOO327700 UES327689:UES327700 TUW327689:TUW327700 TLA327689:TLA327700 TBE327689:TBE327700 SRI327689:SRI327700 SHM327689:SHM327700 RXQ327689:RXQ327700 RNU327689:RNU327700 RDY327689:RDY327700 QUC327689:QUC327700 QKG327689:QKG327700 QAK327689:QAK327700 PQO327689:PQO327700 PGS327689:PGS327700 OWW327689:OWW327700 ONA327689:ONA327700 ODE327689:ODE327700 NTI327689:NTI327700 NJM327689:NJM327700 MZQ327689:MZQ327700 MPU327689:MPU327700 MFY327689:MFY327700 LWC327689:LWC327700 LMG327689:LMG327700 LCK327689:LCK327700 KSO327689:KSO327700 KIS327689:KIS327700 JYW327689:JYW327700 JPA327689:JPA327700 JFE327689:JFE327700 IVI327689:IVI327700 ILM327689:ILM327700 IBQ327689:IBQ327700 HRU327689:HRU327700 HHY327689:HHY327700 GYC327689:GYC327700 GOG327689:GOG327700 GEK327689:GEK327700 FUO327689:FUO327700 FKS327689:FKS327700 FAW327689:FAW327700 ERA327689:ERA327700 EHE327689:EHE327700 DXI327689:DXI327700 DNM327689:DNM327700 DDQ327689:DDQ327700 CTU327689:CTU327700 CJY327689:CJY327700 CAC327689:CAC327700 BQG327689:BQG327700 BGK327689:BGK327700 AWO327689:AWO327700 AMS327689:AMS327700 ACW327689:ACW327700 TA327689:TA327700 JE327689:JE327700 WVQ262153:WVQ262164 WLU262153:WLU262164 WBY262153:WBY262164 VSC262153:VSC262164 VIG262153:VIG262164 UYK262153:UYK262164 UOO262153:UOO262164 UES262153:UES262164 TUW262153:TUW262164 TLA262153:TLA262164 TBE262153:TBE262164 SRI262153:SRI262164 SHM262153:SHM262164 RXQ262153:RXQ262164 RNU262153:RNU262164 RDY262153:RDY262164 QUC262153:QUC262164 QKG262153:QKG262164 QAK262153:QAK262164 PQO262153:PQO262164 PGS262153:PGS262164 OWW262153:OWW262164 ONA262153:ONA262164 ODE262153:ODE262164 NTI262153:NTI262164 NJM262153:NJM262164 MZQ262153:MZQ262164 MPU262153:MPU262164 MFY262153:MFY262164 LWC262153:LWC262164 LMG262153:LMG262164 LCK262153:LCK262164 KSO262153:KSO262164 KIS262153:KIS262164 JYW262153:JYW262164 JPA262153:JPA262164 JFE262153:JFE262164 IVI262153:IVI262164 ILM262153:ILM262164 IBQ262153:IBQ262164 HRU262153:HRU262164 HHY262153:HHY262164 GYC262153:GYC262164 GOG262153:GOG262164 GEK262153:GEK262164 FUO262153:FUO262164 FKS262153:FKS262164 FAW262153:FAW262164 ERA262153:ERA262164 EHE262153:EHE262164 DXI262153:DXI262164 DNM262153:DNM262164 DDQ262153:DDQ262164 CTU262153:CTU262164 CJY262153:CJY262164 CAC262153:CAC262164 BQG262153:BQG262164 BGK262153:BGK262164 AWO262153:AWO262164 AMS262153:AMS262164 ACW262153:ACW262164 TA262153:TA262164 JE262153:JE262164 WVQ196617:WVQ196628 WLU196617:WLU196628 WBY196617:WBY196628 VSC196617:VSC196628 VIG196617:VIG196628 UYK196617:UYK196628 UOO196617:UOO196628 UES196617:UES196628 TUW196617:TUW196628 TLA196617:TLA196628 TBE196617:TBE196628 SRI196617:SRI196628 SHM196617:SHM196628 RXQ196617:RXQ196628 RNU196617:RNU196628 RDY196617:RDY196628 QUC196617:QUC196628 QKG196617:QKG196628 QAK196617:QAK196628 PQO196617:PQO196628 PGS196617:PGS196628 OWW196617:OWW196628 ONA196617:ONA196628 ODE196617:ODE196628 NTI196617:NTI196628 NJM196617:NJM196628 MZQ196617:MZQ196628 MPU196617:MPU196628 MFY196617:MFY196628 LWC196617:LWC196628 LMG196617:LMG196628 LCK196617:LCK196628 KSO196617:KSO196628 KIS196617:KIS196628 JYW196617:JYW196628 JPA196617:JPA196628 JFE196617:JFE196628 IVI196617:IVI196628 ILM196617:ILM196628 IBQ196617:IBQ196628 HRU196617:HRU196628 HHY196617:HHY196628 GYC196617:GYC196628 GOG196617:GOG196628 GEK196617:GEK196628 FUO196617:FUO196628 FKS196617:FKS196628 FAW196617:FAW196628 ERA196617:ERA196628 EHE196617:EHE196628 DXI196617:DXI196628 DNM196617:DNM196628 DDQ196617:DDQ196628 CTU196617:CTU196628 CJY196617:CJY196628 CAC196617:CAC196628 BQG196617:BQG196628 BGK196617:BGK196628 AWO196617:AWO196628 AMS196617:AMS196628 ACW196617:ACW196628 TA196617:TA196628 JE196617:JE196628 WVQ131081:WVQ131092 WLU131081:WLU131092 WBY131081:WBY131092 VSC131081:VSC131092 VIG131081:VIG131092 UYK131081:UYK131092 UOO131081:UOO131092 UES131081:UES131092 TUW131081:TUW131092 TLA131081:TLA131092 TBE131081:TBE131092 SRI131081:SRI131092 SHM131081:SHM131092 RXQ131081:RXQ131092 RNU131081:RNU131092 RDY131081:RDY131092 QUC131081:QUC131092 QKG131081:QKG131092 QAK131081:QAK131092 PQO131081:PQO131092 PGS131081:PGS131092 OWW131081:OWW131092 ONA131081:ONA131092 ODE131081:ODE131092 NTI131081:NTI131092 NJM131081:NJM131092 MZQ131081:MZQ131092 MPU131081:MPU131092 MFY131081:MFY131092 LWC131081:LWC131092 LMG131081:LMG131092 LCK131081:LCK131092 KSO131081:KSO131092 KIS131081:KIS131092 JYW131081:JYW131092 JPA131081:JPA131092 JFE131081:JFE131092 IVI131081:IVI131092 ILM131081:ILM131092 IBQ131081:IBQ131092 HRU131081:HRU131092 HHY131081:HHY131092 GYC131081:GYC131092 GOG131081:GOG131092 GEK131081:GEK131092 FUO131081:FUO131092 FKS131081:FKS131092 FAW131081:FAW131092 ERA131081:ERA131092 EHE131081:EHE131092 DXI131081:DXI131092 DNM131081:DNM131092 DDQ131081:DDQ131092 CTU131081:CTU131092 CJY131081:CJY131092 CAC131081:CAC131092 BQG131081:BQG131092 BGK131081:BGK131092 AWO131081:AWO131092 AMS131081:AMS131092 ACW131081:ACW131092 TA131081:TA131092 JE131081:JE131092 WVQ65545:WVQ65556 WLU65545:WLU65556 WBY65545:WBY65556 VSC65545:VSC65556 VIG65545:VIG65556 UYK65545:UYK65556 UOO65545:UOO65556 UES65545:UES65556 TUW65545:TUW65556 TLA65545:TLA65556 TBE65545:TBE65556 SRI65545:SRI65556 SHM65545:SHM65556 RXQ65545:RXQ65556 RNU65545:RNU65556 RDY65545:RDY65556 QUC65545:QUC65556 QKG65545:QKG65556 QAK65545:QAK65556 PQO65545:PQO65556 PGS65545:PGS65556 OWW65545:OWW65556 ONA65545:ONA65556 ODE65545:ODE65556 NTI65545:NTI65556 NJM65545:NJM65556 MZQ65545:MZQ65556 MPU65545:MPU65556 MFY65545:MFY65556 LWC65545:LWC65556 LMG65545:LMG65556 LCK65545:LCK65556 KSO65545:KSO65556 KIS65545:KIS65556 JYW65545:JYW65556 JPA65545:JPA65556 JFE65545:JFE65556 IVI65545:IVI65556 ILM65545:ILM65556 IBQ65545:IBQ65556 HRU65545:HRU65556 HHY65545:HHY65556 GYC65545:GYC65556 GOG65545:GOG65556 GEK65545:GEK65556 FUO65545:FUO65556 FKS65545:FKS65556 FAW65545:FAW65556 ERA65545:ERA65556 EHE65545:EHE65556 DXI65545:DXI65556 DNM65545:DNM65556 DDQ65545:DDQ65556 CTU65545:CTU65556 CJY65545:CJY65556 CAC65545:CAC65556 BQG65545:BQG65556 BGK65545:BGK65556 AWO65545:AWO65556 AMS65545:AMS65556 ACW65545:ACW65556 TA65545:TA65556 JE65545:JE65556 WVQ9:WVQ20 WLU9:WLU20 WBY9:WBY20 VSC9:VSC20 VIG9:VIG20 UYK9:UYK20 UOO9:UOO20 UES9:UES20 TUW9:TUW20 TLA9:TLA20 TBE9:TBE20 SRI9:SRI20 SHM9:SHM20 RXQ9:RXQ20 RNU9:RNU20 RDY9:RDY20 QUC9:QUC20 QKG9:QKG20 QAK9:QAK20 PQO9:PQO20 PGS9:PGS20 OWW9:OWW20 ONA9:ONA20 ODE9:ODE20 NTI9:NTI20 NJM9:NJM20 MZQ9:MZQ20 MPU9:MPU20 MFY9:MFY20 LWC9:LWC20 LMG9:LMG20 LCK9:LCK20 KSO9:KSO20 KIS9:KIS20 JYW9:JYW20 JPA9:JPA20 JFE9:JFE20 IVI9:IVI20 ILM9:ILM20 IBQ9:IBQ20 HRU9:HRU20 HHY9:HHY20 GYC9:GYC20 GOG9:GOG20 GEK9:GEK20 FUO9:FUO20 FKS9:FKS20 FAW9:FAW20 ERA9:ERA20 EHE9:EHE20 DXI9:DXI20 DNM9:DNM20 DDQ9:DDQ20 CTU9:CTU20 CJY9:CJY20 CAC9:CAC20 BQG9:BQG20 BGK9:BGK20 AWO9:AWO20 AMS9:AMS20 ACW9:ACW20 TA9:TA20 JE9:JE20 I65545:I65556 I131081:I131092 I196617:I196628 I262153:I262164 I327689:I327700 I393225:I393236 I458761:I458772 I524297:I524308 I589833:I589844 I655369:I655380 I720905:I720916 I786441:I786452 I851977:I851988 I917513:I917524 I983049:I983060" xr:uid="{00000000-0002-0000-0000-000002000000}">
      <formula1>"PCS,Pair,Set,Met"</formula1>
    </dataValidation>
    <dataValidation type="list" allowBlank="1" showInputMessage="1" showErrorMessage="1" sqref="WVS983049:WVS983060 WLW983049:WLW983060 WCA983049:WCA983060 VSE983049:VSE983060 VII983049:VII983060 UYM983049:UYM983060 UOQ983049:UOQ983060 UEU983049:UEU983060 TUY983049:TUY983060 TLC983049:TLC983060 TBG983049:TBG983060 SRK983049:SRK983060 SHO983049:SHO983060 RXS983049:RXS983060 RNW983049:RNW983060 REA983049:REA983060 QUE983049:QUE983060 QKI983049:QKI983060 QAM983049:QAM983060 PQQ983049:PQQ983060 PGU983049:PGU983060 OWY983049:OWY983060 ONC983049:ONC983060 ODG983049:ODG983060 NTK983049:NTK983060 NJO983049:NJO983060 MZS983049:MZS983060 MPW983049:MPW983060 MGA983049:MGA983060 LWE983049:LWE983060 LMI983049:LMI983060 LCM983049:LCM983060 KSQ983049:KSQ983060 KIU983049:KIU983060 JYY983049:JYY983060 JPC983049:JPC983060 JFG983049:JFG983060 IVK983049:IVK983060 ILO983049:ILO983060 IBS983049:IBS983060 HRW983049:HRW983060 HIA983049:HIA983060 GYE983049:GYE983060 GOI983049:GOI983060 GEM983049:GEM983060 FUQ983049:FUQ983060 FKU983049:FKU983060 FAY983049:FAY983060 ERC983049:ERC983060 EHG983049:EHG983060 DXK983049:DXK983060 DNO983049:DNO983060 DDS983049:DDS983060 CTW983049:CTW983060 CKA983049:CKA983060 CAE983049:CAE983060 BQI983049:BQI983060 BGM983049:BGM983060 AWQ983049:AWQ983060 AMU983049:AMU983060 ACY983049:ACY983060 TC983049:TC983060 JG983049:JG983060 WVS917513:WVS917524 WLW917513:WLW917524 WCA917513:WCA917524 VSE917513:VSE917524 VII917513:VII917524 UYM917513:UYM917524 UOQ917513:UOQ917524 UEU917513:UEU917524 TUY917513:TUY917524 TLC917513:TLC917524 TBG917513:TBG917524 SRK917513:SRK917524 SHO917513:SHO917524 RXS917513:RXS917524 RNW917513:RNW917524 REA917513:REA917524 QUE917513:QUE917524 QKI917513:QKI917524 QAM917513:QAM917524 PQQ917513:PQQ917524 PGU917513:PGU917524 OWY917513:OWY917524 ONC917513:ONC917524 ODG917513:ODG917524 NTK917513:NTK917524 NJO917513:NJO917524 MZS917513:MZS917524 MPW917513:MPW917524 MGA917513:MGA917524 LWE917513:LWE917524 LMI917513:LMI917524 LCM917513:LCM917524 KSQ917513:KSQ917524 KIU917513:KIU917524 JYY917513:JYY917524 JPC917513:JPC917524 JFG917513:JFG917524 IVK917513:IVK917524 ILO917513:ILO917524 IBS917513:IBS917524 HRW917513:HRW917524 HIA917513:HIA917524 GYE917513:GYE917524 GOI917513:GOI917524 GEM917513:GEM917524 FUQ917513:FUQ917524 FKU917513:FKU917524 FAY917513:FAY917524 ERC917513:ERC917524 EHG917513:EHG917524 DXK917513:DXK917524 DNO917513:DNO917524 DDS917513:DDS917524 CTW917513:CTW917524 CKA917513:CKA917524 CAE917513:CAE917524 BQI917513:BQI917524 BGM917513:BGM917524 AWQ917513:AWQ917524 AMU917513:AMU917524 ACY917513:ACY917524 TC917513:TC917524 JG917513:JG917524 WVS851977:WVS851988 WLW851977:WLW851988 WCA851977:WCA851988 VSE851977:VSE851988 VII851977:VII851988 UYM851977:UYM851988 UOQ851977:UOQ851988 UEU851977:UEU851988 TUY851977:TUY851988 TLC851977:TLC851988 TBG851977:TBG851988 SRK851977:SRK851988 SHO851977:SHO851988 RXS851977:RXS851988 RNW851977:RNW851988 REA851977:REA851988 QUE851977:QUE851988 QKI851977:QKI851988 QAM851977:QAM851988 PQQ851977:PQQ851988 PGU851977:PGU851988 OWY851977:OWY851988 ONC851977:ONC851988 ODG851977:ODG851988 NTK851977:NTK851988 NJO851977:NJO851988 MZS851977:MZS851988 MPW851977:MPW851988 MGA851977:MGA851988 LWE851977:LWE851988 LMI851977:LMI851988 LCM851977:LCM851988 KSQ851977:KSQ851988 KIU851977:KIU851988 JYY851977:JYY851988 JPC851977:JPC851988 JFG851977:JFG851988 IVK851977:IVK851988 ILO851977:ILO851988 IBS851977:IBS851988 HRW851977:HRW851988 HIA851977:HIA851988 GYE851977:GYE851988 GOI851977:GOI851988 GEM851977:GEM851988 FUQ851977:FUQ851988 FKU851977:FKU851988 FAY851977:FAY851988 ERC851977:ERC851988 EHG851977:EHG851988 DXK851977:DXK851988 DNO851977:DNO851988 DDS851977:DDS851988 CTW851977:CTW851988 CKA851977:CKA851988 CAE851977:CAE851988 BQI851977:BQI851988 BGM851977:BGM851988 AWQ851977:AWQ851988 AMU851977:AMU851988 ACY851977:ACY851988 TC851977:TC851988 JG851977:JG851988 WVS786441:WVS786452 WLW786441:WLW786452 WCA786441:WCA786452 VSE786441:VSE786452 VII786441:VII786452 UYM786441:UYM786452 UOQ786441:UOQ786452 UEU786441:UEU786452 TUY786441:TUY786452 TLC786441:TLC786452 TBG786441:TBG786452 SRK786441:SRK786452 SHO786441:SHO786452 RXS786441:RXS786452 RNW786441:RNW786452 REA786441:REA786452 QUE786441:QUE786452 QKI786441:QKI786452 QAM786441:QAM786452 PQQ786441:PQQ786452 PGU786441:PGU786452 OWY786441:OWY786452 ONC786441:ONC786452 ODG786441:ODG786452 NTK786441:NTK786452 NJO786441:NJO786452 MZS786441:MZS786452 MPW786441:MPW786452 MGA786441:MGA786452 LWE786441:LWE786452 LMI786441:LMI786452 LCM786441:LCM786452 KSQ786441:KSQ786452 KIU786441:KIU786452 JYY786441:JYY786452 JPC786441:JPC786452 JFG786441:JFG786452 IVK786441:IVK786452 ILO786441:ILO786452 IBS786441:IBS786452 HRW786441:HRW786452 HIA786441:HIA786452 GYE786441:GYE786452 GOI786441:GOI786452 GEM786441:GEM786452 FUQ786441:FUQ786452 FKU786441:FKU786452 FAY786441:FAY786452 ERC786441:ERC786452 EHG786441:EHG786452 DXK786441:DXK786452 DNO786441:DNO786452 DDS786441:DDS786452 CTW786441:CTW786452 CKA786441:CKA786452 CAE786441:CAE786452 BQI786441:BQI786452 BGM786441:BGM786452 AWQ786441:AWQ786452 AMU786441:AMU786452 ACY786441:ACY786452 TC786441:TC786452 JG786441:JG786452 WVS720905:WVS720916 WLW720905:WLW720916 WCA720905:WCA720916 VSE720905:VSE720916 VII720905:VII720916 UYM720905:UYM720916 UOQ720905:UOQ720916 UEU720905:UEU720916 TUY720905:TUY720916 TLC720905:TLC720916 TBG720905:TBG720916 SRK720905:SRK720916 SHO720905:SHO720916 RXS720905:RXS720916 RNW720905:RNW720916 REA720905:REA720916 QUE720905:QUE720916 QKI720905:QKI720916 QAM720905:QAM720916 PQQ720905:PQQ720916 PGU720905:PGU720916 OWY720905:OWY720916 ONC720905:ONC720916 ODG720905:ODG720916 NTK720905:NTK720916 NJO720905:NJO720916 MZS720905:MZS720916 MPW720905:MPW720916 MGA720905:MGA720916 LWE720905:LWE720916 LMI720905:LMI720916 LCM720905:LCM720916 KSQ720905:KSQ720916 KIU720905:KIU720916 JYY720905:JYY720916 JPC720905:JPC720916 JFG720905:JFG720916 IVK720905:IVK720916 ILO720905:ILO720916 IBS720905:IBS720916 HRW720905:HRW720916 HIA720905:HIA720916 GYE720905:GYE720916 GOI720905:GOI720916 GEM720905:GEM720916 FUQ720905:FUQ720916 FKU720905:FKU720916 FAY720905:FAY720916 ERC720905:ERC720916 EHG720905:EHG720916 DXK720905:DXK720916 DNO720905:DNO720916 DDS720905:DDS720916 CTW720905:CTW720916 CKA720905:CKA720916 CAE720905:CAE720916 BQI720905:BQI720916 BGM720905:BGM720916 AWQ720905:AWQ720916 AMU720905:AMU720916 ACY720905:ACY720916 TC720905:TC720916 JG720905:JG720916 WVS655369:WVS655380 WLW655369:WLW655380 WCA655369:WCA655380 VSE655369:VSE655380 VII655369:VII655380 UYM655369:UYM655380 UOQ655369:UOQ655380 UEU655369:UEU655380 TUY655369:TUY655380 TLC655369:TLC655380 TBG655369:TBG655380 SRK655369:SRK655380 SHO655369:SHO655380 RXS655369:RXS655380 RNW655369:RNW655380 REA655369:REA655380 QUE655369:QUE655380 QKI655369:QKI655380 QAM655369:QAM655380 PQQ655369:PQQ655380 PGU655369:PGU655380 OWY655369:OWY655380 ONC655369:ONC655380 ODG655369:ODG655380 NTK655369:NTK655380 NJO655369:NJO655380 MZS655369:MZS655380 MPW655369:MPW655380 MGA655369:MGA655380 LWE655369:LWE655380 LMI655369:LMI655380 LCM655369:LCM655380 KSQ655369:KSQ655380 KIU655369:KIU655380 JYY655369:JYY655380 JPC655369:JPC655380 JFG655369:JFG655380 IVK655369:IVK655380 ILO655369:ILO655380 IBS655369:IBS655380 HRW655369:HRW655380 HIA655369:HIA655380 GYE655369:GYE655380 GOI655369:GOI655380 GEM655369:GEM655380 FUQ655369:FUQ655380 FKU655369:FKU655380 FAY655369:FAY655380 ERC655369:ERC655380 EHG655369:EHG655380 DXK655369:DXK655380 DNO655369:DNO655380 DDS655369:DDS655380 CTW655369:CTW655380 CKA655369:CKA655380 CAE655369:CAE655380 BQI655369:BQI655380 BGM655369:BGM655380 AWQ655369:AWQ655380 AMU655369:AMU655380 ACY655369:ACY655380 TC655369:TC655380 JG655369:JG655380 WVS589833:WVS589844 WLW589833:WLW589844 WCA589833:WCA589844 VSE589833:VSE589844 VII589833:VII589844 UYM589833:UYM589844 UOQ589833:UOQ589844 UEU589833:UEU589844 TUY589833:TUY589844 TLC589833:TLC589844 TBG589833:TBG589844 SRK589833:SRK589844 SHO589833:SHO589844 RXS589833:RXS589844 RNW589833:RNW589844 REA589833:REA589844 QUE589833:QUE589844 QKI589833:QKI589844 QAM589833:QAM589844 PQQ589833:PQQ589844 PGU589833:PGU589844 OWY589833:OWY589844 ONC589833:ONC589844 ODG589833:ODG589844 NTK589833:NTK589844 NJO589833:NJO589844 MZS589833:MZS589844 MPW589833:MPW589844 MGA589833:MGA589844 LWE589833:LWE589844 LMI589833:LMI589844 LCM589833:LCM589844 KSQ589833:KSQ589844 KIU589833:KIU589844 JYY589833:JYY589844 JPC589833:JPC589844 JFG589833:JFG589844 IVK589833:IVK589844 ILO589833:ILO589844 IBS589833:IBS589844 HRW589833:HRW589844 HIA589833:HIA589844 GYE589833:GYE589844 GOI589833:GOI589844 GEM589833:GEM589844 FUQ589833:FUQ589844 FKU589833:FKU589844 FAY589833:FAY589844 ERC589833:ERC589844 EHG589833:EHG589844 DXK589833:DXK589844 DNO589833:DNO589844 DDS589833:DDS589844 CTW589833:CTW589844 CKA589833:CKA589844 CAE589833:CAE589844 BQI589833:BQI589844 BGM589833:BGM589844 AWQ589833:AWQ589844 AMU589833:AMU589844 ACY589833:ACY589844 TC589833:TC589844 JG589833:JG589844 WVS524297:WVS524308 WLW524297:WLW524308 WCA524297:WCA524308 VSE524297:VSE524308 VII524297:VII524308 UYM524297:UYM524308 UOQ524297:UOQ524308 UEU524297:UEU524308 TUY524297:TUY524308 TLC524297:TLC524308 TBG524297:TBG524308 SRK524297:SRK524308 SHO524297:SHO524308 RXS524297:RXS524308 RNW524297:RNW524308 REA524297:REA524308 QUE524297:QUE524308 QKI524297:QKI524308 QAM524297:QAM524308 PQQ524297:PQQ524308 PGU524297:PGU524308 OWY524297:OWY524308 ONC524297:ONC524308 ODG524297:ODG524308 NTK524297:NTK524308 NJO524297:NJO524308 MZS524297:MZS524308 MPW524297:MPW524308 MGA524297:MGA524308 LWE524297:LWE524308 LMI524297:LMI524308 LCM524297:LCM524308 KSQ524297:KSQ524308 KIU524297:KIU524308 JYY524297:JYY524308 JPC524297:JPC524308 JFG524297:JFG524308 IVK524297:IVK524308 ILO524297:ILO524308 IBS524297:IBS524308 HRW524297:HRW524308 HIA524297:HIA524308 GYE524297:GYE524308 GOI524297:GOI524308 GEM524297:GEM524308 FUQ524297:FUQ524308 FKU524297:FKU524308 FAY524297:FAY524308 ERC524297:ERC524308 EHG524297:EHG524308 DXK524297:DXK524308 DNO524297:DNO524308 DDS524297:DDS524308 CTW524297:CTW524308 CKA524297:CKA524308 CAE524297:CAE524308 BQI524297:BQI524308 BGM524297:BGM524308 AWQ524297:AWQ524308 AMU524297:AMU524308 ACY524297:ACY524308 TC524297:TC524308 JG524297:JG524308 WVS458761:WVS458772 WLW458761:WLW458772 WCA458761:WCA458772 VSE458761:VSE458772 VII458761:VII458772 UYM458761:UYM458772 UOQ458761:UOQ458772 UEU458761:UEU458772 TUY458761:TUY458772 TLC458761:TLC458772 TBG458761:TBG458772 SRK458761:SRK458772 SHO458761:SHO458772 RXS458761:RXS458772 RNW458761:RNW458772 REA458761:REA458772 QUE458761:QUE458772 QKI458761:QKI458772 QAM458761:QAM458772 PQQ458761:PQQ458772 PGU458761:PGU458772 OWY458761:OWY458772 ONC458761:ONC458772 ODG458761:ODG458772 NTK458761:NTK458772 NJO458761:NJO458772 MZS458761:MZS458772 MPW458761:MPW458772 MGA458761:MGA458772 LWE458761:LWE458772 LMI458761:LMI458772 LCM458761:LCM458772 KSQ458761:KSQ458772 KIU458761:KIU458772 JYY458761:JYY458772 JPC458761:JPC458772 JFG458761:JFG458772 IVK458761:IVK458772 ILO458761:ILO458772 IBS458761:IBS458772 HRW458761:HRW458772 HIA458761:HIA458772 GYE458761:GYE458772 GOI458761:GOI458772 GEM458761:GEM458772 FUQ458761:FUQ458772 FKU458761:FKU458772 FAY458761:FAY458772 ERC458761:ERC458772 EHG458761:EHG458772 DXK458761:DXK458772 DNO458761:DNO458772 DDS458761:DDS458772 CTW458761:CTW458772 CKA458761:CKA458772 CAE458761:CAE458772 BQI458761:BQI458772 BGM458761:BGM458772 AWQ458761:AWQ458772 AMU458761:AMU458772 ACY458761:ACY458772 TC458761:TC458772 JG458761:JG458772 WVS393225:WVS393236 WLW393225:WLW393236 WCA393225:WCA393236 VSE393225:VSE393236 VII393225:VII393236 UYM393225:UYM393236 UOQ393225:UOQ393236 UEU393225:UEU393236 TUY393225:TUY393236 TLC393225:TLC393236 TBG393225:TBG393236 SRK393225:SRK393236 SHO393225:SHO393236 RXS393225:RXS393236 RNW393225:RNW393236 REA393225:REA393236 QUE393225:QUE393236 QKI393225:QKI393236 QAM393225:QAM393236 PQQ393225:PQQ393236 PGU393225:PGU393236 OWY393225:OWY393236 ONC393225:ONC393236 ODG393225:ODG393236 NTK393225:NTK393236 NJO393225:NJO393236 MZS393225:MZS393236 MPW393225:MPW393236 MGA393225:MGA393236 LWE393225:LWE393236 LMI393225:LMI393236 LCM393225:LCM393236 KSQ393225:KSQ393236 KIU393225:KIU393236 JYY393225:JYY393236 JPC393225:JPC393236 JFG393225:JFG393236 IVK393225:IVK393236 ILO393225:ILO393236 IBS393225:IBS393236 HRW393225:HRW393236 HIA393225:HIA393236 GYE393225:GYE393236 GOI393225:GOI393236 GEM393225:GEM393236 FUQ393225:FUQ393236 FKU393225:FKU393236 FAY393225:FAY393236 ERC393225:ERC393236 EHG393225:EHG393236 DXK393225:DXK393236 DNO393225:DNO393236 DDS393225:DDS393236 CTW393225:CTW393236 CKA393225:CKA393236 CAE393225:CAE393236 BQI393225:BQI393236 BGM393225:BGM393236 AWQ393225:AWQ393236 AMU393225:AMU393236 ACY393225:ACY393236 TC393225:TC393236 JG393225:JG393236 WVS327689:WVS327700 WLW327689:WLW327700 WCA327689:WCA327700 VSE327689:VSE327700 VII327689:VII327700 UYM327689:UYM327700 UOQ327689:UOQ327700 UEU327689:UEU327700 TUY327689:TUY327700 TLC327689:TLC327700 TBG327689:TBG327700 SRK327689:SRK327700 SHO327689:SHO327700 RXS327689:RXS327700 RNW327689:RNW327700 REA327689:REA327700 QUE327689:QUE327700 QKI327689:QKI327700 QAM327689:QAM327700 PQQ327689:PQQ327700 PGU327689:PGU327700 OWY327689:OWY327700 ONC327689:ONC327700 ODG327689:ODG327700 NTK327689:NTK327700 NJO327689:NJO327700 MZS327689:MZS327700 MPW327689:MPW327700 MGA327689:MGA327700 LWE327689:LWE327700 LMI327689:LMI327700 LCM327689:LCM327700 KSQ327689:KSQ327700 KIU327689:KIU327700 JYY327689:JYY327700 JPC327689:JPC327700 JFG327689:JFG327700 IVK327689:IVK327700 ILO327689:ILO327700 IBS327689:IBS327700 HRW327689:HRW327700 HIA327689:HIA327700 GYE327689:GYE327700 GOI327689:GOI327700 GEM327689:GEM327700 FUQ327689:FUQ327700 FKU327689:FKU327700 FAY327689:FAY327700 ERC327689:ERC327700 EHG327689:EHG327700 DXK327689:DXK327700 DNO327689:DNO327700 DDS327689:DDS327700 CTW327689:CTW327700 CKA327689:CKA327700 CAE327689:CAE327700 BQI327689:BQI327700 BGM327689:BGM327700 AWQ327689:AWQ327700 AMU327689:AMU327700 ACY327689:ACY327700 TC327689:TC327700 JG327689:JG327700 WVS262153:WVS262164 WLW262153:WLW262164 WCA262153:WCA262164 VSE262153:VSE262164 VII262153:VII262164 UYM262153:UYM262164 UOQ262153:UOQ262164 UEU262153:UEU262164 TUY262153:TUY262164 TLC262153:TLC262164 TBG262153:TBG262164 SRK262153:SRK262164 SHO262153:SHO262164 RXS262153:RXS262164 RNW262153:RNW262164 REA262153:REA262164 QUE262153:QUE262164 QKI262153:QKI262164 QAM262153:QAM262164 PQQ262153:PQQ262164 PGU262153:PGU262164 OWY262153:OWY262164 ONC262153:ONC262164 ODG262153:ODG262164 NTK262153:NTK262164 NJO262153:NJO262164 MZS262153:MZS262164 MPW262153:MPW262164 MGA262153:MGA262164 LWE262153:LWE262164 LMI262153:LMI262164 LCM262153:LCM262164 KSQ262153:KSQ262164 KIU262153:KIU262164 JYY262153:JYY262164 JPC262153:JPC262164 JFG262153:JFG262164 IVK262153:IVK262164 ILO262153:ILO262164 IBS262153:IBS262164 HRW262153:HRW262164 HIA262153:HIA262164 GYE262153:GYE262164 GOI262153:GOI262164 GEM262153:GEM262164 FUQ262153:FUQ262164 FKU262153:FKU262164 FAY262153:FAY262164 ERC262153:ERC262164 EHG262153:EHG262164 DXK262153:DXK262164 DNO262153:DNO262164 DDS262153:DDS262164 CTW262153:CTW262164 CKA262153:CKA262164 CAE262153:CAE262164 BQI262153:BQI262164 BGM262153:BGM262164 AWQ262153:AWQ262164 AMU262153:AMU262164 ACY262153:ACY262164 TC262153:TC262164 JG262153:JG262164 WVS196617:WVS196628 WLW196617:WLW196628 WCA196617:WCA196628 VSE196617:VSE196628 VII196617:VII196628 UYM196617:UYM196628 UOQ196617:UOQ196628 UEU196617:UEU196628 TUY196617:TUY196628 TLC196617:TLC196628 TBG196617:TBG196628 SRK196617:SRK196628 SHO196617:SHO196628 RXS196617:RXS196628 RNW196617:RNW196628 REA196617:REA196628 QUE196617:QUE196628 QKI196617:QKI196628 QAM196617:QAM196628 PQQ196617:PQQ196628 PGU196617:PGU196628 OWY196617:OWY196628 ONC196617:ONC196628 ODG196617:ODG196628 NTK196617:NTK196628 NJO196617:NJO196628 MZS196617:MZS196628 MPW196617:MPW196628 MGA196617:MGA196628 LWE196617:LWE196628 LMI196617:LMI196628 LCM196617:LCM196628 KSQ196617:KSQ196628 KIU196617:KIU196628 JYY196617:JYY196628 JPC196617:JPC196628 JFG196617:JFG196628 IVK196617:IVK196628 ILO196617:ILO196628 IBS196617:IBS196628 HRW196617:HRW196628 HIA196617:HIA196628 GYE196617:GYE196628 GOI196617:GOI196628 GEM196617:GEM196628 FUQ196617:FUQ196628 FKU196617:FKU196628 FAY196617:FAY196628 ERC196617:ERC196628 EHG196617:EHG196628 DXK196617:DXK196628 DNO196617:DNO196628 DDS196617:DDS196628 CTW196617:CTW196628 CKA196617:CKA196628 CAE196617:CAE196628 BQI196617:BQI196628 BGM196617:BGM196628 AWQ196617:AWQ196628 AMU196617:AMU196628 ACY196617:ACY196628 TC196617:TC196628 JG196617:JG196628 WVS131081:WVS131092 WLW131081:WLW131092 WCA131081:WCA131092 VSE131081:VSE131092 VII131081:VII131092 UYM131081:UYM131092 UOQ131081:UOQ131092 UEU131081:UEU131092 TUY131081:TUY131092 TLC131081:TLC131092 TBG131081:TBG131092 SRK131081:SRK131092 SHO131081:SHO131092 RXS131081:RXS131092 RNW131081:RNW131092 REA131081:REA131092 QUE131081:QUE131092 QKI131081:QKI131092 QAM131081:QAM131092 PQQ131081:PQQ131092 PGU131081:PGU131092 OWY131081:OWY131092 ONC131081:ONC131092 ODG131081:ODG131092 NTK131081:NTK131092 NJO131081:NJO131092 MZS131081:MZS131092 MPW131081:MPW131092 MGA131081:MGA131092 LWE131081:LWE131092 LMI131081:LMI131092 LCM131081:LCM131092 KSQ131081:KSQ131092 KIU131081:KIU131092 JYY131081:JYY131092 JPC131081:JPC131092 JFG131081:JFG131092 IVK131081:IVK131092 ILO131081:ILO131092 IBS131081:IBS131092 HRW131081:HRW131092 HIA131081:HIA131092 GYE131081:GYE131092 GOI131081:GOI131092 GEM131081:GEM131092 FUQ131081:FUQ131092 FKU131081:FKU131092 FAY131081:FAY131092 ERC131081:ERC131092 EHG131081:EHG131092 DXK131081:DXK131092 DNO131081:DNO131092 DDS131081:DDS131092 CTW131081:CTW131092 CKA131081:CKA131092 CAE131081:CAE131092 BQI131081:BQI131092 BGM131081:BGM131092 AWQ131081:AWQ131092 AMU131081:AMU131092 ACY131081:ACY131092 TC131081:TC131092 JG131081:JG131092 WVS65545:WVS65556 WLW65545:WLW65556 WCA65545:WCA65556 VSE65545:VSE65556 VII65545:VII65556 UYM65545:UYM65556 UOQ65545:UOQ65556 UEU65545:UEU65556 TUY65545:TUY65556 TLC65545:TLC65556 TBG65545:TBG65556 SRK65545:SRK65556 SHO65545:SHO65556 RXS65545:RXS65556 RNW65545:RNW65556 REA65545:REA65556 QUE65545:QUE65556 QKI65545:QKI65556 QAM65545:QAM65556 PQQ65545:PQQ65556 PGU65545:PGU65556 OWY65545:OWY65556 ONC65545:ONC65556 ODG65545:ODG65556 NTK65545:NTK65556 NJO65545:NJO65556 MZS65545:MZS65556 MPW65545:MPW65556 MGA65545:MGA65556 LWE65545:LWE65556 LMI65545:LMI65556 LCM65545:LCM65556 KSQ65545:KSQ65556 KIU65545:KIU65556 JYY65545:JYY65556 JPC65545:JPC65556 JFG65545:JFG65556 IVK65545:IVK65556 ILO65545:ILO65556 IBS65545:IBS65556 HRW65545:HRW65556 HIA65545:HIA65556 GYE65545:GYE65556 GOI65545:GOI65556 GEM65545:GEM65556 FUQ65545:FUQ65556 FKU65545:FKU65556 FAY65545:FAY65556 ERC65545:ERC65556 EHG65545:EHG65556 DXK65545:DXK65556 DNO65545:DNO65556 DDS65545:DDS65556 CTW65545:CTW65556 CKA65545:CKA65556 CAE65545:CAE65556 BQI65545:BQI65556 BGM65545:BGM65556 AWQ65545:AWQ65556 AMU65545:AMU65556 ACY65545:ACY65556 TC65545:TC65556 JG65545:JG65556 WVS9:WVS20 WLW9:WLW20 WCA9:WCA20 VSE9:VSE20 VII9:VII20 UYM9:UYM20 UOQ9:UOQ20 UEU9:UEU20 TUY9:TUY20 TLC9:TLC20 TBG9:TBG20 SRK9:SRK20 SHO9:SHO20 RXS9:RXS20 RNW9:RNW20 REA9:REA20 QUE9:QUE20 QKI9:QKI20 QAM9:QAM20 PQQ9:PQQ20 PGU9:PGU20 OWY9:OWY20 ONC9:ONC20 ODG9:ODG20 NTK9:NTK20 NJO9:NJO20 MZS9:MZS20 MPW9:MPW20 MGA9:MGA20 LWE9:LWE20 LMI9:LMI20 LCM9:LCM20 KSQ9:KSQ20 KIU9:KIU20 JYY9:JYY20 JPC9:JPC20 JFG9:JFG20 IVK9:IVK20 ILO9:ILO20 IBS9:IBS20 HRW9:HRW20 HIA9:HIA20 GYE9:GYE20 GOI9:GOI20 GEM9:GEM20 FUQ9:FUQ20 FKU9:FKU20 FAY9:FAY20 ERC9:ERC20 EHG9:EHG20 DXK9:DXK20 DNO9:DNO20 DDS9:DDS20 CTW9:CTW20 CKA9:CKA20 CAE9:CAE20 BQI9:BQI20 BGM9:BGM20 AWQ9:AWQ20 AMU9:AMU20 ACY9:ACY20 TC9:TC20 JG9:JG20 K65545:K65556 K131081:K131092 K196617:K196628 K262153:K262164 K327689:K327700 K393225:K393236 K458761:K458772 K524297:K524308 K589833:K589844 K655369:K655380 K720905:K720916 K786441:K786452 K851977:K851988 K917513:K917524 K983049:K983060" xr:uid="{00000000-0002-0000-0000-000003000000}">
      <formula1>"USD,VND"</formula1>
    </dataValidation>
  </dataValidations>
  <printOptions horizontalCentered="1"/>
  <pageMargins left="0" right="0.25" top="0.5" bottom="0.17" header="0.5" footer="0.23"/>
  <pageSetup paperSize="9" scale="46"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Phieu yeu cau hang hoa (New)</vt:lpstr>
      <vt:lpstr>'Phieu yeu cau hang hoa (New)'!Print_Area</vt:lpstr>
      <vt:lpstr>'Phieu yeu cau hang hoa (New)'!Print_Titles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Maovu</dc:creator>
  <cp:lastModifiedBy>Tuyen, MaiThi (BIVN-R&amp;D PE)</cp:lastModifiedBy>
  <cp:lastPrinted>2015-12-18T07:47:51Z</cp:lastPrinted>
  <dcterms:created xsi:type="dcterms:W3CDTF">2014-06-30T05:09:23Z</dcterms:created>
  <dcterms:modified xsi:type="dcterms:W3CDTF">2026-06-05T10:00:18Z</dcterms:modified>
</cp:coreProperties>
</file>